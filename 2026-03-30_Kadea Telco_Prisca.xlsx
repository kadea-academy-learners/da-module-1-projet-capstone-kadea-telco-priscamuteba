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sca MUTEBA\Desktop\"/>
    </mc:Choice>
  </mc:AlternateContent>
  <xr:revisionPtr revIDLastSave="0" documentId="13_ncr:1_{41683F5F-5626-428D-8484-8A1CC834BF2C}" xr6:coauthVersionLast="47" xr6:coauthVersionMax="47" xr10:uidLastSave="{00000000-0000-0000-0000-000000000000}"/>
  <bookViews>
    <workbookView xWindow="465" yWindow="180" windowWidth="19665" windowHeight="10620" firstSheet="1" activeTab="6" xr2:uid="{00000000-000D-0000-FFFF-FFFF00000000}"/>
  </bookViews>
  <sheets>
    <sheet name="Master (2)" sheetId="20" r:id="rId1"/>
    <sheet name="Client" sheetId="2" r:id="rId2"/>
    <sheet name="Logs_Reseau " sheetId="16" r:id="rId3"/>
    <sheet name="Registre_Maintenance" sheetId="4" r:id="rId4"/>
    <sheet name="Logs_Registre" sheetId="3" r:id="rId5"/>
    <sheet name="Master" sheetId="17" r:id="rId6"/>
    <sheet name="TCD" sheetId="18" r:id="rId7"/>
  </sheets>
  <definedNames>
    <definedName name="_xlcn.WorksheetConnection_MASTER_KADEA_TELCO.xlsxMaster" hidden="1">Master[]</definedName>
    <definedName name="DonnéesExternes_1" localSheetId="1" hidden="1">'Client'!$A$1:$H$674</definedName>
    <definedName name="DonnéesExternes_1" localSheetId="4" hidden="1">Logs_Registre!$A$1:$F$1069</definedName>
    <definedName name="DonnéesExternes_1" localSheetId="2" hidden="1">'Logs_Reseau '!$A$1:$F$1069</definedName>
    <definedName name="DonnéesExternes_1" localSheetId="5" hidden="1">Master!$A$1:$H$479</definedName>
    <definedName name="DonnéesExternes_1" localSheetId="0" hidden="1">'Master (2)'!$A$1:$H$479</definedName>
    <definedName name="DonnéesExternes_1" localSheetId="3" hidden="1">'Registre_Maintenance'!$A$1:$G$418</definedName>
    <definedName name="Segment_Province_RDC">#N/A</definedName>
  </definedNames>
  <calcPr calcId="191029"/>
  <pivotCaches>
    <pivotCache cacheId="0" r:id="rId8"/>
    <pivotCache cacheId="8" r:id="rId9"/>
  </pivotCaches>
  <extLst>
    <ext xmlns:x14="http://schemas.microsoft.com/office/spreadsheetml/2009/9/main" uri="{876F7934-8845-4945-9796-88D515C7AA90}">
      <x14:pivotCaches>
        <pivotCache cacheId="2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" name="Master" connection="WorksheetConnection_MASTER_KADEA_TELCO.xlsx!Mast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79" i="20" l="1"/>
  <c r="Q479" i="20"/>
  <c r="L479" i="20"/>
  <c r="K479" i="20"/>
  <c r="J479" i="20"/>
  <c r="I479" i="20"/>
  <c r="G479" i="20"/>
  <c r="B479" i="20"/>
  <c r="P479" i="20" s="1"/>
  <c r="U479" i="20" s="1"/>
  <c r="T478" i="20"/>
  <c r="N478" i="20"/>
  <c r="M478" i="20"/>
  <c r="L478" i="20"/>
  <c r="K478" i="20"/>
  <c r="J478" i="20"/>
  <c r="I478" i="20"/>
  <c r="G478" i="20"/>
  <c r="B478" i="20"/>
  <c r="R478" i="20" s="1"/>
  <c r="N477" i="20"/>
  <c r="T477" i="20" s="1"/>
  <c r="M477" i="20"/>
  <c r="L477" i="20"/>
  <c r="K477" i="20"/>
  <c r="J477" i="20"/>
  <c r="I477" i="20"/>
  <c r="G477" i="20"/>
  <c r="B477" i="20"/>
  <c r="R477" i="20" s="1"/>
  <c r="P476" i="20"/>
  <c r="U476" i="20" s="1"/>
  <c r="L476" i="20"/>
  <c r="K476" i="20"/>
  <c r="J476" i="20"/>
  <c r="I476" i="20"/>
  <c r="G476" i="20"/>
  <c r="B476" i="20"/>
  <c r="O476" i="20" s="1"/>
  <c r="S476" i="20" s="1"/>
  <c r="R475" i="20"/>
  <c r="Q475" i="20"/>
  <c r="L475" i="20"/>
  <c r="K475" i="20"/>
  <c r="J475" i="20"/>
  <c r="I475" i="20"/>
  <c r="G475" i="20"/>
  <c r="B475" i="20"/>
  <c r="P475" i="20" s="1"/>
  <c r="U475" i="20" s="1"/>
  <c r="L474" i="20"/>
  <c r="K474" i="20"/>
  <c r="J474" i="20"/>
  <c r="I474" i="20"/>
  <c r="G474" i="20"/>
  <c r="B474" i="20"/>
  <c r="R474" i="20" s="1"/>
  <c r="N473" i="20"/>
  <c r="T473" i="20" s="1"/>
  <c r="M473" i="20"/>
  <c r="L473" i="20"/>
  <c r="K473" i="20"/>
  <c r="J473" i="20"/>
  <c r="I473" i="20"/>
  <c r="G473" i="20"/>
  <c r="B473" i="20"/>
  <c r="R473" i="20" s="1"/>
  <c r="L472" i="20"/>
  <c r="K472" i="20"/>
  <c r="J472" i="20"/>
  <c r="I472" i="20"/>
  <c r="G472" i="20"/>
  <c r="B472" i="20"/>
  <c r="P472" i="20" s="1"/>
  <c r="U472" i="20" s="1"/>
  <c r="R471" i="20"/>
  <c r="Q471" i="20"/>
  <c r="M471" i="20"/>
  <c r="L471" i="20"/>
  <c r="K471" i="20"/>
  <c r="J471" i="20"/>
  <c r="I471" i="20"/>
  <c r="G471" i="20"/>
  <c r="B471" i="20"/>
  <c r="P471" i="20" s="1"/>
  <c r="U471" i="20" s="1"/>
  <c r="L470" i="20"/>
  <c r="K470" i="20"/>
  <c r="J470" i="20"/>
  <c r="I470" i="20"/>
  <c r="G470" i="20"/>
  <c r="B470" i="20"/>
  <c r="R470" i="20" s="1"/>
  <c r="Q469" i="20"/>
  <c r="N469" i="20"/>
  <c r="T469" i="20" s="1"/>
  <c r="M469" i="20"/>
  <c r="L469" i="20"/>
  <c r="K469" i="20"/>
  <c r="J469" i="20"/>
  <c r="I469" i="20"/>
  <c r="G469" i="20"/>
  <c r="B469" i="20"/>
  <c r="R469" i="20" s="1"/>
  <c r="P468" i="20"/>
  <c r="U468" i="20" s="1"/>
  <c r="O468" i="20"/>
  <c r="S468" i="20" s="1"/>
  <c r="L468" i="20"/>
  <c r="K468" i="20"/>
  <c r="J468" i="20"/>
  <c r="I468" i="20"/>
  <c r="G468" i="20"/>
  <c r="B468" i="20"/>
  <c r="R467" i="20"/>
  <c r="Q467" i="20"/>
  <c r="M467" i="20"/>
  <c r="L467" i="20"/>
  <c r="K467" i="20"/>
  <c r="J467" i="20"/>
  <c r="I467" i="20"/>
  <c r="G467" i="20"/>
  <c r="B467" i="20"/>
  <c r="P467" i="20" s="1"/>
  <c r="U467" i="20" s="1"/>
  <c r="L466" i="20"/>
  <c r="K466" i="20"/>
  <c r="J466" i="20"/>
  <c r="I466" i="20"/>
  <c r="G466" i="20"/>
  <c r="B466" i="20"/>
  <c r="R466" i="20" s="1"/>
  <c r="Q465" i="20"/>
  <c r="N465" i="20"/>
  <c r="T465" i="20" s="1"/>
  <c r="M465" i="20"/>
  <c r="L465" i="20"/>
  <c r="K465" i="20"/>
  <c r="J465" i="20"/>
  <c r="I465" i="20"/>
  <c r="G465" i="20"/>
  <c r="B465" i="20"/>
  <c r="R465" i="20" s="1"/>
  <c r="P464" i="20"/>
  <c r="U464" i="20" s="1"/>
  <c r="L464" i="20"/>
  <c r="K464" i="20"/>
  <c r="J464" i="20"/>
  <c r="I464" i="20"/>
  <c r="G464" i="20"/>
  <c r="B464" i="20"/>
  <c r="O464" i="20" s="1"/>
  <c r="S464" i="20" s="1"/>
  <c r="R463" i="20"/>
  <c r="Q463" i="20"/>
  <c r="M463" i="20"/>
  <c r="L463" i="20"/>
  <c r="K463" i="20"/>
  <c r="J463" i="20"/>
  <c r="I463" i="20"/>
  <c r="G463" i="20"/>
  <c r="B463" i="20"/>
  <c r="P463" i="20" s="1"/>
  <c r="U463" i="20" s="1"/>
  <c r="L462" i="20"/>
  <c r="K462" i="20"/>
  <c r="J462" i="20"/>
  <c r="I462" i="20"/>
  <c r="G462" i="20"/>
  <c r="B462" i="20"/>
  <c r="R462" i="20" s="1"/>
  <c r="Q461" i="20"/>
  <c r="N461" i="20"/>
  <c r="T461" i="20" s="1"/>
  <c r="M461" i="20"/>
  <c r="L461" i="20"/>
  <c r="K461" i="20"/>
  <c r="J461" i="20"/>
  <c r="I461" i="20"/>
  <c r="G461" i="20"/>
  <c r="B461" i="20"/>
  <c r="R461" i="20" s="1"/>
  <c r="P460" i="20"/>
  <c r="U460" i="20" s="1"/>
  <c r="O460" i="20"/>
  <c r="S460" i="20" s="1"/>
  <c r="L460" i="20"/>
  <c r="K460" i="20"/>
  <c r="J460" i="20"/>
  <c r="I460" i="20"/>
  <c r="G460" i="20"/>
  <c r="B460" i="20"/>
  <c r="R459" i="20"/>
  <c r="Q459" i="20"/>
  <c r="M459" i="20"/>
  <c r="L459" i="20"/>
  <c r="K459" i="20"/>
  <c r="J459" i="20"/>
  <c r="I459" i="20"/>
  <c r="G459" i="20"/>
  <c r="B459" i="20"/>
  <c r="P459" i="20" s="1"/>
  <c r="U459" i="20" s="1"/>
  <c r="L458" i="20"/>
  <c r="K458" i="20"/>
  <c r="J458" i="20"/>
  <c r="I458" i="20"/>
  <c r="G458" i="20"/>
  <c r="B458" i="20"/>
  <c r="R458" i="20" s="1"/>
  <c r="Q457" i="20"/>
  <c r="N457" i="20"/>
  <c r="T457" i="20" s="1"/>
  <c r="M457" i="20"/>
  <c r="L457" i="20"/>
  <c r="K457" i="20"/>
  <c r="J457" i="20"/>
  <c r="I457" i="20"/>
  <c r="G457" i="20"/>
  <c r="B457" i="20"/>
  <c r="R457" i="20" s="1"/>
  <c r="L456" i="20"/>
  <c r="K456" i="20"/>
  <c r="J456" i="20"/>
  <c r="I456" i="20"/>
  <c r="G456" i="20"/>
  <c r="B456" i="20"/>
  <c r="P456" i="20" s="1"/>
  <c r="U456" i="20" s="1"/>
  <c r="R455" i="20"/>
  <c r="Q455" i="20"/>
  <c r="M455" i="20"/>
  <c r="L455" i="20"/>
  <c r="K455" i="20"/>
  <c r="J455" i="20"/>
  <c r="I455" i="20"/>
  <c r="G455" i="20"/>
  <c r="B455" i="20"/>
  <c r="P455" i="20" s="1"/>
  <c r="U455" i="20" s="1"/>
  <c r="L454" i="20"/>
  <c r="K454" i="20"/>
  <c r="J454" i="20"/>
  <c r="I454" i="20"/>
  <c r="G454" i="20"/>
  <c r="B454" i="20"/>
  <c r="R454" i="20" s="1"/>
  <c r="Q453" i="20"/>
  <c r="N453" i="20"/>
  <c r="T453" i="20" s="1"/>
  <c r="M453" i="20"/>
  <c r="L453" i="20"/>
  <c r="K453" i="20"/>
  <c r="J453" i="20"/>
  <c r="I453" i="20"/>
  <c r="G453" i="20"/>
  <c r="B453" i="20"/>
  <c r="R453" i="20" s="1"/>
  <c r="O452" i="20"/>
  <c r="S452" i="20" s="1"/>
  <c r="L452" i="20"/>
  <c r="K452" i="20"/>
  <c r="J452" i="20"/>
  <c r="I452" i="20"/>
  <c r="G452" i="20"/>
  <c r="B452" i="20"/>
  <c r="R451" i="20"/>
  <c r="Q451" i="20"/>
  <c r="M451" i="20"/>
  <c r="L451" i="20"/>
  <c r="K451" i="20"/>
  <c r="J451" i="20"/>
  <c r="I451" i="20"/>
  <c r="G451" i="20"/>
  <c r="B451" i="20"/>
  <c r="P451" i="20" s="1"/>
  <c r="U451" i="20" s="1"/>
  <c r="L450" i="20"/>
  <c r="K450" i="20"/>
  <c r="J450" i="20"/>
  <c r="I450" i="20"/>
  <c r="G450" i="20"/>
  <c r="B450" i="20"/>
  <c r="R450" i="20" s="1"/>
  <c r="Q449" i="20"/>
  <c r="N449" i="20"/>
  <c r="T449" i="20" s="1"/>
  <c r="M449" i="20"/>
  <c r="L449" i="20"/>
  <c r="K449" i="20"/>
  <c r="J449" i="20"/>
  <c r="I449" i="20"/>
  <c r="G449" i="20"/>
  <c r="B449" i="20"/>
  <c r="R449" i="20" s="1"/>
  <c r="P448" i="20"/>
  <c r="U448" i="20" s="1"/>
  <c r="L448" i="20"/>
  <c r="K448" i="20"/>
  <c r="J448" i="20"/>
  <c r="I448" i="20"/>
  <c r="G448" i="20"/>
  <c r="B448" i="20"/>
  <c r="O448" i="20" s="1"/>
  <c r="S448" i="20" s="1"/>
  <c r="R447" i="20"/>
  <c r="Q447" i="20"/>
  <c r="M447" i="20"/>
  <c r="L447" i="20"/>
  <c r="K447" i="20"/>
  <c r="J447" i="20"/>
  <c r="I447" i="20"/>
  <c r="G447" i="20"/>
  <c r="B447" i="20"/>
  <c r="P447" i="20" s="1"/>
  <c r="U447" i="20" s="1"/>
  <c r="L446" i="20"/>
  <c r="K446" i="20"/>
  <c r="J446" i="20"/>
  <c r="I446" i="20"/>
  <c r="G446" i="20"/>
  <c r="B446" i="20"/>
  <c r="R446" i="20" s="1"/>
  <c r="Q445" i="20"/>
  <c r="N445" i="20"/>
  <c r="T445" i="20" s="1"/>
  <c r="M445" i="20"/>
  <c r="L445" i="20"/>
  <c r="K445" i="20"/>
  <c r="J445" i="20"/>
  <c r="I445" i="20"/>
  <c r="G445" i="20"/>
  <c r="B445" i="20"/>
  <c r="R445" i="20" s="1"/>
  <c r="P444" i="20"/>
  <c r="U444" i="20" s="1"/>
  <c r="O444" i="20"/>
  <c r="S444" i="20" s="1"/>
  <c r="L444" i="20"/>
  <c r="K444" i="20"/>
  <c r="J444" i="20"/>
  <c r="I444" i="20"/>
  <c r="G444" i="20"/>
  <c r="B444" i="20"/>
  <c r="R443" i="20"/>
  <c r="Q443" i="20"/>
  <c r="L443" i="20"/>
  <c r="K443" i="20"/>
  <c r="J443" i="20"/>
  <c r="I443" i="20"/>
  <c r="G443" i="20"/>
  <c r="B443" i="20"/>
  <c r="P443" i="20" s="1"/>
  <c r="U443" i="20" s="1"/>
  <c r="Q442" i="20"/>
  <c r="L442" i="20"/>
  <c r="K442" i="20"/>
  <c r="J442" i="20"/>
  <c r="I442" i="20"/>
  <c r="G442" i="20"/>
  <c r="B442" i="20"/>
  <c r="R442" i="20" s="1"/>
  <c r="Q441" i="20"/>
  <c r="N441" i="20"/>
  <c r="T441" i="20" s="1"/>
  <c r="M441" i="20"/>
  <c r="L441" i="20"/>
  <c r="K441" i="20"/>
  <c r="J441" i="20"/>
  <c r="I441" i="20"/>
  <c r="G441" i="20"/>
  <c r="B441" i="20"/>
  <c r="R441" i="20" s="1"/>
  <c r="O440" i="20"/>
  <c r="S440" i="20" s="1"/>
  <c r="L440" i="20"/>
  <c r="K440" i="20"/>
  <c r="J440" i="20"/>
  <c r="I440" i="20"/>
  <c r="G440" i="20"/>
  <c r="B440" i="20"/>
  <c r="M440" i="20" s="1"/>
  <c r="R439" i="20"/>
  <c r="O439" i="20"/>
  <c r="S439" i="20" s="1"/>
  <c r="M439" i="20"/>
  <c r="L439" i="20"/>
  <c r="K439" i="20"/>
  <c r="J439" i="20"/>
  <c r="I439" i="20"/>
  <c r="G439" i="20"/>
  <c r="B439" i="20"/>
  <c r="S438" i="20"/>
  <c r="O438" i="20"/>
  <c r="M438" i="20"/>
  <c r="L438" i="20"/>
  <c r="K438" i="20"/>
  <c r="J438" i="20"/>
  <c r="I438" i="20"/>
  <c r="G438" i="20"/>
  <c r="B438" i="20"/>
  <c r="N437" i="20"/>
  <c r="T437" i="20" s="1"/>
  <c r="L437" i="20"/>
  <c r="K437" i="20"/>
  <c r="J437" i="20"/>
  <c r="I437" i="20"/>
  <c r="G437" i="20"/>
  <c r="B437" i="20"/>
  <c r="M437" i="20" s="1"/>
  <c r="S436" i="20"/>
  <c r="O436" i="20"/>
  <c r="M436" i="20"/>
  <c r="L436" i="20"/>
  <c r="K436" i="20"/>
  <c r="J436" i="20"/>
  <c r="I436" i="20"/>
  <c r="G436" i="20"/>
  <c r="B436" i="20"/>
  <c r="S435" i="20"/>
  <c r="O435" i="20"/>
  <c r="L435" i="20"/>
  <c r="K435" i="20"/>
  <c r="J435" i="20"/>
  <c r="I435" i="20"/>
  <c r="G435" i="20"/>
  <c r="B435" i="20"/>
  <c r="M435" i="20" s="1"/>
  <c r="O434" i="20"/>
  <c r="S434" i="20" s="1"/>
  <c r="L434" i="20"/>
  <c r="K434" i="20"/>
  <c r="J434" i="20"/>
  <c r="I434" i="20"/>
  <c r="G434" i="20"/>
  <c r="B434" i="20"/>
  <c r="M434" i="20" s="1"/>
  <c r="M433" i="20"/>
  <c r="L433" i="20"/>
  <c r="K433" i="20"/>
  <c r="J433" i="20"/>
  <c r="I433" i="20"/>
  <c r="G433" i="20"/>
  <c r="B433" i="20"/>
  <c r="N433" i="20" s="1"/>
  <c r="T433" i="20" s="1"/>
  <c r="L432" i="20"/>
  <c r="K432" i="20"/>
  <c r="J432" i="20"/>
  <c r="I432" i="20"/>
  <c r="G432" i="20"/>
  <c r="B432" i="20"/>
  <c r="O432" i="20" s="1"/>
  <c r="S432" i="20" s="1"/>
  <c r="L431" i="20"/>
  <c r="K431" i="20"/>
  <c r="J431" i="20"/>
  <c r="I431" i="20"/>
  <c r="G431" i="20"/>
  <c r="B431" i="20"/>
  <c r="Q431" i="20" s="1"/>
  <c r="M430" i="20"/>
  <c r="L430" i="20"/>
  <c r="K430" i="20"/>
  <c r="J430" i="20"/>
  <c r="I430" i="20"/>
  <c r="G430" i="20"/>
  <c r="B430" i="20"/>
  <c r="O430" i="20" s="1"/>
  <c r="S430" i="20" s="1"/>
  <c r="L429" i="20"/>
  <c r="K429" i="20"/>
  <c r="J429" i="20"/>
  <c r="I429" i="20"/>
  <c r="G429" i="20"/>
  <c r="B429" i="20"/>
  <c r="N429" i="20" s="1"/>
  <c r="T429" i="20" s="1"/>
  <c r="L428" i="20"/>
  <c r="K428" i="20"/>
  <c r="J428" i="20"/>
  <c r="I428" i="20"/>
  <c r="G428" i="20"/>
  <c r="B428" i="20"/>
  <c r="R428" i="20" s="1"/>
  <c r="R427" i="20"/>
  <c r="Q427" i="20"/>
  <c r="O427" i="20"/>
  <c r="S427" i="20" s="1"/>
  <c r="L427" i="20"/>
  <c r="K427" i="20"/>
  <c r="J427" i="20"/>
  <c r="I427" i="20"/>
  <c r="G427" i="20"/>
  <c r="B427" i="20"/>
  <c r="N427" i="20" s="1"/>
  <c r="T427" i="20" s="1"/>
  <c r="L426" i="20"/>
  <c r="K426" i="20"/>
  <c r="J426" i="20"/>
  <c r="I426" i="20"/>
  <c r="G426" i="20"/>
  <c r="B426" i="20"/>
  <c r="Q426" i="20" s="1"/>
  <c r="N425" i="20"/>
  <c r="T425" i="20" s="1"/>
  <c r="L425" i="20"/>
  <c r="K425" i="20"/>
  <c r="J425" i="20"/>
  <c r="I425" i="20"/>
  <c r="G425" i="20"/>
  <c r="B425" i="20"/>
  <c r="M425" i="20" s="1"/>
  <c r="N424" i="20"/>
  <c r="T424" i="20" s="1"/>
  <c r="L424" i="20"/>
  <c r="K424" i="20"/>
  <c r="J424" i="20"/>
  <c r="I424" i="20"/>
  <c r="G424" i="20"/>
  <c r="B424" i="20"/>
  <c r="R424" i="20" s="1"/>
  <c r="N423" i="20"/>
  <c r="T423" i="20" s="1"/>
  <c r="L423" i="20"/>
  <c r="K423" i="20"/>
  <c r="J423" i="20"/>
  <c r="I423" i="20"/>
  <c r="G423" i="20"/>
  <c r="B423" i="20"/>
  <c r="R423" i="20" s="1"/>
  <c r="R422" i="20"/>
  <c r="Q422" i="20"/>
  <c r="P422" i="20"/>
  <c r="U422" i="20" s="1"/>
  <c r="M422" i="20"/>
  <c r="L422" i="20"/>
  <c r="K422" i="20"/>
  <c r="J422" i="20"/>
  <c r="I422" i="20"/>
  <c r="G422" i="20"/>
  <c r="B422" i="20"/>
  <c r="N422" i="20" s="1"/>
  <c r="T422" i="20" s="1"/>
  <c r="R421" i="20"/>
  <c r="L421" i="20"/>
  <c r="K421" i="20"/>
  <c r="J421" i="20"/>
  <c r="I421" i="20"/>
  <c r="G421" i="20"/>
  <c r="B421" i="20"/>
  <c r="P421" i="20" s="1"/>
  <c r="U421" i="20" s="1"/>
  <c r="Q420" i="20"/>
  <c r="M420" i="20"/>
  <c r="L420" i="20"/>
  <c r="K420" i="20"/>
  <c r="J420" i="20"/>
  <c r="I420" i="20"/>
  <c r="G420" i="20"/>
  <c r="B420" i="20"/>
  <c r="R420" i="20" s="1"/>
  <c r="N419" i="20"/>
  <c r="T419" i="20" s="1"/>
  <c r="L419" i="20"/>
  <c r="K419" i="20"/>
  <c r="J419" i="20"/>
  <c r="I419" i="20"/>
  <c r="G419" i="20"/>
  <c r="B419" i="20"/>
  <c r="R419" i="20" s="1"/>
  <c r="Q418" i="20"/>
  <c r="P418" i="20"/>
  <c r="U418" i="20" s="1"/>
  <c r="M418" i="20"/>
  <c r="L418" i="20"/>
  <c r="K418" i="20"/>
  <c r="J418" i="20"/>
  <c r="I418" i="20"/>
  <c r="G418" i="20"/>
  <c r="B418" i="20"/>
  <c r="N418" i="20" s="1"/>
  <c r="T418" i="20" s="1"/>
  <c r="R417" i="20"/>
  <c r="L417" i="20"/>
  <c r="K417" i="20"/>
  <c r="J417" i="20"/>
  <c r="I417" i="20"/>
  <c r="G417" i="20"/>
  <c r="B417" i="20"/>
  <c r="P417" i="20" s="1"/>
  <c r="U417" i="20" s="1"/>
  <c r="Q416" i="20"/>
  <c r="M416" i="20"/>
  <c r="L416" i="20"/>
  <c r="K416" i="20"/>
  <c r="J416" i="20"/>
  <c r="I416" i="20"/>
  <c r="G416" i="20"/>
  <c r="B416" i="20"/>
  <c r="R416" i="20" s="1"/>
  <c r="N415" i="20"/>
  <c r="T415" i="20" s="1"/>
  <c r="L415" i="20"/>
  <c r="K415" i="20"/>
  <c r="J415" i="20"/>
  <c r="I415" i="20"/>
  <c r="G415" i="20"/>
  <c r="B415" i="20"/>
  <c r="R415" i="20" s="1"/>
  <c r="Q414" i="20"/>
  <c r="P414" i="20"/>
  <c r="U414" i="20" s="1"/>
  <c r="M414" i="20"/>
  <c r="L414" i="20"/>
  <c r="K414" i="20"/>
  <c r="J414" i="20"/>
  <c r="I414" i="20"/>
  <c r="G414" i="20"/>
  <c r="B414" i="20"/>
  <c r="N414" i="20" s="1"/>
  <c r="T414" i="20" s="1"/>
  <c r="R413" i="20"/>
  <c r="L413" i="20"/>
  <c r="K413" i="20"/>
  <c r="J413" i="20"/>
  <c r="I413" i="20"/>
  <c r="G413" i="20"/>
  <c r="B413" i="20"/>
  <c r="P413" i="20" s="1"/>
  <c r="U413" i="20" s="1"/>
  <c r="Q412" i="20"/>
  <c r="M412" i="20"/>
  <c r="L412" i="20"/>
  <c r="K412" i="20"/>
  <c r="J412" i="20"/>
  <c r="I412" i="20"/>
  <c r="G412" i="20"/>
  <c r="B412" i="20"/>
  <c r="R412" i="20" s="1"/>
  <c r="N411" i="20"/>
  <c r="T411" i="20" s="1"/>
  <c r="L411" i="20"/>
  <c r="K411" i="20"/>
  <c r="J411" i="20"/>
  <c r="I411" i="20"/>
  <c r="G411" i="20"/>
  <c r="B411" i="20"/>
  <c r="R411" i="20" s="1"/>
  <c r="Q410" i="20"/>
  <c r="P410" i="20"/>
  <c r="U410" i="20" s="1"/>
  <c r="M410" i="20"/>
  <c r="L410" i="20"/>
  <c r="K410" i="20"/>
  <c r="J410" i="20"/>
  <c r="I410" i="20"/>
  <c r="G410" i="20"/>
  <c r="B410" i="20"/>
  <c r="N410" i="20" s="1"/>
  <c r="T410" i="20" s="1"/>
  <c r="R409" i="20"/>
  <c r="O409" i="20"/>
  <c r="S409" i="20" s="1"/>
  <c r="L409" i="20"/>
  <c r="K409" i="20"/>
  <c r="J409" i="20"/>
  <c r="I409" i="20"/>
  <c r="G409" i="20"/>
  <c r="B409" i="20"/>
  <c r="Q408" i="20"/>
  <c r="M408" i="20"/>
  <c r="L408" i="20"/>
  <c r="K408" i="20"/>
  <c r="J408" i="20"/>
  <c r="I408" i="20"/>
  <c r="G408" i="20"/>
  <c r="B408" i="20"/>
  <c r="R408" i="20" s="1"/>
  <c r="N407" i="20"/>
  <c r="T407" i="20" s="1"/>
  <c r="L407" i="20"/>
  <c r="K407" i="20"/>
  <c r="J407" i="20"/>
  <c r="I407" i="20"/>
  <c r="G407" i="20"/>
  <c r="B407" i="20"/>
  <c r="R407" i="20" s="1"/>
  <c r="Q406" i="20"/>
  <c r="P406" i="20"/>
  <c r="U406" i="20" s="1"/>
  <c r="M406" i="20"/>
  <c r="L406" i="20"/>
  <c r="K406" i="20"/>
  <c r="J406" i="20"/>
  <c r="I406" i="20"/>
  <c r="G406" i="20"/>
  <c r="B406" i="20"/>
  <c r="N406" i="20" s="1"/>
  <c r="T406" i="20" s="1"/>
  <c r="L405" i="20"/>
  <c r="K405" i="20"/>
  <c r="J405" i="20"/>
  <c r="I405" i="20"/>
  <c r="G405" i="20"/>
  <c r="B405" i="20"/>
  <c r="O405" i="20" s="1"/>
  <c r="S405" i="20" s="1"/>
  <c r="L404" i="20"/>
  <c r="K404" i="20"/>
  <c r="J404" i="20"/>
  <c r="I404" i="20"/>
  <c r="G404" i="20"/>
  <c r="B404" i="20"/>
  <c r="O404" i="20" s="1"/>
  <c r="S404" i="20" s="1"/>
  <c r="L403" i="20"/>
  <c r="K403" i="20"/>
  <c r="J403" i="20"/>
  <c r="I403" i="20"/>
  <c r="G403" i="20"/>
  <c r="B403" i="20"/>
  <c r="O403" i="20" s="1"/>
  <c r="S403" i="20" s="1"/>
  <c r="U402" i="20"/>
  <c r="Q402" i="20"/>
  <c r="P402" i="20"/>
  <c r="M402" i="20"/>
  <c r="L402" i="20"/>
  <c r="K402" i="20"/>
  <c r="J402" i="20"/>
  <c r="I402" i="20"/>
  <c r="G402" i="20"/>
  <c r="B402" i="20"/>
  <c r="N402" i="20" s="1"/>
  <c r="T402" i="20" s="1"/>
  <c r="L401" i="20"/>
  <c r="K401" i="20"/>
  <c r="J401" i="20"/>
  <c r="I401" i="20"/>
  <c r="G401" i="20"/>
  <c r="B401" i="20"/>
  <c r="O401" i="20" s="1"/>
  <c r="S401" i="20" s="1"/>
  <c r="L400" i="20"/>
  <c r="K400" i="20"/>
  <c r="J400" i="20"/>
  <c r="I400" i="20"/>
  <c r="G400" i="20"/>
  <c r="B400" i="20"/>
  <c r="O400" i="20" s="1"/>
  <c r="S400" i="20" s="1"/>
  <c r="L399" i="20"/>
  <c r="K399" i="20"/>
  <c r="J399" i="20"/>
  <c r="I399" i="20"/>
  <c r="G399" i="20"/>
  <c r="B399" i="20"/>
  <c r="O399" i="20" s="1"/>
  <c r="S399" i="20" s="1"/>
  <c r="U398" i="20"/>
  <c r="Q398" i="20"/>
  <c r="P398" i="20"/>
  <c r="M398" i="20"/>
  <c r="L398" i="20"/>
  <c r="K398" i="20"/>
  <c r="J398" i="20"/>
  <c r="I398" i="20"/>
  <c r="G398" i="20"/>
  <c r="B398" i="20"/>
  <c r="N398" i="20" s="1"/>
  <c r="T398" i="20" s="1"/>
  <c r="L397" i="20"/>
  <c r="K397" i="20"/>
  <c r="J397" i="20"/>
  <c r="I397" i="20"/>
  <c r="G397" i="20"/>
  <c r="B397" i="20"/>
  <c r="O397" i="20" s="1"/>
  <c r="S397" i="20" s="1"/>
  <c r="L396" i="20"/>
  <c r="K396" i="20"/>
  <c r="J396" i="20"/>
  <c r="I396" i="20"/>
  <c r="G396" i="20"/>
  <c r="B396" i="20"/>
  <c r="O396" i="20" s="1"/>
  <c r="S396" i="20" s="1"/>
  <c r="M395" i="20"/>
  <c r="L395" i="20"/>
  <c r="K395" i="20"/>
  <c r="J395" i="20"/>
  <c r="I395" i="20"/>
  <c r="G395" i="20"/>
  <c r="B395" i="20"/>
  <c r="N395" i="20" s="1"/>
  <c r="T395" i="20" s="1"/>
  <c r="L394" i="20"/>
  <c r="K394" i="20"/>
  <c r="J394" i="20"/>
  <c r="I394" i="20"/>
  <c r="G394" i="20"/>
  <c r="B394" i="20"/>
  <c r="O394" i="20" s="1"/>
  <c r="S394" i="20" s="1"/>
  <c r="R393" i="20"/>
  <c r="O393" i="20"/>
  <c r="S393" i="20" s="1"/>
  <c r="M393" i="20"/>
  <c r="L393" i="20"/>
  <c r="K393" i="20"/>
  <c r="J393" i="20"/>
  <c r="I393" i="20"/>
  <c r="G393" i="20"/>
  <c r="B393" i="20"/>
  <c r="M392" i="20"/>
  <c r="L392" i="20"/>
  <c r="K392" i="20"/>
  <c r="J392" i="20"/>
  <c r="I392" i="20"/>
  <c r="G392" i="20"/>
  <c r="B392" i="20"/>
  <c r="O392" i="20" s="1"/>
  <c r="S392" i="20" s="1"/>
  <c r="L391" i="20"/>
  <c r="K391" i="20"/>
  <c r="J391" i="20"/>
  <c r="I391" i="20"/>
  <c r="G391" i="20"/>
  <c r="B391" i="20"/>
  <c r="N391" i="20" s="1"/>
  <c r="T391" i="20" s="1"/>
  <c r="M390" i="20"/>
  <c r="L390" i="20"/>
  <c r="K390" i="20"/>
  <c r="J390" i="20"/>
  <c r="I390" i="20"/>
  <c r="G390" i="20"/>
  <c r="B390" i="20"/>
  <c r="O390" i="20" s="1"/>
  <c r="S390" i="20" s="1"/>
  <c r="R389" i="20"/>
  <c r="O389" i="20"/>
  <c r="S389" i="20" s="1"/>
  <c r="M389" i="20"/>
  <c r="L389" i="20"/>
  <c r="K389" i="20"/>
  <c r="J389" i="20"/>
  <c r="I389" i="20"/>
  <c r="G389" i="20"/>
  <c r="B389" i="20"/>
  <c r="L388" i="20"/>
  <c r="K388" i="20"/>
  <c r="J388" i="20"/>
  <c r="I388" i="20"/>
  <c r="G388" i="20"/>
  <c r="B388" i="20"/>
  <c r="M387" i="20"/>
  <c r="L387" i="20"/>
  <c r="K387" i="20"/>
  <c r="J387" i="20"/>
  <c r="I387" i="20"/>
  <c r="G387" i="20"/>
  <c r="B387" i="20"/>
  <c r="N387" i="20" s="1"/>
  <c r="T387" i="20" s="1"/>
  <c r="L386" i="20"/>
  <c r="K386" i="20"/>
  <c r="J386" i="20"/>
  <c r="I386" i="20"/>
  <c r="G386" i="20"/>
  <c r="B386" i="20"/>
  <c r="O386" i="20" s="1"/>
  <c r="S386" i="20" s="1"/>
  <c r="R385" i="20"/>
  <c r="O385" i="20"/>
  <c r="S385" i="20" s="1"/>
  <c r="L385" i="20"/>
  <c r="K385" i="20"/>
  <c r="J385" i="20"/>
  <c r="I385" i="20"/>
  <c r="G385" i="20"/>
  <c r="B385" i="20"/>
  <c r="M384" i="20"/>
  <c r="L384" i="20"/>
  <c r="K384" i="20"/>
  <c r="J384" i="20"/>
  <c r="I384" i="20"/>
  <c r="G384" i="20"/>
  <c r="B384" i="20"/>
  <c r="O384" i="20" s="1"/>
  <c r="S384" i="20" s="1"/>
  <c r="Q383" i="20"/>
  <c r="N383" i="20"/>
  <c r="T383" i="20" s="1"/>
  <c r="M383" i="20"/>
  <c r="L383" i="20"/>
  <c r="K383" i="20"/>
  <c r="J383" i="20"/>
  <c r="I383" i="20"/>
  <c r="G383" i="20"/>
  <c r="B383" i="20"/>
  <c r="Q382" i="20"/>
  <c r="M382" i="20"/>
  <c r="L382" i="20"/>
  <c r="K382" i="20"/>
  <c r="J382" i="20"/>
  <c r="I382" i="20"/>
  <c r="G382" i="20"/>
  <c r="B382" i="20"/>
  <c r="R382" i="20" s="1"/>
  <c r="R381" i="20"/>
  <c r="M381" i="20"/>
  <c r="L381" i="20"/>
  <c r="K381" i="20"/>
  <c r="J381" i="20"/>
  <c r="I381" i="20"/>
  <c r="G381" i="20"/>
  <c r="B381" i="20"/>
  <c r="N381" i="20" s="1"/>
  <c r="T381" i="20" s="1"/>
  <c r="R380" i="20"/>
  <c r="M380" i="20"/>
  <c r="L380" i="20"/>
  <c r="K380" i="20"/>
  <c r="J380" i="20"/>
  <c r="I380" i="20"/>
  <c r="G380" i="20"/>
  <c r="B380" i="20"/>
  <c r="P380" i="20" s="1"/>
  <c r="U380" i="20" s="1"/>
  <c r="P379" i="20"/>
  <c r="U379" i="20" s="1"/>
  <c r="N379" i="20"/>
  <c r="T379" i="20" s="1"/>
  <c r="L379" i="20"/>
  <c r="K379" i="20"/>
  <c r="J379" i="20"/>
  <c r="I379" i="20"/>
  <c r="G379" i="20"/>
  <c r="B379" i="20"/>
  <c r="R379" i="20" s="1"/>
  <c r="L378" i="20"/>
  <c r="K378" i="20"/>
  <c r="J378" i="20"/>
  <c r="I378" i="20"/>
  <c r="G378" i="20"/>
  <c r="B378" i="20"/>
  <c r="O378" i="20" s="1"/>
  <c r="S378" i="20" s="1"/>
  <c r="Q377" i="20"/>
  <c r="M377" i="20"/>
  <c r="L377" i="20"/>
  <c r="K377" i="20"/>
  <c r="J377" i="20"/>
  <c r="I377" i="20"/>
  <c r="G377" i="20"/>
  <c r="B377" i="20"/>
  <c r="O377" i="20" s="1"/>
  <c r="S377" i="20" s="1"/>
  <c r="L376" i="20"/>
  <c r="K376" i="20"/>
  <c r="J376" i="20"/>
  <c r="I376" i="20"/>
  <c r="G376" i="20"/>
  <c r="B376" i="20"/>
  <c r="O376" i="20" s="1"/>
  <c r="S376" i="20" s="1"/>
  <c r="Q375" i="20"/>
  <c r="M375" i="20"/>
  <c r="L375" i="20"/>
  <c r="K375" i="20"/>
  <c r="J375" i="20"/>
  <c r="I375" i="20"/>
  <c r="G375" i="20"/>
  <c r="B375" i="20"/>
  <c r="R375" i="20" s="1"/>
  <c r="L374" i="20"/>
  <c r="K374" i="20"/>
  <c r="J374" i="20"/>
  <c r="I374" i="20"/>
  <c r="G374" i="20"/>
  <c r="B374" i="20"/>
  <c r="O374" i="20" s="1"/>
  <c r="S374" i="20" s="1"/>
  <c r="L373" i="20"/>
  <c r="K373" i="20"/>
  <c r="J373" i="20"/>
  <c r="I373" i="20"/>
  <c r="G373" i="20"/>
  <c r="B373" i="20"/>
  <c r="O373" i="20" s="1"/>
  <c r="S373" i="20" s="1"/>
  <c r="L372" i="20"/>
  <c r="K372" i="20"/>
  <c r="J372" i="20"/>
  <c r="I372" i="20"/>
  <c r="G372" i="20"/>
  <c r="B372" i="20"/>
  <c r="O372" i="20" s="1"/>
  <c r="S372" i="20" s="1"/>
  <c r="L371" i="20"/>
  <c r="K371" i="20"/>
  <c r="J371" i="20"/>
  <c r="I371" i="20"/>
  <c r="G371" i="20"/>
  <c r="B371" i="20"/>
  <c r="O371" i="20" s="1"/>
  <c r="S371" i="20" s="1"/>
  <c r="L370" i="20"/>
  <c r="K370" i="20"/>
  <c r="J370" i="20"/>
  <c r="I370" i="20"/>
  <c r="G370" i="20"/>
  <c r="B370" i="20"/>
  <c r="O370" i="20" s="1"/>
  <c r="S370" i="20" s="1"/>
  <c r="L369" i="20"/>
  <c r="K369" i="20"/>
  <c r="J369" i="20"/>
  <c r="I369" i="20"/>
  <c r="G369" i="20"/>
  <c r="B369" i="20"/>
  <c r="O369" i="20" s="1"/>
  <c r="S369" i="20" s="1"/>
  <c r="L368" i="20"/>
  <c r="K368" i="20"/>
  <c r="J368" i="20"/>
  <c r="I368" i="20"/>
  <c r="G368" i="20"/>
  <c r="B368" i="20"/>
  <c r="O368" i="20" s="1"/>
  <c r="S368" i="20" s="1"/>
  <c r="L367" i="20"/>
  <c r="K367" i="20"/>
  <c r="J367" i="20"/>
  <c r="I367" i="20"/>
  <c r="G367" i="20"/>
  <c r="B367" i="20"/>
  <c r="O367" i="20" s="1"/>
  <c r="S367" i="20" s="1"/>
  <c r="L366" i="20"/>
  <c r="K366" i="20"/>
  <c r="J366" i="20"/>
  <c r="I366" i="20"/>
  <c r="G366" i="20"/>
  <c r="B366" i="20"/>
  <c r="O366" i="20" s="1"/>
  <c r="S366" i="20" s="1"/>
  <c r="L365" i="20"/>
  <c r="K365" i="20"/>
  <c r="J365" i="20"/>
  <c r="I365" i="20"/>
  <c r="G365" i="20"/>
  <c r="B365" i="20"/>
  <c r="O365" i="20" s="1"/>
  <c r="S365" i="20" s="1"/>
  <c r="L364" i="20"/>
  <c r="K364" i="20"/>
  <c r="J364" i="20"/>
  <c r="I364" i="20"/>
  <c r="G364" i="20"/>
  <c r="B364" i="20"/>
  <c r="O364" i="20" s="1"/>
  <c r="S364" i="20" s="1"/>
  <c r="L363" i="20"/>
  <c r="K363" i="20"/>
  <c r="J363" i="20"/>
  <c r="I363" i="20"/>
  <c r="G363" i="20"/>
  <c r="B363" i="20"/>
  <c r="O363" i="20" s="1"/>
  <c r="S363" i="20" s="1"/>
  <c r="L362" i="20"/>
  <c r="K362" i="20"/>
  <c r="J362" i="20"/>
  <c r="I362" i="20"/>
  <c r="G362" i="20"/>
  <c r="B362" i="20"/>
  <c r="O362" i="20" s="1"/>
  <c r="S362" i="20" s="1"/>
  <c r="L361" i="20"/>
  <c r="K361" i="20"/>
  <c r="J361" i="20"/>
  <c r="I361" i="20"/>
  <c r="G361" i="20"/>
  <c r="B361" i="20"/>
  <c r="O361" i="20" s="1"/>
  <c r="S361" i="20" s="1"/>
  <c r="L360" i="20"/>
  <c r="K360" i="20"/>
  <c r="J360" i="20"/>
  <c r="I360" i="20"/>
  <c r="G360" i="20"/>
  <c r="B360" i="20"/>
  <c r="O360" i="20" s="1"/>
  <c r="S360" i="20" s="1"/>
  <c r="L359" i="20"/>
  <c r="K359" i="20"/>
  <c r="J359" i="20"/>
  <c r="I359" i="20"/>
  <c r="G359" i="20"/>
  <c r="B359" i="20"/>
  <c r="O359" i="20" s="1"/>
  <c r="S359" i="20" s="1"/>
  <c r="L358" i="20"/>
  <c r="K358" i="20"/>
  <c r="J358" i="20"/>
  <c r="I358" i="20"/>
  <c r="G358" i="20"/>
  <c r="B358" i="20"/>
  <c r="Q358" i="20" s="1"/>
  <c r="L357" i="20"/>
  <c r="K357" i="20"/>
  <c r="J357" i="20"/>
  <c r="I357" i="20"/>
  <c r="G357" i="20"/>
  <c r="B357" i="20"/>
  <c r="Q357" i="20" s="1"/>
  <c r="Q356" i="20"/>
  <c r="L356" i="20"/>
  <c r="K356" i="20"/>
  <c r="J356" i="20"/>
  <c r="I356" i="20"/>
  <c r="G356" i="20"/>
  <c r="B356" i="20"/>
  <c r="M355" i="20"/>
  <c r="L355" i="20"/>
  <c r="K355" i="20"/>
  <c r="J355" i="20"/>
  <c r="I355" i="20"/>
  <c r="G355" i="20"/>
  <c r="B355" i="20"/>
  <c r="N355" i="20" s="1"/>
  <c r="T355" i="20" s="1"/>
  <c r="P354" i="20"/>
  <c r="U354" i="20" s="1"/>
  <c r="L354" i="20"/>
  <c r="K354" i="20"/>
  <c r="J354" i="20"/>
  <c r="I354" i="20"/>
  <c r="G354" i="20"/>
  <c r="B354" i="20"/>
  <c r="R353" i="20"/>
  <c r="O353" i="20"/>
  <c r="S353" i="20" s="1"/>
  <c r="M353" i="20"/>
  <c r="L353" i="20"/>
  <c r="K353" i="20"/>
  <c r="J353" i="20"/>
  <c r="I353" i="20"/>
  <c r="G353" i="20"/>
  <c r="B353" i="20"/>
  <c r="M352" i="20"/>
  <c r="L352" i="20"/>
  <c r="K352" i="20"/>
  <c r="J352" i="20"/>
  <c r="I352" i="20"/>
  <c r="G352" i="20"/>
  <c r="B352" i="20"/>
  <c r="O352" i="20" s="1"/>
  <c r="S352" i="20" s="1"/>
  <c r="L351" i="20"/>
  <c r="K351" i="20"/>
  <c r="J351" i="20"/>
  <c r="I351" i="20"/>
  <c r="G351" i="20"/>
  <c r="B351" i="20"/>
  <c r="O351" i="20" s="1"/>
  <c r="S351" i="20" s="1"/>
  <c r="M350" i="20"/>
  <c r="L350" i="20"/>
  <c r="K350" i="20"/>
  <c r="J350" i="20"/>
  <c r="I350" i="20"/>
  <c r="G350" i="20"/>
  <c r="B350" i="20"/>
  <c r="O350" i="20" s="1"/>
  <c r="S350" i="20" s="1"/>
  <c r="R349" i="20"/>
  <c r="O349" i="20"/>
  <c r="S349" i="20" s="1"/>
  <c r="L349" i="20"/>
  <c r="K349" i="20"/>
  <c r="J349" i="20"/>
  <c r="I349" i="20"/>
  <c r="G349" i="20"/>
  <c r="B349" i="20"/>
  <c r="L348" i="20"/>
  <c r="K348" i="20"/>
  <c r="J348" i="20"/>
  <c r="I348" i="20"/>
  <c r="G348" i="20"/>
  <c r="B348" i="20"/>
  <c r="Q348" i="20" s="1"/>
  <c r="Q347" i="20"/>
  <c r="N347" i="20"/>
  <c r="T347" i="20" s="1"/>
  <c r="L347" i="20"/>
  <c r="K347" i="20"/>
  <c r="J347" i="20"/>
  <c r="I347" i="20"/>
  <c r="G347" i="20"/>
  <c r="B347" i="20"/>
  <c r="M347" i="20" s="1"/>
  <c r="L346" i="20"/>
  <c r="K346" i="20"/>
  <c r="J346" i="20"/>
  <c r="I346" i="20"/>
  <c r="G346" i="20"/>
  <c r="B346" i="20"/>
  <c r="Q345" i="20"/>
  <c r="M345" i="20"/>
  <c r="L345" i="20"/>
  <c r="K345" i="20"/>
  <c r="J345" i="20"/>
  <c r="I345" i="20"/>
  <c r="G345" i="20"/>
  <c r="B345" i="20"/>
  <c r="R345" i="20" s="1"/>
  <c r="L344" i="20"/>
  <c r="K344" i="20"/>
  <c r="J344" i="20"/>
  <c r="I344" i="20"/>
  <c r="G344" i="20"/>
  <c r="B344" i="20"/>
  <c r="O344" i="20" s="1"/>
  <c r="S344" i="20" s="1"/>
  <c r="Q343" i="20"/>
  <c r="M343" i="20"/>
  <c r="L343" i="20"/>
  <c r="K343" i="20"/>
  <c r="J343" i="20"/>
  <c r="I343" i="20"/>
  <c r="G343" i="20"/>
  <c r="B343" i="20"/>
  <c r="P343" i="20" s="1"/>
  <c r="U343" i="20" s="1"/>
  <c r="O342" i="20"/>
  <c r="S342" i="20" s="1"/>
  <c r="L342" i="20"/>
  <c r="K342" i="20"/>
  <c r="J342" i="20"/>
  <c r="I342" i="20"/>
  <c r="G342" i="20"/>
  <c r="B342" i="20"/>
  <c r="M341" i="20"/>
  <c r="L341" i="20"/>
  <c r="K341" i="20"/>
  <c r="J341" i="20"/>
  <c r="I341" i="20"/>
  <c r="G341" i="20"/>
  <c r="B341" i="20"/>
  <c r="O341" i="20" s="1"/>
  <c r="S341" i="20" s="1"/>
  <c r="O340" i="20"/>
  <c r="S340" i="20" s="1"/>
  <c r="L340" i="20"/>
  <c r="K340" i="20"/>
  <c r="J340" i="20"/>
  <c r="I340" i="20"/>
  <c r="G340" i="20"/>
  <c r="B340" i="20"/>
  <c r="L339" i="20"/>
  <c r="K339" i="20"/>
  <c r="J339" i="20"/>
  <c r="I339" i="20"/>
  <c r="G339" i="20"/>
  <c r="B339" i="20"/>
  <c r="O339" i="20" s="1"/>
  <c r="S339" i="20" s="1"/>
  <c r="O338" i="20"/>
  <c r="S338" i="20" s="1"/>
  <c r="L338" i="20"/>
  <c r="K338" i="20"/>
  <c r="J338" i="20"/>
  <c r="I338" i="20"/>
  <c r="G338" i="20"/>
  <c r="B338" i="20"/>
  <c r="L337" i="20"/>
  <c r="K337" i="20"/>
  <c r="J337" i="20"/>
  <c r="I337" i="20"/>
  <c r="G337" i="20"/>
  <c r="B337" i="20"/>
  <c r="O337" i="20" s="1"/>
  <c r="S337" i="20" s="1"/>
  <c r="O336" i="20"/>
  <c r="S336" i="20" s="1"/>
  <c r="L336" i="20"/>
  <c r="K336" i="20"/>
  <c r="J336" i="20"/>
  <c r="I336" i="20"/>
  <c r="G336" i="20"/>
  <c r="B336" i="20"/>
  <c r="L335" i="20"/>
  <c r="K335" i="20"/>
  <c r="J335" i="20"/>
  <c r="I335" i="20"/>
  <c r="G335" i="20"/>
  <c r="B335" i="20"/>
  <c r="O335" i="20" s="1"/>
  <c r="S335" i="20" s="1"/>
  <c r="O334" i="20"/>
  <c r="S334" i="20" s="1"/>
  <c r="L334" i="20"/>
  <c r="K334" i="20"/>
  <c r="J334" i="20"/>
  <c r="I334" i="20"/>
  <c r="G334" i="20"/>
  <c r="B334" i="20"/>
  <c r="L333" i="20"/>
  <c r="K333" i="20"/>
  <c r="J333" i="20"/>
  <c r="I333" i="20"/>
  <c r="G333" i="20"/>
  <c r="B333" i="20"/>
  <c r="O333" i="20" s="1"/>
  <c r="S333" i="20" s="1"/>
  <c r="O332" i="20"/>
  <c r="S332" i="20" s="1"/>
  <c r="L332" i="20"/>
  <c r="K332" i="20"/>
  <c r="J332" i="20"/>
  <c r="I332" i="20"/>
  <c r="G332" i="20"/>
  <c r="B332" i="20"/>
  <c r="L331" i="20"/>
  <c r="K331" i="20"/>
  <c r="J331" i="20"/>
  <c r="I331" i="20"/>
  <c r="G331" i="20"/>
  <c r="B331" i="20"/>
  <c r="O331" i="20" s="1"/>
  <c r="S331" i="20" s="1"/>
  <c r="O330" i="20"/>
  <c r="S330" i="20" s="1"/>
  <c r="L330" i="20"/>
  <c r="K330" i="20"/>
  <c r="J330" i="20"/>
  <c r="I330" i="20"/>
  <c r="G330" i="20"/>
  <c r="B330" i="20"/>
  <c r="L329" i="20"/>
  <c r="K329" i="20"/>
  <c r="J329" i="20"/>
  <c r="I329" i="20"/>
  <c r="G329" i="20"/>
  <c r="B329" i="20"/>
  <c r="O329" i="20" s="1"/>
  <c r="S329" i="20" s="1"/>
  <c r="O328" i="20"/>
  <c r="S328" i="20" s="1"/>
  <c r="L328" i="20"/>
  <c r="K328" i="20"/>
  <c r="J328" i="20"/>
  <c r="I328" i="20"/>
  <c r="G328" i="20"/>
  <c r="B328" i="20"/>
  <c r="L327" i="20"/>
  <c r="K327" i="20"/>
  <c r="J327" i="20"/>
  <c r="I327" i="20"/>
  <c r="G327" i="20"/>
  <c r="B327" i="20"/>
  <c r="O327" i="20" s="1"/>
  <c r="S327" i="20" s="1"/>
  <c r="L326" i="20"/>
  <c r="K326" i="20"/>
  <c r="J326" i="20"/>
  <c r="I326" i="20"/>
  <c r="G326" i="20"/>
  <c r="B326" i="20"/>
  <c r="L325" i="20"/>
  <c r="K325" i="20"/>
  <c r="J325" i="20"/>
  <c r="I325" i="20"/>
  <c r="G325" i="20"/>
  <c r="B325" i="20"/>
  <c r="O325" i="20" s="1"/>
  <c r="S325" i="20" s="1"/>
  <c r="Q324" i="20"/>
  <c r="L324" i="20"/>
  <c r="K324" i="20"/>
  <c r="J324" i="20"/>
  <c r="I324" i="20"/>
  <c r="G324" i="20"/>
  <c r="B324" i="20"/>
  <c r="L323" i="20"/>
  <c r="K323" i="20"/>
  <c r="J323" i="20"/>
  <c r="I323" i="20"/>
  <c r="G323" i="20"/>
  <c r="B323" i="20"/>
  <c r="Q322" i="20"/>
  <c r="L322" i="20"/>
  <c r="K322" i="20"/>
  <c r="J322" i="20"/>
  <c r="I322" i="20"/>
  <c r="G322" i="20"/>
  <c r="B322" i="20"/>
  <c r="L321" i="20"/>
  <c r="K321" i="20"/>
  <c r="J321" i="20"/>
  <c r="I321" i="20"/>
  <c r="G321" i="20"/>
  <c r="B321" i="20"/>
  <c r="Q320" i="20"/>
  <c r="L320" i="20"/>
  <c r="K320" i="20"/>
  <c r="J320" i="20"/>
  <c r="I320" i="20"/>
  <c r="G320" i="20"/>
  <c r="B320" i="20"/>
  <c r="L319" i="20"/>
  <c r="K319" i="20"/>
  <c r="J319" i="20"/>
  <c r="I319" i="20"/>
  <c r="G319" i="20"/>
  <c r="B319" i="20"/>
  <c r="Q318" i="20"/>
  <c r="L318" i="20"/>
  <c r="K318" i="20"/>
  <c r="J318" i="20"/>
  <c r="I318" i="20"/>
  <c r="G318" i="20"/>
  <c r="B318" i="20"/>
  <c r="L317" i="20"/>
  <c r="K317" i="20"/>
  <c r="J317" i="20"/>
  <c r="I317" i="20"/>
  <c r="G317" i="20"/>
  <c r="B317" i="20"/>
  <c r="Q316" i="20"/>
  <c r="L316" i="20"/>
  <c r="K316" i="20"/>
  <c r="J316" i="20"/>
  <c r="I316" i="20"/>
  <c r="G316" i="20"/>
  <c r="B316" i="20"/>
  <c r="M315" i="20"/>
  <c r="L315" i="20"/>
  <c r="K315" i="20"/>
  <c r="J315" i="20"/>
  <c r="I315" i="20"/>
  <c r="G315" i="20"/>
  <c r="B315" i="20"/>
  <c r="N315" i="20" s="1"/>
  <c r="T315" i="20" s="1"/>
  <c r="P314" i="20"/>
  <c r="U314" i="20" s="1"/>
  <c r="L314" i="20"/>
  <c r="K314" i="20"/>
  <c r="J314" i="20"/>
  <c r="I314" i="20"/>
  <c r="G314" i="20"/>
  <c r="B314" i="20"/>
  <c r="R313" i="20"/>
  <c r="Q313" i="20"/>
  <c r="N313" i="20"/>
  <c r="T313" i="20" s="1"/>
  <c r="L313" i="20"/>
  <c r="K313" i="20"/>
  <c r="J313" i="20"/>
  <c r="I313" i="20"/>
  <c r="G313" i="20"/>
  <c r="B313" i="20"/>
  <c r="P313" i="20" s="1"/>
  <c r="U313" i="20" s="1"/>
  <c r="P312" i="20"/>
  <c r="U312" i="20" s="1"/>
  <c r="M312" i="20"/>
  <c r="L312" i="20"/>
  <c r="K312" i="20"/>
  <c r="J312" i="20"/>
  <c r="I312" i="20"/>
  <c r="G312" i="20"/>
  <c r="B312" i="20"/>
  <c r="R311" i="20"/>
  <c r="M311" i="20"/>
  <c r="L311" i="20"/>
  <c r="K311" i="20"/>
  <c r="J311" i="20"/>
  <c r="I311" i="20"/>
  <c r="G311" i="20"/>
  <c r="B311" i="20"/>
  <c r="O311" i="20" s="1"/>
  <c r="S311" i="20" s="1"/>
  <c r="Q310" i="20"/>
  <c r="P310" i="20"/>
  <c r="U310" i="20" s="1"/>
  <c r="N310" i="20"/>
  <c r="T310" i="20" s="1"/>
  <c r="L310" i="20"/>
  <c r="K310" i="20"/>
  <c r="J310" i="20"/>
  <c r="I310" i="20"/>
  <c r="G310" i="20"/>
  <c r="B310" i="20"/>
  <c r="R310" i="20" s="1"/>
  <c r="T309" i="20"/>
  <c r="S309" i="20"/>
  <c r="R309" i="20"/>
  <c r="Q309" i="20"/>
  <c r="P309" i="20"/>
  <c r="U309" i="20" s="1"/>
  <c r="V309" i="20" s="1"/>
  <c r="N309" i="20"/>
  <c r="M309" i="20"/>
  <c r="L309" i="20"/>
  <c r="K309" i="20"/>
  <c r="J309" i="20"/>
  <c r="I309" i="20"/>
  <c r="G309" i="20"/>
  <c r="B309" i="20"/>
  <c r="O309" i="20" s="1"/>
  <c r="T308" i="20"/>
  <c r="R308" i="20"/>
  <c r="P308" i="20"/>
  <c r="U308" i="20" s="1"/>
  <c r="N308" i="20"/>
  <c r="M308" i="20"/>
  <c r="L308" i="20"/>
  <c r="K308" i="20"/>
  <c r="J308" i="20"/>
  <c r="I308" i="20"/>
  <c r="G308" i="20"/>
  <c r="B308" i="20"/>
  <c r="Q308" i="20" s="1"/>
  <c r="O307" i="20"/>
  <c r="S307" i="20" s="1"/>
  <c r="L307" i="20"/>
  <c r="K307" i="20"/>
  <c r="J307" i="20"/>
  <c r="I307" i="20"/>
  <c r="G307" i="20"/>
  <c r="B307" i="20"/>
  <c r="X306" i="20"/>
  <c r="V306" i="20"/>
  <c r="T306" i="20"/>
  <c r="R306" i="20"/>
  <c r="Q306" i="20"/>
  <c r="P306" i="20"/>
  <c r="U306" i="20" s="1"/>
  <c r="W306" i="20" s="1"/>
  <c r="N306" i="20"/>
  <c r="L306" i="20"/>
  <c r="K306" i="20"/>
  <c r="J306" i="20"/>
  <c r="I306" i="20"/>
  <c r="G306" i="20"/>
  <c r="B306" i="20"/>
  <c r="O306" i="20" s="1"/>
  <c r="S306" i="20" s="1"/>
  <c r="T305" i="20"/>
  <c r="R305" i="20"/>
  <c r="P305" i="20"/>
  <c r="U305" i="20" s="1"/>
  <c r="N305" i="20"/>
  <c r="M305" i="20"/>
  <c r="L305" i="20"/>
  <c r="K305" i="20"/>
  <c r="J305" i="20"/>
  <c r="I305" i="20"/>
  <c r="G305" i="20"/>
  <c r="B305" i="20"/>
  <c r="Q305" i="20" s="1"/>
  <c r="R304" i="20"/>
  <c r="P304" i="20"/>
  <c r="U304" i="20" s="1"/>
  <c r="N304" i="20"/>
  <c r="T304" i="20" s="1"/>
  <c r="M304" i="20"/>
  <c r="L304" i="20"/>
  <c r="K304" i="20"/>
  <c r="J304" i="20"/>
  <c r="I304" i="20"/>
  <c r="G304" i="20"/>
  <c r="B304" i="20"/>
  <c r="Q304" i="20" s="1"/>
  <c r="R303" i="20"/>
  <c r="O303" i="20"/>
  <c r="S303" i="20" s="1"/>
  <c r="N303" i="20"/>
  <c r="T303" i="20" s="1"/>
  <c r="L303" i="20"/>
  <c r="K303" i="20"/>
  <c r="J303" i="20"/>
  <c r="I303" i="20"/>
  <c r="G303" i="20"/>
  <c r="B303" i="20"/>
  <c r="V302" i="20"/>
  <c r="T302" i="20"/>
  <c r="R302" i="20"/>
  <c r="Q302" i="20"/>
  <c r="P302" i="20"/>
  <c r="U302" i="20" s="1"/>
  <c r="N302" i="20"/>
  <c r="L302" i="20"/>
  <c r="K302" i="20"/>
  <c r="J302" i="20"/>
  <c r="I302" i="20"/>
  <c r="G302" i="20"/>
  <c r="B302" i="20"/>
  <c r="O302" i="20" s="1"/>
  <c r="S302" i="20" s="1"/>
  <c r="S301" i="20"/>
  <c r="R301" i="20"/>
  <c r="Q301" i="20"/>
  <c r="P301" i="20"/>
  <c r="U301" i="20" s="1"/>
  <c r="N301" i="20"/>
  <c r="T301" i="20" s="1"/>
  <c r="V301" i="20" s="1"/>
  <c r="M301" i="20"/>
  <c r="L301" i="20"/>
  <c r="K301" i="20"/>
  <c r="J301" i="20"/>
  <c r="I301" i="20"/>
  <c r="G301" i="20"/>
  <c r="B301" i="20"/>
  <c r="O301" i="20" s="1"/>
  <c r="R300" i="20"/>
  <c r="P300" i="20"/>
  <c r="U300" i="20" s="1"/>
  <c r="N300" i="20"/>
  <c r="T300" i="20" s="1"/>
  <c r="M300" i="20"/>
  <c r="L300" i="20"/>
  <c r="K300" i="20"/>
  <c r="J300" i="20"/>
  <c r="I300" i="20"/>
  <c r="G300" i="20"/>
  <c r="B300" i="20"/>
  <c r="Q300" i="20" s="1"/>
  <c r="O299" i="20"/>
  <c r="S299" i="20" s="1"/>
  <c r="N299" i="20"/>
  <c r="T299" i="20" s="1"/>
  <c r="L299" i="20"/>
  <c r="K299" i="20"/>
  <c r="J299" i="20"/>
  <c r="I299" i="20"/>
  <c r="G299" i="20"/>
  <c r="B299" i="20"/>
  <c r="V298" i="20"/>
  <c r="T298" i="20"/>
  <c r="R298" i="20"/>
  <c r="Q298" i="20"/>
  <c r="P298" i="20"/>
  <c r="U298" i="20" s="1"/>
  <c r="N298" i="20"/>
  <c r="L298" i="20"/>
  <c r="K298" i="20"/>
  <c r="J298" i="20"/>
  <c r="I298" i="20"/>
  <c r="G298" i="20"/>
  <c r="B298" i="20"/>
  <c r="O298" i="20" s="1"/>
  <c r="S298" i="20" s="1"/>
  <c r="S297" i="20"/>
  <c r="R297" i="20"/>
  <c r="Q297" i="20"/>
  <c r="P297" i="20"/>
  <c r="U297" i="20" s="1"/>
  <c r="N297" i="20"/>
  <c r="T297" i="20" s="1"/>
  <c r="V297" i="20" s="1"/>
  <c r="M297" i="20"/>
  <c r="L297" i="20"/>
  <c r="K297" i="20"/>
  <c r="J297" i="20"/>
  <c r="I297" i="20"/>
  <c r="G297" i="20"/>
  <c r="B297" i="20"/>
  <c r="O297" i="20" s="1"/>
  <c r="R296" i="20"/>
  <c r="P296" i="20"/>
  <c r="U296" i="20" s="1"/>
  <c r="N296" i="20"/>
  <c r="T296" i="20" s="1"/>
  <c r="M296" i="20"/>
  <c r="L296" i="20"/>
  <c r="K296" i="20"/>
  <c r="J296" i="20"/>
  <c r="I296" i="20"/>
  <c r="G296" i="20"/>
  <c r="B296" i="20"/>
  <c r="Q296" i="20" s="1"/>
  <c r="O295" i="20"/>
  <c r="S295" i="20" s="1"/>
  <c r="N295" i="20"/>
  <c r="T295" i="20" s="1"/>
  <c r="L295" i="20"/>
  <c r="K295" i="20"/>
  <c r="J295" i="20"/>
  <c r="I295" i="20"/>
  <c r="G295" i="20"/>
  <c r="B295" i="20"/>
  <c r="V294" i="20"/>
  <c r="T294" i="20"/>
  <c r="R294" i="20"/>
  <c r="Q294" i="20"/>
  <c r="P294" i="20"/>
  <c r="U294" i="20" s="1"/>
  <c r="N294" i="20"/>
  <c r="L294" i="20"/>
  <c r="K294" i="20"/>
  <c r="J294" i="20"/>
  <c r="I294" i="20"/>
  <c r="G294" i="20"/>
  <c r="B294" i="20"/>
  <c r="O294" i="20" s="1"/>
  <c r="S294" i="20" s="1"/>
  <c r="S293" i="20"/>
  <c r="R293" i="20"/>
  <c r="Q293" i="20"/>
  <c r="P293" i="20"/>
  <c r="U293" i="20" s="1"/>
  <c r="N293" i="20"/>
  <c r="T293" i="20" s="1"/>
  <c r="V293" i="20" s="1"/>
  <c r="M293" i="20"/>
  <c r="L293" i="20"/>
  <c r="K293" i="20"/>
  <c r="J293" i="20"/>
  <c r="I293" i="20"/>
  <c r="G293" i="20"/>
  <c r="B293" i="20"/>
  <c r="O293" i="20" s="1"/>
  <c r="R292" i="20"/>
  <c r="P292" i="20"/>
  <c r="U292" i="20" s="1"/>
  <c r="N292" i="20"/>
  <c r="T292" i="20" s="1"/>
  <c r="M292" i="20"/>
  <c r="L292" i="20"/>
  <c r="K292" i="20"/>
  <c r="J292" i="20"/>
  <c r="I292" i="20"/>
  <c r="G292" i="20"/>
  <c r="B292" i="20"/>
  <c r="Q292" i="20" s="1"/>
  <c r="O291" i="20"/>
  <c r="S291" i="20" s="1"/>
  <c r="N291" i="20"/>
  <c r="T291" i="20" s="1"/>
  <c r="L291" i="20"/>
  <c r="K291" i="20"/>
  <c r="J291" i="20"/>
  <c r="I291" i="20"/>
  <c r="G291" i="20"/>
  <c r="B291" i="20"/>
  <c r="V290" i="20"/>
  <c r="T290" i="20"/>
  <c r="R290" i="20"/>
  <c r="Q290" i="20"/>
  <c r="P290" i="20"/>
  <c r="U290" i="20" s="1"/>
  <c r="N290" i="20"/>
  <c r="L290" i="20"/>
  <c r="K290" i="20"/>
  <c r="J290" i="20"/>
  <c r="I290" i="20"/>
  <c r="G290" i="20"/>
  <c r="B290" i="20"/>
  <c r="O290" i="20" s="1"/>
  <c r="S290" i="20" s="1"/>
  <c r="T289" i="20"/>
  <c r="S289" i="20"/>
  <c r="R289" i="20"/>
  <c r="Q289" i="20"/>
  <c r="P289" i="20"/>
  <c r="U289" i="20" s="1"/>
  <c r="N289" i="20"/>
  <c r="M289" i="20"/>
  <c r="L289" i="20"/>
  <c r="K289" i="20"/>
  <c r="J289" i="20"/>
  <c r="I289" i="20"/>
  <c r="G289" i="20"/>
  <c r="B289" i="20"/>
  <c r="O289" i="20" s="1"/>
  <c r="L288" i="20"/>
  <c r="K288" i="20"/>
  <c r="J288" i="20"/>
  <c r="I288" i="20"/>
  <c r="G288" i="20"/>
  <c r="B288" i="20"/>
  <c r="Q288" i="20" s="1"/>
  <c r="R287" i="20"/>
  <c r="Q287" i="20"/>
  <c r="O287" i="20"/>
  <c r="S287" i="20" s="1"/>
  <c r="L287" i="20"/>
  <c r="K287" i="20"/>
  <c r="J287" i="20"/>
  <c r="I287" i="20"/>
  <c r="G287" i="20"/>
  <c r="B287" i="20"/>
  <c r="M287" i="20" s="1"/>
  <c r="T286" i="20"/>
  <c r="R286" i="20"/>
  <c r="Q286" i="20"/>
  <c r="P286" i="20"/>
  <c r="U286" i="20" s="1"/>
  <c r="V286" i="20" s="1"/>
  <c r="N286" i="20"/>
  <c r="L286" i="20"/>
  <c r="K286" i="20"/>
  <c r="J286" i="20"/>
  <c r="I286" i="20"/>
  <c r="G286" i="20"/>
  <c r="B286" i="20"/>
  <c r="O286" i="20" s="1"/>
  <c r="S286" i="20" s="1"/>
  <c r="R285" i="20"/>
  <c r="Q285" i="20"/>
  <c r="P285" i="20"/>
  <c r="U285" i="20" s="1"/>
  <c r="N285" i="20"/>
  <c r="T285" i="20" s="1"/>
  <c r="M285" i="20"/>
  <c r="L285" i="20"/>
  <c r="K285" i="20"/>
  <c r="J285" i="20"/>
  <c r="I285" i="20"/>
  <c r="G285" i="20"/>
  <c r="B285" i="20"/>
  <c r="O285" i="20" s="1"/>
  <c r="S285" i="20" s="1"/>
  <c r="L284" i="20"/>
  <c r="K284" i="20"/>
  <c r="J284" i="20"/>
  <c r="I284" i="20"/>
  <c r="G284" i="20"/>
  <c r="B284" i="20"/>
  <c r="O284" i="20" s="1"/>
  <c r="S284" i="20" s="1"/>
  <c r="O283" i="20"/>
  <c r="S283" i="20" s="1"/>
  <c r="L283" i="20"/>
  <c r="K283" i="20"/>
  <c r="J283" i="20"/>
  <c r="I283" i="20"/>
  <c r="G283" i="20"/>
  <c r="B283" i="20"/>
  <c r="M283" i="20" s="1"/>
  <c r="S282" i="20"/>
  <c r="R282" i="20"/>
  <c r="Q282" i="20"/>
  <c r="P282" i="20"/>
  <c r="U282" i="20" s="1"/>
  <c r="N282" i="20"/>
  <c r="T282" i="20" s="1"/>
  <c r="V282" i="20" s="1"/>
  <c r="L282" i="20"/>
  <c r="K282" i="20"/>
  <c r="J282" i="20"/>
  <c r="I282" i="20"/>
  <c r="G282" i="20"/>
  <c r="B282" i="20"/>
  <c r="O282" i="20" s="1"/>
  <c r="U281" i="20"/>
  <c r="T281" i="20"/>
  <c r="R281" i="20"/>
  <c r="Q281" i="20"/>
  <c r="P281" i="20"/>
  <c r="N281" i="20"/>
  <c r="M281" i="20"/>
  <c r="L281" i="20"/>
  <c r="K281" i="20"/>
  <c r="J281" i="20"/>
  <c r="I281" i="20"/>
  <c r="G281" i="20"/>
  <c r="B281" i="20"/>
  <c r="O281" i="20" s="1"/>
  <c r="S281" i="20" s="1"/>
  <c r="N280" i="20"/>
  <c r="T280" i="20" s="1"/>
  <c r="M280" i="20"/>
  <c r="L280" i="20"/>
  <c r="K280" i="20"/>
  <c r="J280" i="20"/>
  <c r="I280" i="20"/>
  <c r="G280" i="20"/>
  <c r="B280" i="20"/>
  <c r="Q280" i="20" s="1"/>
  <c r="O279" i="20"/>
  <c r="S279" i="20" s="1"/>
  <c r="L279" i="20"/>
  <c r="K279" i="20"/>
  <c r="J279" i="20"/>
  <c r="I279" i="20"/>
  <c r="G279" i="20"/>
  <c r="B279" i="20"/>
  <c r="R278" i="20"/>
  <c r="Q278" i="20"/>
  <c r="P278" i="20"/>
  <c r="U278" i="20" s="1"/>
  <c r="N278" i="20"/>
  <c r="T278" i="20" s="1"/>
  <c r="L278" i="20"/>
  <c r="K278" i="20"/>
  <c r="J278" i="20"/>
  <c r="I278" i="20"/>
  <c r="G278" i="20"/>
  <c r="B278" i="20"/>
  <c r="O278" i="20" s="1"/>
  <c r="S278" i="20" s="1"/>
  <c r="T277" i="20"/>
  <c r="S277" i="20"/>
  <c r="R277" i="20"/>
  <c r="Q277" i="20"/>
  <c r="P277" i="20"/>
  <c r="U277" i="20" s="1"/>
  <c r="N277" i="20"/>
  <c r="M277" i="20"/>
  <c r="L277" i="20"/>
  <c r="K277" i="20"/>
  <c r="J277" i="20"/>
  <c r="I277" i="20"/>
  <c r="G277" i="20"/>
  <c r="B277" i="20"/>
  <c r="O277" i="20" s="1"/>
  <c r="R276" i="20"/>
  <c r="N276" i="20"/>
  <c r="T276" i="20" s="1"/>
  <c r="M276" i="20"/>
  <c r="L276" i="20"/>
  <c r="K276" i="20"/>
  <c r="J276" i="20"/>
  <c r="I276" i="20"/>
  <c r="G276" i="20"/>
  <c r="B276" i="20"/>
  <c r="Q276" i="20" s="1"/>
  <c r="O275" i="20"/>
  <c r="S275" i="20" s="1"/>
  <c r="L275" i="20"/>
  <c r="K275" i="20"/>
  <c r="J275" i="20"/>
  <c r="I275" i="20"/>
  <c r="G275" i="20"/>
  <c r="B275" i="20"/>
  <c r="R274" i="20"/>
  <c r="Q274" i="20"/>
  <c r="P274" i="20"/>
  <c r="U274" i="20" s="1"/>
  <c r="N274" i="20"/>
  <c r="T274" i="20" s="1"/>
  <c r="L274" i="20"/>
  <c r="K274" i="20"/>
  <c r="J274" i="20"/>
  <c r="I274" i="20"/>
  <c r="G274" i="20"/>
  <c r="B274" i="20"/>
  <c r="O274" i="20" s="1"/>
  <c r="S274" i="20" s="1"/>
  <c r="T273" i="20"/>
  <c r="R273" i="20"/>
  <c r="Q273" i="20"/>
  <c r="P273" i="20"/>
  <c r="U273" i="20" s="1"/>
  <c r="N273" i="20"/>
  <c r="M273" i="20"/>
  <c r="L273" i="20"/>
  <c r="K273" i="20"/>
  <c r="J273" i="20"/>
  <c r="I273" i="20"/>
  <c r="G273" i="20"/>
  <c r="B273" i="20"/>
  <c r="O273" i="20" s="1"/>
  <c r="S273" i="20" s="1"/>
  <c r="R272" i="20"/>
  <c r="N272" i="20"/>
  <c r="T272" i="20" s="1"/>
  <c r="M272" i="20"/>
  <c r="L272" i="20"/>
  <c r="K272" i="20"/>
  <c r="J272" i="20"/>
  <c r="I272" i="20"/>
  <c r="G272" i="20"/>
  <c r="B272" i="20"/>
  <c r="Q272" i="20" s="1"/>
  <c r="O271" i="20"/>
  <c r="S271" i="20" s="1"/>
  <c r="L271" i="20"/>
  <c r="K271" i="20"/>
  <c r="J271" i="20"/>
  <c r="I271" i="20"/>
  <c r="G271" i="20"/>
  <c r="B271" i="20"/>
  <c r="R270" i="20"/>
  <c r="Q270" i="20"/>
  <c r="P270" i="20"/>
  <c r="U270" i="20" s="1"/>
  <c r="N270" i="20"/>
  <c r="T270" i="20" s="1"/>
  <c r="L270" i="20"/>
  <c r="K270" i="20"/>
  <c r="J270" i="20"/>
  <c r="I270" i="20"/>
  <c r="G270" i="20"/>
  <c r="B270" i="20"/>
  <c r="O270" i="20" s="1"/>
  <c r="S270" i="20" s="1"/>
  <c r="T269" i="20"/>
  <c r="R269" i="20"/>
  <c r="Q269" i="20"/>
  <c r="P269" i="20"/>
  <c r="U269" i="20" s="1"/>
  <c r="N269" i="20"/>
  <c r="M269" i="20"/>
  <c r="L269" i="20"/>
  <c r="K269" i="20"/>
  <c r="J269" i="20"/>
  <c r="I269" i="20"/>
  <c r="G269" i="20"/>
  <c r="B269" i="20"/>
  <c r="O269" i="20" s="1"/>
  <c r="S269" i="20" s="1"/>
  <c r="R268" i="20"/>
  <c r="N268" i="20"/>
  <c r="T268" i="20" s="1"/>
  <c r="M268" i="20"/>
  <c r="L268" i="20"/>
  <c r="K268" i="20"/>
  <c r="J268" i="20"/>
  <c r="I268" i="20"/>
  <c r="G268" i="20"/>
  <c r="B268" i="20"/>
  <c r="Q268" i="20" s="1"/>
  <c r="L267" i="20"/>
  <c r="K267" i="20"/>
  <c r="J267" i="20"/>
  <c r="I267" i="20"/>
  <c r="G267" i="20"/>
  <c r="B267" i="20"/>
  <c r="R266" i="20"/>
  <c r="Q266" i="20"/>
  <c r="P266" i="20"/>
  <c r="U266" i="20" s="1"/>
  <c r="N266" i="20"/>
  <c r="T266" i="20" s="1"/>
  <c r="L266" i="20"/>
  <c r="K266" i="20"/>
  <c r="J266" i="20"/>
  <c r="I266" i="20"/>
  <c r="G266" i="20"/>
  <c r="B266" i="20"/>
  <c r="O266" i="20" s="1"/>
  <c r="S266" i="20" s="1"/>
  <c r="T265" i="20"/>
  <c r="R265" i="20"/>
  <c r="Q265" i="20"/>
  <c r="P265" i="20"/>
  <c r="U265" i="20" s="1"/>
  <c r="N265" i="20"/>
  <c r="M265" i="20"/>
  <c r="L265" i="20"/>
  <c r="K265" i="20"/>
  <c r="J265" i="20"/>
  <c r="I265" i="20"/>
  <c r="G265" i="20"/>
  <c r="B265" i="20"/>
  <c r="O265" i="20" s="1"/>
  <c r="S265" i="20" s="1"/>
  <c r="R264" i="20"/>
  <c r="M264" i="20"/>
  <c r="L264" i="20"/>
  <c r="K264" i="20"/>
  <c r="J264" i="20"/>
  <c r="I264" i="20"/>
  <c r="G264" i="20"/>
  <c r="B264" i="20"/>
  <c r="Q264" i="20" s="1"/>
  <c r="L263" i="20"/>
  <c r="K263" i="20"/>
  <c r="J263" i="20"/>
  <c r="I263" i="20"/>
  <c r="G263" i="20"/>
  <c r="B263" i="20"/>
  <c r="R262" i="20"/>
  <c r="Q262" i="20"/>
  <c r="P262" i="20"/>
  <c r="U262" i="20" s="1"/>
  <c r="N262" i="20"/>
  <c r="T262" i="20" s="1"/>
  <c r="L262" i="20"/>
  <c r="K262" i="20"/>
  <c r="J262" i="20"/>
  <c r="I262" i="20"/>
  <c r="G262" i="20"/>
  <c r="B262" i="20"/>
  <c r="O262" i="20" s="1"/>
  <c r="S262" i="20" s="1"/>
  <c r="T261" i="20"/>
  <c r="R261" i="20"/>
  <c r="Q261" i="20"/>
  <c r="P261" i="20"/>
  <c r="U261" i="20" s="1"/>
  <c r="N261" i="20"/>
  <c r="M261" i="20"/>
  <c r="L261" i="20"/>
  <c r="K261" i="20"/>
  <c r="J261" i="20"/>
  <c r="I261" i="20"/>
  <c r="G261" i="20"/>
  <c r="B261" i="20"/>
  <c r="O261" i="20" s="1"/>
  <c r="S261" i="20" s="1"/>
  <c r="R260" i="20"/>
  <c r="M260" i="20"/>
  <c r="L260" i="20"/>
  <c r="K260" i="20"/>
  <c r="J260" i="20"/>
  <c r="I260" i="20"/>
  <c r="G260" i="20"/>
  <c r="B260" i="20"/>
  <c r="Q260" i="20" s="1"/>
  <c r="L259" i="20"/>
  <c r="K259" i="20"/>
  <c r="J259" i="20"/>
  <c r="I259" i="20"/>
  <c r="G259" i="20"/>
  <c r="B259" i="20"/>
  <c r="R258" i="20"/>
  <c r="Q258" i="20"/>
  <c r="N258" i="20"/>
  <c r="T258" i="20" s="1"/>
  <c r="L258" i="20"/>
  <c r="K258" i="20"/>
  <c r="J258" i="20"/>
  <c r="I258" i="20"/>
  <c r="G258" i="20"/>
  <c r="B258" i="20"/>
  <c r="P258" i="20" s="1"/>
  <c r="U258" i="20" s="1"/>
  <c r="T257" i="20"/>
  <c r="R257" i="20"/>
  <c r="Q257" i="20"/>
  <c r="P257" i="20"/>
  <c r="U257" i="20" s="1"/>
  <c r="N257" i="20"/>
  <c r="M257" i="20"/>
  <c r="L257" i="20"/>
  <c r="K257" i="20"/>
  <c r="J257" i="20"/>
  <c r="I257" i="20"/>
  <c r="G257" i="20"/>
  <c r="B257" i="20"/>
  <c r="O257" i="20" s="1"/>
  <c r="S257" i="20" s="1"/>
  <c r="O256" i="20"/>
  <c r="S256" i="20" s="1"/>
  <c r="L256" i="20"/>
  <c r="K256" i="20"/>
  <c r="J256" i="20"/>
  <c r="I256" i="20"/>
  <c r="G256" i="20"/>
  <c r="B256" i="20"/>
  <c r="M256" i="20" s="1"/>
  <c r="Q255" i="20"/>
  <c r="O255" i="20"/>
  <c r="S255" i="20" s="1"/>
  <c r="L255" i="20"/>
  <c r="K255" i="20"/>
  <c r="J255" i="20"/>
  <c r="I255" i="20"/>
  <c r="G255" i="20"/>
  <c r="B255" i="20"/>
  <c r="R254" i="20"/>
  <c r="Q254" i="20"/>
  <c r="N254" i="20"/>
  <c r="T254" i="20" s="1"/>
  <c r="L254" i="20"/>
  <c r="K254" i="20"/>
  <c r="J254" i="20"/>
  <c r="I254" i="20"/>
  <c r="G254" i="20"/>
  <c r="B254" i="20"/>
  <c r="P254" i="20" s="1"/>
  <c r="U254" i="20" s="1"/>
  <c r="S253" i="20"/>
  <c r="R253" i="20"/>
  <c r="Q253" i="20"/>
  <c r="P253" i="20"/>
  <c r="U253" i="20" s="1"/>
  <c r="M253" i="20"/>
  <c r="L253" i="20"/>
  <c r="K253" i="20"/>
  <c r="J253" i="20"/>
  <c r="I253" i="20"/>
  <c r="G253" i="20"/>
  <c r="B253" i="20"/>
  <c r="O253" i="20" s="1"/>
  <c r="R252" i="20"/>
  <c r="N252" i="20"/>
  <c r="T252" i="20" s="1"/>
  <c r="M252" i="20"/>
  <c r="L252" i="20"/>
  <c r="K252" i="20"/>
  <c r="J252" i="20"/>
  <c r="I252" i="20"/>
  <c r="G252" i="20"/>
  <c r="B252" i="20"/>
  <c r="P251" i="20"/>
  <c r="U251" i="20" s="1"/>
  <c r="O251" i="20"/>
  <c r="S251" i="20" s="1"/>
  <c r="L251" i="20"/>
  <c r="K251" i="20"/>
  <c r="J251" i="20"/>
  <c r="I251" i="20"/>
  <c r="G251" i="20"/>
  <c r="B251" i="20"/>
  <c r="R250" i="20"/>
  <c r="Q250" i="20"/>
  <c r="N250" i="20"/>
  <c r="T250" i="20" s="1"/>
  <c r="L250" i="20"/>
  <c r="K250" i="20"/>
  <c r="J250" i="20"/>
  <c r="I250" i="20"/>
  <c r="G250" i="20"/>
  <c r="B250" i="20"/>
  <c r="P250" i="20" s="1"/>
  <c r="U250" i="20" s="1"/>
  <c r="R249" i="20"/>
  <c r="Q249" i="20"/>
  <c r="P249" i="20"/>
  <c r="U249" i="20" s="1"/>
  <c r="M249" i="20"/>
  <c r="L249" i="20"/>
  <c r="K249" i="20"/>
  <c r="J249" i="20"/>
  <c r="I249" i="20"/>
  <c r="G249" i="20"/>
  <c r="B249" i="20"/>
  <c r="O249" i="20" s="1"/>
  <c r="S249" i="20" s="1"/>
  <c r="M248" i="20"/>
  <c r="L248" i="20"/>
  <c r="K248" i="20"/>
  <c r="J248" i="20"/>
  <c r="I248" i="20"/>
  <c r="G248" i="20"/>
  <c r="B248" i="20"/>
  <c r="N248" i="20" s="1"/>
  <c r="T248" i="20" s="1"/>
  <c r="M247" i="20"/>
  <c r="L247" i="20"/>
  <c r="K247" i="20"/>
  <c r="J247" i="20"/>
  <c r="I247" i="20"/>
  <c r="G247" i="20"/>
  <c r="B247" i="20"/>
  <c r="R247" i="20" s="1"/>
  <c r="Q246" i="20"/>
  <c r="O246" i="20"/>
  <c r="S246" i="20" s="1"/>
  <c r="N246" i="20"/>
  <c r="T246" i="20" s="1"/>
  <c r="L246" i="20"/>
  <c r="K246" i="20"/>
  <c r="J246" i="20"/>
  <c r="I246" i="20"/>
  <c r="G246" i="20"/>
  <c r="B246" i="20"/>
  <c r="M246" i="20" s="1"/>
  <c r="U245" i="20"/>
  <c r="S245" i="20"/>
  <c r="R245" i="20"/>
  <c r="Q245" i="20"/>
  <c r="P245" i="20"/>
  <c r="M245" i="20"/>
  <c r="L245" i="20"/>
  <c r="K245" i="20"/>
  <c r="J245" i="20"/>
  <c r="I245" i="20"/>
  <c r="G245" i="20"/>
  <c r="B245" i="20"/>
  <c r="O245" i="20" s="1"/>
  <c r="R244" i="20"/>
  <c r="L244" i="20"/>
  <c r="K244" i="20"/>
  <c r="J244" i="20"/>
  <c r="I244" i="20"/>
  <c r="G244" i="20"/>
  <c r="B244" i="20"/>
  <c r="N244" i="20" s="1"/>
  <c r="T244" i="20" s="1"/>
  <c r="U243" i="20"/>
  <c r="Q243" i="20"/>
  <c r="P243" i="20"/>
  <c r="L243" i="20"/>
  <c r="K243" i="20"/>
  <c r="J243" i="20"/>
  <c r="I243" i="20"/>
  <c r="G243" i="20"/>
  <c r="B243" i="20"/>
  <c r="R243" i="20" s="1"/>
  <c r="U242" i="20"/>
  <c r="R242" i="20"/>
  <c r="Q242" i="20"/>
  <c r="P242" i="20"/>
  <c r="M242" i="20"/>
  <c r="L242" i="20"/>
  <c r="K242" i="20"/>
  <c r="J242" i="20"/>
  <c r="I242" i="20"/>
  <c r="G242" i="20"/>
  <c r="B242" i="20"/>
  <c r="O242" i="20" s="1"/>
  <c r="S242" i="20" s="1"/>
  <c r="T241" i="20"/>
  <c r="R241" i="20"/>
  <c r="Q241" i="20"/>
  <c r="M241" i="20"/>
  <c r="L241" i="20"/>
  <c r="K241" i="20"/>
  <c r="J241" i="20"/>
  <c r="I241" i="20"/>
  <c r="G241" i="20"/>
  <c r="B241" i="20"/>
  <c r="N241" i="20" s="1"/>
  <c r="U240" i="20"/>
  <c r="R240" i="20"/>
  <c r="Q240" i="20"/>
  <c r="M240" i="20"/>
  <c r="L240" i="20"/>
  <c r="K240" i="20"/>
  <c r="J240" i="20"/>
  <c r="I240" i="20"/>
  <c r="G240" i="20"/>
  <c r="B240" i="20"/>
  <c r="P240" i="20" s="1"/>
  <c r="U239" i="20"/>
  <c r="T239" i="20"/>
  <c r="Q239" i="20"/>
  <c r="P239" i="20"/>
  <c r="N239" i="20"/>
  <c r="M239" i="20"/>
  <c r="L239" i="20"/>
  <c r="K239" i="20"/>
  <c r="J239" i="20"/>
  <c r="I239" i="20"/>
  <c r="G239" i="20"/>
  <c r="B239" i="20"/>
  <c r="R239" i="20" s="1"/>
  <c r="R238" i="20"/>
  <c r="N238" i="20"/>
  <c r="T238" i="20" s="1"/>
  <c r="M238" i="20"/>
  <c r="L238" i="20"/>
  <c r="K238" i="20"/>
  <c r="J238" i="20"/>
  <c r="I238" i="20"/>
  <c r="G238" i="20"/>
  <c r="B238" i="20"/>
  <c r="Q238" i="20" s="1"/>
  <c r="T237" i="20"/>
  <c r="S237" i="20"/>
  <c r="O237" i="20"/>
  <c r="M237" i="20"/>
  <c r="L237" i="20"/>
  <c r="K237" i="20"/>
  <c r="J237" i="20"/>
  <c r="I237" i="20"/>
  <c r="G237" i="20"/>
  <c r="B237" i="20"/>
  <c r="N237" i="20" s="1"/>
  <c r="U236" i="20"/>
  <c r="L236" i="20"/>
  <c r="K236" i="20"/>
  <c r="J236" i="20"/>
  <c r="I236" i="20"/>
  <c r="G236" i="20"/>
  <c r="B236" i="20"/>
  <c r="P236" i="20" s="1"/>
  <c r="M235" i="20"/>
  <c r="L235" i="20"/>
  <c r="K235" i="20"/>
  <c r="J235" i="20"/>
  <c r="I235" i="20"/>
  <c r="G235" i="20"/>
  <c r="B235" i="20"/>
  <c r="R235" i="20" s="1"/>
  <c r="O234" i="20"/>
  <c r="S234" i="20" s="1"/>
  <c r="L234" i="20"/>
  <c r="K234" i="20"/>
  <c r="J234" i="20"/>
  <c r="I234" i="20"/>
  <c r="G234" i="20"/>
  <c r="B234" i="20"/>
  <c r="Q233" i="20"/>
  <c r="P233" i="20"/>
  <c r="U233" i="20" s="1"/>
  <c r="L233" i="20"/>
  <c r="K233" i="20"/>
  <c r="J233" i="20"/>
  <c r="I233" i="20"/>
  <c r="G233" i="20"/>
  <c r="B233" i="20"/>
  <c r="O233" i="20" s="1"/>
  <c r="S233" i="20" s="1"/>
  <c r="U232" i="20"/>
  <c r="W232" i="20" s="1"/>
  <c r="S232" i="20"/>
  <c r="R232" i="20"/>
  <c r="Q232" i="20"/>
  <c r="P232" i="20"/>
  <c r="N232" i="20"/>
  <c r="T232" i="20" s="1"/>
  <c r="M232" i="20"/>
  <c r="L232" i="20"/>
  <c r="K232" i="20"/>
  <c r="J232" i="20"/>
  <c r="I232" i="20"/>
  <c r="G232" i="20"/>
  <c r="B232" i="20"/>
  <c r="O232" i="20" s="1"/>
  <c r="M231" i="20"/>
  <c r="L231" i="20"/>
  <c r="K231" i="20"/>
  <c r="J231" i="20"/>
  <c r="I231" i="20"/>
  <c r="G231" i="20"/>
  <c r="B231" i="20"/>
  <c r="R231" i="20" s="1"/>
  <c r="L230" i="20"/>
  <c r="K230" i="20"/>
  <c r="J230" i="20"/>
  <c r="I230" i="20"/>
  <c r="G230" i="20"/>
  <c r="B230" i="20"/>
  <c r="O230" i="20" s="1"/>
  <c r="S230" i="20" s="1"/>
  <c r="Q229" i="20"/>
  <c r="P229" i="20"/>
  <c r="U229" i="20" s="1"/>
  <c r="L229" i="20"/>
  <c r="K229" i="20"/>
  <c r="J229" i="20"/>
  <c r="I229" i="20"/>
  <c r="G229" i="20"/>
  <c r="B229" i="20"/>
  <c r="O229" i="20" s="1"/>
  <c r="S229" i="20" s="1"/>
  <c r="U228" i="20"/>
  <c r="R228" i="20"/>
  <c r="Q228" i="20"/>
  <c r="P228" i="20"/>
  <c r="N228" i="20"/>
  <c r="T228" i="20" s="1"/>
  <c r="M228" i="20"/>
  <c r="L228" i="20"/>
  <c r="K228" i="20"/>
  <c r="J228" i="20"/>
  <c r="I228" i="20"/>
  <c r="G228" i="20"/>
  <c r="B228" i="20"/>
  <c r="O228" i="20" s="1"/>
  <c r="S228" i="20" s="1"/>
  <c r="M227" i="20"/>
  <c r="L227" i="20"/>
  <c r="K227" i="20"/>
  <c r="J227" i="20"/>
  <c r="I227" i="20"/>
  <c r="G227" i="20"/>
  <c r="B227" i="20"/>
  <c r="R227" i="20" s="1"/>
  <c r="L226" i="20"/>
  <c r="K226" i="20"/>
  <c r="J226" i="20"/>
  <c r="I226" i="20"/>
  <c r="G226" i="20"/>
  <c r="B226" i="20"/>
  <c r="Q225" i="20"/>
  <c r="P225" i="20"/>
  <c r="U225" i="20" s="1"/>
  <c r="L225" i="20"/>
  <c r="K225" i="20"/>
  <c r="J225" i="20"/>
  <c r="I225" i="20"/>
  <c r="G225" i="20"/>
  <c r="B225" i="20"/>
  <c r="O225" i="20" s="1"/>
  <c r="S225" i="20" s="1"/>
  <c r="U224" i="20"/>
  <c r="S224" i="20"/>
  <c r="R224" i="20"/>
  <c r="Q224" i="20"/>
  <c r="P224" i="20"/>
  <c r="N224" i="20"/>
  <c r="T224" i="20" s="1"/>
  <c r="M224" i="20"/>
  <c r="L224" i="20"/>
  <c r="K224" i="20"/>
  <c r="J224" i="20"/>
  <c r="I224" i="20"/>
  <c r="G224" i="20"/>
  <c r="B224" i="20"/>
  <c r="O224" i="20" s="1"/>
  <c r="M223" i="20"/>
  <c r="L223" i="20"/>
  <c r="K223" i="20"/>
  <c r="J223" i="20"/>
  <c r="I223" i="20"/>
  <c r="G223" i="20"/>
  <c r="B223" i="20"/>
  <c r="R223" i="20" s="1"/>
  <c r="O222" i="20"/>
  <c r="S222" i="20" s="1"/>
  <c r="L222" i="20"/>
  <c r="K222" i="20"/>
  <c r="J222" i="20"/>
  <c r="I222" i="20"/>
  <c r="G222" i="20"/>
  <c r="B222" i="20"/>
  <c r="Q221" i="20"/>
  <c r="P221" i="20"/>
  <c r="U221" i="20" s="1"/>
  <c r="L221" i="20"/>
  <c r="K221" i="20"/>
  <c r="J221" i="20"/>
  <c r="I221" i="20"/>
  <c r="G221" i="20"/>
  <c r="B221" i="20"/>
  <c r="O221" i="20" s="1"/>
  <c r="S221" i="20" s="1"/>
  <c r="U220" i="20"/>
  <c r="S220" i="20"/>
  <c r="R220" i="20"/>
  <c r="Q220" i="20"/>
  <c r="P220" i="20"/>
  <c r="N220" i="20"/>
  <c r="T220" i="20" s="1"/>
  <c r="M220" i="20"/>
  <c r="L220" i="20"/>
  <c r="K220" i="20"/>
  <c r="J220" i="20"/>
  <c r="I220" i="20"/>
  <c r="G220" i="20"/>
  <c r="B220" i="20"/>
  <c r="O220" i="20" s="1"/>
  <c r="M219" i="20"/>
  <c r="L219" i="20"/>
  <c r="K219" i="20"/>
  <c r="J219" i="20"/>
  <c r="I219" i="20"/>
  <c r="G219" i="20"/>
  <c r="B219" i="20"/>
  <c r="R219" i="20" s="1"/>
  <c r="L218" i="20"/>
  <c r="K218" i="20"/>
  <c r="J218" i="20"/>
  <c r="I218" i="20"/>
  <c r="G218" i="20"/>
  <c r="B218" i="20"/>
  <c r="O218" i="20" s="1"/>
  <c r="S218" i="20" s="1"/>
  <c r="Q217" i="20"/>
  <c r="P217" i="20"/>
  <c r="U217" i="20" s="1"/>
  <c r="L217" i="20"/>
  <c r="K217" i="20"/>
  <c r="J217" i="20"/>
  <c r="I217" i="20"/>
  <c r="G217" i="20"/>
  <c r="B217" i="20"/>
  <c r="O217" i="20" s="1"/>
  <c r="S217" i="20" s="1"/>
  <c r="U216" i="20"/>
  <c r="R216" i="20"/>
  <c r="Q216" i="20"/>
  <c r="P216" i="20"/>
  <c r="N216" i="20"/>
  <c r="T216" i="20" s="1"/>
  <c r="M216" i="20"/>
  <c r="L216" i="20"/>
  <c r="K216" i="20"/>
  <c r="J216" i="20"/>
  <c r="I216" i="20"/>
  <c r="G216" i="20"/>
  <c r="B216" i="20"/>
  <c r="O216" i="20" s="1"/>
  <c r="S216" i="20" s="1"/>
  <c r="M215" i="20"/>
  <c r="L215" i="20"/>
  <c r="K215" i="20"/>
  <c r="J215" i="20"/>
  <c r="I215" i="20"/>
  <c r="G215" i="20"/>
  <c r="B215" i="20"/>
  <c r="R215" i="20" s="1"/>
  <c r="L214" i="20"/>
  <c r="K214" i="20"/>
  <c r="J214" i="20"/>
  <c r="I214" i="20"/>
  <c r="G214" i="20"/>
  <c r="B214" i="20"/>
  <c r="O214" i="20" s="1"/>
  <c r="S214" i="20" s="1"/>
  <c r="Q213" i="20"/>
  <c r="P213" i="20"/>
  <c r="U213" i="20" s="1"/>
  <c r="L213" i="20"/>
  <c r="K213" i="20"/>
  <c r="J213" i="20"/>
  <c r="I213" i="20"/>
  <c r="G213" i="20"/>
  <c r="B213" i="20"/>
  <c r="O213" i="20" s="1"/>
  <c r="S213" i="20" s="1"/>
  <c r="U212" i="20"/>
  <c r="W212" i="20" s="1"/>
  <c r="S212" i="20"/>
  <c r="R212" i="20"/>
  <c r="Q212" i="20"/>
  <c r="P212" i="20"/>
  <c r="N212" i="20"/>
  <c r="T212" i="20" s="1"/>
  <c r="M212" i="20"/>
  <c r="L212" i="20"/>
  <c r="K212" i="20"/>
  <c r="J212" i="20"/>
  <c r="I212" i="20"/>
  <c r="G212" i="20"/>
  <c r="B212" i="20"/>
  <c r="O212" i="20" s="1"/>
  <c r="M211" i="20"/>
  <c r="L211" i="20"/>
  <c r="K211" i="20"/>
  <c r="J211" i="20"/>
  <c r="I211" i="20"/>
  <c r="G211" i="20"/>
  <c r="B211" i="20"/>
  <c r="R211" i="20" s="1"/>
  <c r="O210" i="20"/>
  <c r="S210" i="20" s="1"/>
  <c r="L210" i="20"/>
  <c r="K210" i="20"/>
  <c r="J210" i="20"/>
  <c r="I210" i="20"/>
  <c r="G210" i="20"/>
  <c r="B210" i="20"/>
  <c r="Q209" i="20"/>
  <c r="P209" i="20"/>
  <c r="U209" i="20" s="1"/>
  <c r="L209" i="20"/>
  <c r="K209" i="20"/>
  <c r="J209" i="20"/>
  <c r="I209" i="20"/>
  <c r="G209" i="20"/>
  <c r="B209" i="20"/>
  <c r="O209" i="20" s="1"/>
  <c r="S209" i="20" s="1"/>
  <c r="U208" i="20"/>
  <c r="W208" i="20" s="1"/>
  <c r="S208" i="20"/>
  <c r="R208" i="20"/>
  <c r="Q208" i="20"/>
  <c r="X208" i="20" s="1"/>
  <c r="P208" i="20"/>
  <c r="N208" i="20"/>
  <c r="T208" i="20" s="1"/>
  <c r="M208" i="20"/>
  <c r="L208" i="20"/>
  <c r="K208" i="20"/>
  <c r="J208" i="20"/>
  <c r="I208" i="20"/>
  <c r="G208" i="20"/>
  <c r="B208" i="20"/>
  <c r="O208" i="20" s="1"/>
  <c r="M207" i="20"/>
  <c r="L207" i="20"/>
  <c r="K207" i="20"/>
  <c r="J207" i="20"/>
  <c r="I207" i="20"/>
  <c r="G207" i="20"/>
  <c r="B207" i="20"/>
  <c r="R207" i="20" s="1"/>
  <c r="O206" i="20"/>
  <c r="S206" i="20" s="1"/>
  <c r="L206" i="20"/>
  <c r="K206" i="20"/>
  <c r="J206" i="20"/>
  <c r="I206" i="20"/>
  <c r="G206" i="20"/>
  <c r="B206" i="20"/>
  <c r="Q205" i="20"/>
  <c r="P205" i="20"/>
  <c r="U205" i="20" s="1"/>
  <c r="L205" i="20"/>
  <c r="K205" i="20"/>
  <c r="J205" i="20"/>
  <c r="I205" i="20"/>
  <c r="G205" i="20"/>
  <c r="B205" i="20"/>
  <c r="O205" i="20" s="1"/>
  <c r="S205" i="20" s="1"/>
  <c r="U204" i="20"/>
  <c r="S204" i="20"/>
  <c r="R204" i="20"/>
  <c r="Q204" i="20"/>
  <c r="P204" i="20"/>
  <c r="N204" i="20"/>
  <c r="T204" i="20" s="1"/>
  <c r="M204" i="20"/>
  <c r="L204" i="20"/>
  <c r="K204" i="20"/>
  <c r="J204" i="20"/>
  <c r="I204" i="20"/>
  <c r="G204" i="20"/>
  <c r="B204" i="20"/>
  <c r="O204" i="20" s="1"/>
  <c r="M203" i="20"/>
  <c r="L203" i="20"/>
  <c r="K203" i="20"/>
  <c r="J203" i="20"/>
  <c r="I203" i="20"/>
  <c r="G203" i="20"/>
  <c r="B203" i="20"/>
  <c r="R203" i="20" s="1"/>
  <c r="O202" i="20"/>
  <c r="S202" i="20" s="1"/>
  <c r="L202" i="20"/>
  <c r="K202" i="20"/>
  <c r="J202" i="20"/>
  <c r="I202" i="20"/>
  <c r="G202" i="20"/>
  <c r="B202" i="20"/>
  <c r="Q201" i="20"/>
  <c r="P201" i="20"/>
  <c r="U201" i="20" s="1"/>
  <c r="L201" i="20"/>
  <c r="K201" i="20"/>
  <c r="J201" i="20"/>
  <c r="I201" i="20"/>
  <c r="G201" i="20"/>
  <c r="B201" i="20"/>
  <c r="O201" i="20" s="1"/>
  <c r="S201" i="20" s="1"/>
  <c r="U200" i="20"/>
  <c r="W200" i="20" s="1"/>
  <c r="S200" i="20"/>
  <c r="R200" i="20"/>
  <c r="Q200" i="20"/>
  <c r="P200" i="20"/>
  <c r="N200" i="20"/>
  <c r="T200" i="20" s="1"/>
  <c r="M200" i="20"/>
  <c r="L200" i="20"/>
  <c r="K200" i="20"/>
  <c r="J200" i="20"/>
  <c r="I200" i="20"/>
  <c r="G200" i="20"/>
  <c r="B200" i="20"/>
  <c r="O200" i="20" s="1"/>
  <c r="M199" i="20"/>
  <c r="L199" i="20"/>
  <c r="K199" i="20"/>
  <c r="J199" i="20"/>
  <c r="I199" i="20"/>
  <c r="G199" i="20"/>
  <c r="B199" i="20"/>
  <c r="R199" i="20" s="1"/>
  <c r="L198" i="20"/>
  <c r="K198" i="20"/>
  <c r="J198" i="20"/>
  <c r="I198" i="20"/>
  <c r="G198" i="20"/>
  <c r="B198" i="20"/>
  <c r="O198" i="20" s="1"/>
  <c r="S198" i="20" s="1"/>
  <c r="Q197" i="20"/>
  <c r="P197" i="20"/>
  <c r="U197" i="20" s="1"/>
  <c r="L197" i="20"/>
  <c r="K197" i="20"/>
  <c r="J197" i="20"/>
  <c r="I197" i="20"/>
  <c r="G197" i="20"/>
  <c r="B197" i="20"/>
  <c r="O197" i="20" s="1"/>
  <c r="S197" i="20" s="1"/>
  <c r="U196" i="20"/>
  <c r="R196" i="20"/>
  <c r="Q196" i="20"/>
  <c r="P196" i="20"/>
  <c r="N196" i="20"/>
  <c r="T196" i="20" s="1"/>
  <c r="M196" i="20"/>
  <c r="L196" i="20"/>
  <c r="K196" i="20"/>
  <c r="J196" i="20"/>
  <c r="I196" i="20"/>
  <c r="G196" i="20"/>
  <c r="B196" i="20"/>
  <c r="O196" i="20" s="1"/>
  <c r="S196" i="20" s="1"/>
  <c r="M195" i="20"/>
  <c r="L195" i="20"/>
  <c r="K195" i="20"/>
  <c r="J195" i="20"/>
  <c r="I195" i="20"/>
  <c r="G195" i="20"/>
  <c r="B195" i="20"/>
  <c r="R195" i="20" s="1"/>
  <c r="L194" i="20"/>
  <c r="K194" i="20"/>
  <c r="J194" i="20"/>
  <c r="I194" i="20"/>
  <c r="G194" i="20"/>
  <c r="B194" i="20"/>
  <c r="Q193" i="20"/>
  <c r="L193" i="20"/>
  <c r="K193" i="20"/>
  <c r="J193" i="20"/>
  <c r="I193" i="20"/>
  <c r="G193" i="20"/>
  <c r="B193" i="20"/>
  <c r="O193" i="20" s="1"/>
  <c r="S193" i="20" s="1"/>
  <c r="U192" i="20"/>
  <c r="W192" i="20" s="1"/>
  <c r="S192" i="20"/>
  <c r="R192" i="20"/>
  <c r="Q192" i="20"/>
  <c r="P192" i="20"/>
  <c r="N192" i="20"/>
  <c r="T192" i="20" s="1"/>
  <c r="M192" i="20"/>
  <c r="L192" i="20"/>
  <c r="K192" i="20"/>
  <c r="J192" i="20"/>
  <c r="I192" i="20"/>
  <c r="G192" i="20"/>
  <c r="B192" i="20"/>
  <c r="O192" i="20" s="1"/>
  <c r="M191" i="20"/>
  <c r="L191" i="20"/>
  <c r="K191" i="20"/>
  <c r="J191" i="20"/>
  <c r="I191" i="20"/>
  <c r="G191" i="20"/>
  <c r="B191" i="20"/>
  <c r="R191" i="20" s="1"/>
  <c r="L190" i="20"/>
  <c r="K190" i="20"/>
  <c r="J190" i="20"/>
  <c r="I190" i="20"/>
  <c r="G190" i="20"/>
  <c r="B190" i="20"/>
  <c r="O190" i="20" s="1"/>
  <c r="S190" i="20" s="1"/>
  <c r="Q189" i="20"/>
  <c r="L189" i="20"/>
  <c r="K189" i="20"/>
  <c r="J189" i="20"/>
  <c r="I189" i="20"/>
  <c r="G189" i="20"/>
  <c r="B189" i="20"/>
  <c r="O189" i="20" s="1"/>
  <c r="S189" i="20" s="1"/>
  <c r="R188" i="20"/>
  <c r="Q188" i="20"/>
  <c r="N188" i="20"/>
  <c r="T188" i="20" s="1"/>
  <c r="M188" i="20"/>
  <c r="L188" i="20"/>
  <c r="K188" i="20"/>
  <c r="J188" i="20"/>
  <c r="I188" i="20"/>
  <c r="G188" i="20"/>
  <c r="B188" i="20"/>
  <c r="P188" i="20" s="1"/>
  <c r="U188" i="20" s="1"/>
  <c r="O187" i="20"/>
  <c r="S187" i="20" s="1"/>
  <c r="M187" i="20"/>
  <c r="L187" i="20"/>
  <c r="K187" i="20"/>
  <c r="J187" i="20"/>
  <c r="I187" i="20"/>
  <c r="G187" i="20"/>
  <c r="B187" i="20"/>
  <c r="L186" i="20"/>
  <c r="K186" i="20"/>
  <c r="J186" i="20"/>
  <c r="I186" i="20"/>
  <c r="G186" i="20"/>
  <c r="B186" i="20"/>
  <c r="O186" i="20" s="1"/>
  <c r="S186" i="20" s="1"/>
  <c r="Q185" i="20"/>
  <c r="O185" i="20"/>
  <c r="S185" i="20" s="1"/>
  <c r="L185" i="20"/>
  <c r="K185" i="20"/>
  <c r="J185" i="20"/>
  <c r="I185" i="20"/>
  <c r="G185" i="20"/>
  <c r="B185" i="20"/>
  <c r="U184" i="20"/>
  <c r="R184" i="20"/>
  <c r="Q184" i="20"/>
  <c r="N184" i="20"/>
  <c r="T184" i="20" s="1"/>
  <c r="M184" i="20"/>
  <c r="L184" i="20"/>
  <c r="K184" i="20"/>
  <c r="J184" i="20"/>
  <c r="I184" i="20"/>
  <c r="G184" i="20"/>
  <c r="B184" i="20"/>
  <c r="P184" i="20" s="1"/>
  <c r="O183" i="20"/>
  <c r="S183" i="20" s="1"/>
  <c r="M183" i="20"/>
  <c r="L183" i="20"/>
  <c r="K183" i="20"/>
  <c r="J183" i="20"/>
  <c r="I183" i="20"/>
  <c r="G183" i="20"/>
  <c r="B183" i="20"/>
  <c r="L182" i="20"/>
  <c r="K182" i="20"/>
  <c r="J182" i="20"/>
  <c r="I182" i="20"/>
  <c r="G182" i="20"/>
  <c r="B182" i="20"/>
  <c r="N182" i="20" s="1"/>
  <c r="T182" i="20" s="1"/>
  <c r="L181" i="20"/>
  <c r="K181" i="20"/>
  <c r="J181" i="20"/>
  <c r="I181" i="20"/>
  <c r="G181" i="20"/>
  <c r="B181" i="20"/>
  <c r="P181" i="20" s="1"/>
  <c r="U181" i="20" s="1"/>
  <c r="U180" i="20"/>
  <c r="R180" i="20"/>
  <c r="Q180" i="20"/>
  <c r="N180" i="20"/>
  <c r="T180" i="20" s="1"/>
  <c r="M180" i="20"/>
  <c r="L180" i="20"/>
  <c r="K180" i="20"/>
  <c r="J180" i="20"/>
  <c r="I180" i="20"/>
  <c r="G180" i="20"/>
  <c r="B180" i="20"/>
  <c r="P180" i="20" s="1"/>
  <c r="L179" i="20"/>
  <c r="K179" i="20"/>
  <c r="J179" i="20"/>
  <c r="I179" i="20"/>
  <c r="G179" i="20"/>
  <c r="B179" i="20"/>
  <c r="O179" i="20" s="1"/>
  <c r="S179" i="20" s="1"/>
  <c r="Q178" i="20"/>
  <c r="L178" i="20"/>
  <c r="K178" i="20"/>
  <c r="J178" i="20"/>
  <c r="I178" i="20"/>
  <c r="G178" i="20"/>
  <c r="B178" i="20"/>
  <c r="N178" i="20" s="1"/>
  <c r="T178" i="20" s="1"/>
  <c r="L177" i="20"/>
  <c r="K177" i="20"/>
  <c r="J177" i="20"/>
  <c r="I177" i="20"/>
  <c r="G177" i="20"/>
  <c r="B177" i="20"/>
  <c r="P177" i="20" s="1"/>
  <c r="U177" i="20" s="1"/>
  <c r="R176" i="20"/>
  <c r="Q176" i="20"/>
  <c r="N176" i="20"/>
  <c r="T176" i="20" s="1"/>
  <c r="M176" i="20"/>
  <c r="L176" i="20"/>
  <c r="K176" i="20"/>
  <c r="J176" i="20"/>
  <c r="I176" i="20"/>
  <c r="G176" i="20"/>
  <c r="B176" i="20"/>
  <c r="P176" i="20" s="1"/>
  <c r="U176" i="20" s="1"/>
  <c r="L175" i="20"/>
  <c r="K175" i="20"/>
  <c r="J175" i="20"/>
  <c r="I175" i="20"/>
  <c r="G175" i="20"/>
  <c r="B175" i="20"/>
  <c r="O175" i="20" s="1"/>
  <c r="S175" i="20" s="1"/>
  <c r="Q174" i="20"/>
  <c r="M174" i="20"/>
  <c r="L174" i="20"/>
  <c r="K174" i="20"/>
  <c r="J174" i="20"/>
  <c r="I174" i="20"/>
  <c r="G174" i="20"/>
  <c r="B174" i="20"/>
  <c r="N174" i="20" s="1"/>
  <c r="T174" i="20" s="1"/>
  <c r="S173" i="20"/>
  <c r="O173" i="20"/>
  <c r="L173" i="20"/>
  <c r="K173" i="20"/>
  <c r="J173" i="20"/>
  <c r="I173" i="20"/>
  <c r="G173" i="20"/>
  <c r="B173" i="20"/>
  <c r="R172" i="20"/>
  <c r="Q172" i="20"/>
  <c r="N172" i="20"/>
  <c r="T172" i="20" s="1"/>
  <c r="M172" i="20"/>
  <c r="L172" i="20"/>
  <c r="K172" i="20"/>
  <c r="J172" i="20"/>
  <c r="I172" i="20"/>
  <c r="G172" i="20"/>
  <c r="B172" i="20"/>
  <c r="P172" i="20" s="1"/>
  <c r="U172" i="20" s="1"/>
  <c r="M171" i="20"/>
  <c r="L171" i="20"/>
  <c r="K171" i="20"/>
  <c r="J171" i="20"/>
  <c r="I171" i="20"/>
  <c r="G171" i="20"/>
  <c r="B171" i="20"/>
  <c r="Q170" i="20"/>
  <c r="N170" i="20"/>
  <c r="T170" i="20" s="1"/>
  <c r="M170" i="20"/>
  <c r="L170" i="20"/>
  <c r="K170" i="20"/>
  <c r="J170" i="20"/>
  <c r="I170" i="20"/>
  <c r="G170" i="20"/>
  <c r="B170" i="20"/>
  <c r="L169" i="20"/>
  <c r="K169" i="20"/>
  <c r="J169" i="20"/>
  <c r="I169" i="20"/>
  <c r="G169" i="20"/>
  <c r="B169" i="20"/>
  <c r="P169" i="20" s="1"/>
  <c r="U169" i="20" s="1"/>
  <c r="R168" i="20"/>
  <c r="Q168" i="20"/>
  <c r="N168" i="20"/>
  <c r="T168" i="20" s="1"/>
  <c r="M168" i="20"/>
  <c r="L168" i="20"/>
  <c r="K168" i="20"/>
  <c r="J168" i="20"/>
  <c r="I168" i="20"/>
  <c r="G168" i="20"/>
  <c r="B168" i="20"/>
  <c r="P168" i="20" s="1"/>
  <c r="U168" i="20" s="1"/>
  <c r="O167" i="20"/>
  <c r="S167" i="20" s="1"/>
  <c r="M167" i="20"/>
  <c r="L167" i="20"/>
  <c r="K167" i="20"/>
  <c r="J167" i="20"/>
  <c r="I167" i="20"/>
  <c r="G167" i="20"/>
  <c r="B167" i="20"/>
  <c r="R166" i="20"/>
  <c r="Q166" i="20"/>
  <c r="M166" i="20"/>
  <c r="L166" i="20"/>
  <c r="K166" i="20"/>
  <c r="J166" i="20"/>
  <c r="I166" i="20"/>
  <c r="G166" i="20"/>
  <c r="B166" i="20"/>
  <c r="P166" i="20" s="1"/>
  <c r="U166" i="20" s="1"/>
  <c r="Q165" i="20"/>
  <c r="L165" i="20"/>
  <c r="K165" i="20"/>
  <c r="J165" i="20"/>
  <c r="I165" i="20"/>
  <c r="G165" i="20"/>
  <c r="B165" i="20"/>
  <c r="O165" i="20" s="1"/>
  <c r="S165" i="20" s="1"/>
  <c r="U164" i="20"/>
  <c r="L164" i="20"/>
  <c r="K164" i="20"/>
  <c r="J164" i="20"/>
  <c r="I164" i="20"/>
  <c r="G164" i="20"/>
  <c r="B164" i="20"/>
  <c r="P164" i="20" s="1"/>
  <c r="S163" i="20"/>
  <c r="Q163" i="20"/>
  <c r="O163" i="20"/>
  <c r="M163" i="20"/>
  <c r="L163" i="20"/>
  <c r="K163" i="20"/>
  <c r="J163" i="20"/>
  <c r="I163" i="20"/>
  <c r="G163" i="20"/>
  <c r="B163" i="20"/>
  <c r="R162" i="20"/>
  <c r="Q162" i="20"/>
  <c r="M162" i="20"/>
  <c r="L162" i="20"/>
  <c r="K162" i="20"/>
  <c r="J162" i="20"/>
  <c r="I162" i="20"/>
  <c r="G162" i="20"/>
  <c r="B162" i="20"/>
  <c r="P162" i="20" s="1"/>
  <c r="U162" i="20" s="1"/>
  <c r="Q161" i="20"/>
  <c r="P161" i="20"/>
  <c r="U161" i="20" s="1"/>
  <c r="N161" i="20"/>
  <c r="T161" i="20" s="1"/>
  <c r="M161" i="20"/>
  <c r="L161" i="20"/>
  <c r="K161" i="20"/>
  <c r="J161" i="20"/>
  <c r="I161" i="20"/>
  <c r="G161" i="20"/>
  <c r="B161" i="20"/>
  <c r="R161" i="20" s="1"/>
  <c r="R160" i="20"/>
  <c r="L160" i="20"/>
  <c r="K160" i="20"/>
  <c r="J160" i="20"/>
  <c r="I160" i="20"/>
  <c r="G160" i="20"/>
  <c r="B160" i="20"/>
  <c r="P160" i="20" s="1"/>
  <c r="U160" i="20" s="1"/>
  <c r="T159" i="20"/>
  <c r="L159" i="20"/>
  <c r="K159" i="20"/>
  <c r="J159" i="20"/>
  <c r="I159" i="20"/>
  <c r="G159" i="20"/>
  <c r="B159" i="20"/>
  <c r="N159" i="20" s="1"/>
  <c r="L158" i="20"/>
  <c r="K158" i="20"/>
  <c r="J158" i="20"/>
  <c r="I158" i="20"/>
  <c r="G158" i="20"/>
  <c r="B158" i="20"/>
  <c r="P158" i="20" s="1"/>
  <c r="U158" i="20" s="1"/>
  <c r="U157" i="20"/>
  <c r="P157" i="20"/>
  <c r="L157" i="20"/>
  <c r="K157" i="20"/>
  <c r="J157" i="20"/>
  <c r="I157" i="20"/>
  <c r="G157" i="20"/>
  <c r="B157" i="20"/>
  <c r="R157" i="20" s="1"/>
  <c r="Q156" i="20"/>
  <c r="M156" i="20"/>
  <c r="L156" i="20"/>
  <c r="K156" i="20"/>
  <c r="J156" i="20"/>
  <c r="I156" i="20"/>
  <c r="G156" i="20"/>
  <c r="B156" i="20"/>
  <c r="R156" i="20" s="1"/>
  <c r="T155" i="20"/>
  <c r="R155" i="20"/>
  <c r="M155" i="20"/>
  <c r="L155" i="20"/>
  <c r="K155" i="20"/>
  <c r="J155" i="20"/>
  <c r="I155" i="20"/>
  <c r="G155" i="20"/>
  <c r="B155" i="20"/>
  <c r="N155" i="20" s="1"/>
  <c r="U154" i="20"/>
  <c r="R154" i="20"/>
  <c r="M154" i="20"/>
  <c r="L154" i="20"/>
  <c r="K154" i="20"/>
  <c r="J154" i="20"/>
  <c r="I154" i="20"/>
  <c r="G154" i="20"/>
  <c r="B154" i="20"/>
  <c r="P154" i="20" s="1"/>
  <c r="U153" i="20"/>
  <c r="Q153" i="20"/>
  <c r="P153" i="20"/>
  <c r="N153" i="20"/>
  <c r="T153" i="20" s="1"/>
  <c r="M153" i="20"/>
  <c r="L153" i="20"/>
  <c r="K153" i="20"/>
  <c r="J153" i="20"/>
  <c r="I153" i="20"/>
  <c r="G153" i="20"/>
  <c r="B153" i="20"/>
  <c r="R153" i="20" s="1"/>
  <c r="N152" i="20"/>
  <c r="T152" i="20" s="1"/>
  <c r="L152" i="20"/>
  <c r="K152" i="20"/>
  <c r="J152" i="20"/>
  <c r="I152" i="20"/>
  <c r="G152" i="20"/>
  <c r="B152" i="20"/>
  <c r="R152" i="20" s="1"/>
  <c r="O151" i="20"/>
  <c r="S151" i="20" s="1"/>
  <c r="L151" i="20"/>
  <c r="K151" i="20"/>
  <c r="J151" i="20"/>
  <c r="I151" i="20"/>
  <c r="G151" i="20"/>
  <c r="B151" i="20"/>
  <c r="N151" i="20" s="1"/>
  <c r="T151" i="20" s="1"/>
  <c r="L150" i="20"/>
  <c r="K150" i="20"/>
  <c r="J150" i="20"/>
  <c r="I150" i="20"/>
  <c r="G150" i="20"/>
  <c r="B150" i="20"/>
  <c r="P150" i="20" s="1"/>
  <c r="U150" i="20" s="1"/>
  <c r="P149" i="20"/>
  <c r="U149" i="20" s="1"/>
  <c r="L149" i="20"/>
  <c r="K149" i="20"/>
  <c r="J149" i="20"/>
  <c r="I149" i="20"/>
  <c r="G149" i="20"/>
  <c r="B149" i="20"/>
  <c r="R149" i="20" s="1"/>
  <c r="Q148" i="20"/>
  <c r="P148" i="20"/>
  <c r="U148" i="20" s="1"/>
  <c r="M148" i="20"/>
  <c r="L148" i="20"/>
  <c r="K148" i="20"/>
  <c r="J148" i="20"/>
  <c r="I148" i="20"/>
  <c r="G148" i="20"/>
  <c r="B148" i="20"/>
  <c r="N148" i="20" s="1"/>
  <c r="T148" i="20" s="1"/>
  <c r="T147" i="20"/>
  <c r="R147" i="20"/>
  <c r="Q147" i="20"/>
  <c r="M147" i="20"/>
  <c r="L147" i="20"/>
  <c r="K147" i="20"/>
  <c r="J147" i="20"/>
  <c r="I147" i="20"/>
  <c r="G147" i="20"/>
  <c r="B147" i="20"/>
  <c r="N147" i="20" s="1"/>
  <c r="R146" i="20"/>
  <c r="Q146" i="20"/>
  <c r="M146" i="20"/>
  <c r="L146" i="20"/>
  <c r="K146" i="20"/>
  <c r="J146" i="20"/>
  <c r="I146" i="20"/>
  <c r="G146" i="20"/>
  <c r="B146" i="20"/>
  <c r="P146" i="20" s="1"/>
  <c r="U146" i="20" s="1"/>
  <c r="Q145" i="20"/>
  <c r="P145" i="20"/>
  <c r="U145" i="20" s="1"/>
  <c r="N145" i="20"/>
  <c r="T145" i="20" s="1"/>
  <c r="M145" i="20"/>
  <c r="L145" i="20"/>
  <c r="K145" i="20"/>
  <c r="J145" i="20"/>
  <c r="I145" i="20"/>
  <c r="G145" i="20"/>
  <c r="B145" i="20"/>
  <c r="R145" i="20" s="1"/>
  <c r="R144" i="20"/>
  <c r="L144" i="20"/>
  <c r="K144" i="20"/>
  <c r="J144" i="20"/>
  <c r="I144" i="20"/>
  <c r="G144" i="20"/>
  <c r="B144" i="20"/>
  <c r="P144" i="20" s="1"/>
  <c r="U144" i="20" s="1"/>
  <c r="Q143" i="20"/>
  <c r="M143" i="20"/>
  <c r="L143" i="20"/>
  <c r="K143" i="20"/>
  <c r="J143" i="20"/>
  <c r="I143" i="20"/>
  <c r="G143" i="20"/>
  <c r="B143" i="20"/>
  <c r="R143" i="20" s="1"/>
  <c r="L142" i="20"/>
  <c r="K142" i="20"/>
  <c r="J142" i="20"/>
  <c r="I142" i="20"/>
  <c r="G142" i="20"/>
  <c r="B142" i="20"/>
  <c r="R142" i="20" s="1"/>
  <c r="Q141" i="20"/>
  <c r="P141" i="20"/>
  <c r="U141" i="20" s="1"/>
  <c r="M141" i="20"/>
  <c r="L141" i="20"/>
  <c r="K141" i="20"/>
  <c r="J141" i="20"/>
  <c r="I141" i="20"/>
  <c r="G141" i="20"/>
  <c r="B141" i="20"/>
  <c r="N141" i="20" s="1"/>
  <c r="T141" i="20" s="1"/>
  <c r="L140" i="20"/>
  <c r="K140" i="20"/>
  <c r="J140" i="20"/>
  <c r="I140" i="20"/>
  <c r="G140" i="20"/>
  <c r="B140" i="20"/>
  <c r="P140" i="20" s="1"/>
  <c r="U140" i="20" s="1"/>
  <c r="Q139" i="20"/>
  <c r="M139" i="20"/>
  <c r="L139" i="20"/>
  <c r="K139" i="20"/>
  <c r="J139" i="20"/>
  <c r="I139" i="20"/>
  <c r="G139" i="20"/>
  <c r="B139" i="20"/>
  <c r="R139" i="20" s="1"/>
  <c r="L138" i="20"/>
  <c r="K138" i="20"/>
  <c r="J138" i="20"/>
  <c r="I138" i="20"/>
  <c r="G138" i="20"/>
  <c r="B138" i="20"/>
  <c r="R138" i="20" s="1"/>
  <c r="U137" i="20"/>
  <c r="Q137" i="20"/>
  <c r="P137" i="20"/>
  <c r="M137" i="20"/>
  <c r="L137" i="20"/>
  <c r="K137" i="20"/>
  <c r="J137" i="20"/>
  <c r="I137" i="20"/>
  <c r="G137" i="20"/>
  <c r="B137" i="20"/>
  <c r="N137" i="20" s="1"/>
  <c r="T137" i="20" s="1"/>
  <c r="L136" i="20"/>
  <c r="K136" i="20"/>
  <c r="J136" i="20"/>
  <c r="I136" i="20"/>
  <c r="G136" i="20"/>
  <c r="B136" i="20"/>
  <c r="P136" i="20" s="1"/>
  <c r="U136" i="20" s="1"/>
  <c r="Q135" i="20"/>
  <c r="M135" i="20"/>
  <c r="L135" i="20"/>
  <c r="K135" i="20"/>
  <c r="J135" i="20"/>
  <c r="I135" i="20"/>
  <c r="G135" i="20"/>
  <c r="B135" i="20"/>
  <c r="R135" i="20" s="1"/>
  <c r="L134" i="20"/>
  <c r="K134" i="20"/>
  <c r="J134" i="20"/>
  <c r="I134" i="20"/>
  <c r="G134" i="20"/>
  <c r="B134" i="20"/>
  <c r="R134" i="20" s="1"/>
  <c r="U133" i="20"/>
  <c r="Q133" i="20"/>
  <c r="P133" i="20"/>
  <c r="M133" i="20"/>
  <c r="L133" i="20"/>
  <c r="K133" i="20"/>
  <c r="J133" i="20"/>
  <c r="I133" i="20"/>
  <c r="G133" i="20"/>
  <c r="B133" i="20"/>
  <c r="N133" i="20" s="1"/>
  <c r="T133" i="20" s="1"/>
  <c r="L132" i="20"/>
  <c r="K132" i="20"/>
  <c r="J132" i="20"/>
  <c r="I132" i="20"/>
  <c r="G132" i="20"/>
  <c r="B132" i="20"/>
  <c r="P132" i="20" s="1"/>
  <c r="U132" i="20" s="1"/>
  <c r="Q131" i="20"/>
  <c r="M131" i="20"/>
  <c r="L131" i="20"/>
  <c r="K131" i="20"/>
  <c r="J131" i="20"/>
  <c r="I131" i="20"/>
  <c r="G131" i="20"/>
  <c r="B131" i="20"/>
  <c r="R131" i="20" s="1"/>
  <c r="L130" i="20"/>
  <c r="K130" i="20"/>
  <c r="J130" i="20"/>
  <c r="I130" i="20"/>
  <c r="G130" i="20"/>
  <c r="B130" i="20"/>
  <c r="R130" i="20" s="1"/>
  <c r="U129" i="20"/>
  <c r="Q129" i="20"/>
  <c r="P129" i="20"/>
  <c r="M129" i="20"/>
  <c r="L129" i="20"/>
  <c r="K129" i="20"/>
  <c r="J129" i="20"/>
  <c r="I129" i="20"/>
  <c r="G129" i="20"/>
  <c r="B129" i="20"/>
  <c r="N129" i="20" s="1"/>
  <c r="T129" i="20" s="1"/>
  <c r="L128" i="20"/>
  <c r="K128" i="20"/>
  <c r="J128" i="20"/>
  <c r="I128" i="20"/>
  <c r="G128" i="20"/>
  <c r="B128" i="20"/>
  <c r="P128" i="20" s="1"/>
  <c r="U128" i="20" s="1"/>
  <c r="Q127" i="20"/>
  <c r="M127" i="20"/>
  <c r="L127" i="20"/>
  <c r="K127" i="20"/>
  <c r="J127" i="20"/>
  <c r="I127" i="20"/>
  <c r="G127" i="20"/>
  <c r="B127" i="20"/>
  <c r="R127" i="20" s="1"/>
  <c r="L126" i="20"/>
  <c r="K126" i="20"/>
  <c r="J126" i="20"/>
  <c r="I126" i="20"/>
  <c r="G126" i="20"/>
  <c r="B126" i="20"/>
  <c r="R126" i="20" s="1"/>
  <c r="U125" i="20"/>
  <c r="Q125" i="20"/>
  <c r="P125" i="20"/>
  <c r="M125" i="20"/>
  <c r="L125" i="20"/>
  <c r="K125" i="20"/>
  <c r="J125" i="20"/>
  <c r="I125" i="20"/>
  <c r="G125" i="20"/>
  <c r="B125" i="20"/>
  <c r="N125" i="20" s="1"/>
  <c r="T125" i="20" s="1"/>
  <c r="L124" i="20"/>
  <c r="K124" i="20"/>
  <c r="J124" i="20"/>
  <c r="I124" i="20"/>
  <c r="G124" i="20"/>
  <c r="B124" i="20"/>
  <c r="P124" i="20" s="1"/>
  <c r="U124" i="20" s="1"/>
  <c r="Q123" i="20"/>
  <c r="M123" i="20"/>
  <c r="L123" i="20"/>
  <c r="K123" i="20"/>
  <c r="J123" i="20"/>
  <c r="I123" i="20"/>
  <c r="G123" i="20"/>
  <c r="B123" i="20"/>
  <c r="R123" i="20" s="1"/>
  <c r="L122" i="20"/>
  <c r="K122" i="20"/>
  <c r="J122" i="20"/>
  <c r="I122" i="20"/>
  <c r="G122" i="20"/>
  <c r="B122" i="20"/>
  <c r="O122" i="20" s="1"/>
  <c r="S122" i="20" s="1"/>
  <c r="Q121" i="20"/>
  <c r="M121" i="20"/>
  <c r="L121" i="20"/>
  <c r="K121" i="20"/>
  <c r="J121" i="20"/>
  <c r="I121" i="20"/>
  <c r="G121" i="20"/>
  <c r="B121" i="20"/>
  <c r="N121" i="20" s="1"/>
  <c r="T121" i="20" s="1"/>
  <c r="L120" i="20"/>
  <c r="K120" i="20"/>
  <c r="J120" i="20"/>
  <c r="I120" i="20"/>
  <c r="G120" i="20"/>
  <c r="B120" i="20"/>
  <c r="P120" i="20" s="1"/>
  <c r="U120" i="20" s="1"/>
  <c r="Q119" i="20"/>
  <c r="M119" i="20"/>
  <c r="L119" i="20"/>
  <c r="K119" i="20"/>
  <c r="J119" i="20"/>
  <c r="I119" i="20"/>
  <c r="G119" i="20"/>
  <c r="B119" i="20"/>
  <c r="R119" i="20" s="1"/>
  <c r="L118" i="20"/>
  <c r="K118" i="20"/>
  <c r="J118" i="20"/>
  <c r="I118" i="20"/>
  <c r="G118" i="20"/>
  <c r="B118" i="20"/>
  <c r="O118" i="20" s="1"/>
  <c r="S118" i="20" s="1"/>
  <c r="Q117" i="20"/>
  <c r="M117" i="20"/>
  <c r="L117" i="20"/>
  <c r="K117" i="20"/>
  <c r="J117" i="20"/>
  <c r="I117" i="20"/>
  <c r="G117" i="20"/>
  <c r="B117" i="20"/>
  <c r="N117" i="20" s="1"/>
  <c r="T117" i="20" s="1"/>
  <c r="L116" i="20"/>
  <c r="K116" i="20"/>
  <c r="J116" i="20"/>
  <c r="I116" i="20"/>
  <c r="G116" i="20"/>
  <c r="B116" i="20"/>
  <c r="P116" i="20" s="1"/>
  <c r="U116" i="20" s="1"/>
  <c r="Q115" i="20"/>
  <c r="M115" i="20"/>
  <c r="L115" i="20"/>
  <c r="K115" i="20"/>
  <c r="J115" i="20"/>
  <c r="I115" i="20"/>
  <c r="G115" i="20"/>
  <c r="B115" i="20"/>
  <c r="R115" i="20" s="1"/>
  <c r="L114" i="20"/>
  <c r="K114" i="20"/>
  <c r="J114" i="20"/>
  <c r="I114" i="20"/>
  <c r="G114" i="20"/>
  <c r="B114" i="20"/>
  <c r="O114" i="20" s="1"/>
  <c r="S114" i="20" s="1"/>
  <c r="Q113" i="20"/>
  <c r="M113" i="20"/>
  <c r="L113" i="20"/>
  <c r="K113" i="20"/>
  <c r="J113" i="20"/>
  <c r="I113" i="20"/>
  <c r="G113" i="20"/>
  <c r="B113" i="20"/>
  <c r="N113" i="20" s="1"/>
  <c r="T113" i="20" s="1"/>
  <c r="L112" i="20"/>
  <c r="K112" i="20"/>
  <c r="J112" i="20"/>
  <c r="I112" i="20"/>
  <c r="G112" i="20"/>
  <c r="B112" i="20"/>
  <c r="O112" i="20" s="1"/>
  <c r="S112" i="20" s="1"/>
  <c r="L111" i="20"/>
  <c r="K111" i="20"/>
  <c r="J111" i="20"/>
  <c r="I111" i="20"/>
  <c r="G111" i="20"/>
  <c r="B111" i="20"/>
  <c r="O111" i="20" s="1"/>
  <c r="S111" i="20" s="1"/>
  <c r="L110" i="20"/>
  <c r="K110" i="20"/>
  <c r="J110" i="20"/>
  <c r="I110" i="20"/>
  <c r="G110" i="20"/>
  <c r="B110" i="20"/>
  <c r="O110" i="20" s="1"/>
  <c r="S110" i="20" s="1"/>
  <c r="L109" i="20"/>
  <c r="K109" i="20"/>
  <c r="J109" i="20"/>
  <c r="I109" i="20"/>
  <c r="G109" i="20"/>
  <c r="B109" i="20"/>
  <c r="O109" i="20" s="1"/>
  <c r="S109" i="20" s="1"/>
  <c r="L108" i="20"/>
  <c r="K108" i="20"/>
  <c r="J108" i="20"/>
  <c r="I108" i="20"/>
  <c r="G108" i="20"/>
  <c r="B108" i="20"/>
  <c r="O108" i="20" s="1"/>
  <c r="S108" i="20" s="1"/>
  <c r="S107" i="20"/>
  <c r="O107" i="20"/>
  <c r="L107" i="20"/>
  <c r="K107" i="20"/>
  <c r="J107" i="20"/>
  <c r="I107" i="20"/>
  <c r="G107" i="20"/>
  <c r="B107" i="20"/>
  <c r="M107" i="20" s="1"/>
  <c r="N106" i="20"/>
  <c r="T106" i="20" s="1"/>
  <c r="L106" i="20"/>
  <c r="K106" i="20"/>
  <c r="J106" i="20"/>
  <c r="I106" i="20"/>
  <c r="G106" i="20"/>
  <c r="B106" i="20"/>
  <c r="M106" i="20" s="1"/>
  <c r="Q105" i="20"/>
  <c r="L105" i="20"/>
  <c r="K105" i="20"/>
  <c r="J105" i="20"/>
  <c r="I105" i="20"/>
  <c r="G105" i="20"/>
  <c r="B105" i="20"/>
  <c r="O105" i="20" s="1"/>
  <c r="S105" i="20" s="1"/>
  <c r="M104" i="20"/>
  <c r="L104" i="20"/>
  <c r="K104" i="20"/>
  <c r="J104" i="20"/>
  <c r="I104" i="20"/>
  <c r="G104" i="20"/>
  <c r="B104" i="20"/>
  <c r="O104" i="20" s="1"/>
  <c r="S104" i="20" s="1"/>
  <c r="L103" i="20"/>
  <c r="K103" i="20"/>
  <c r="J103" i="20"/>
  <c r="I103" i="20"/>
  <c r="G103" i="20"/>
  <c r="B103" i="20"/>
  <c r="O103" i="20" s="1"/>
  <c r="S103" i="20" s="1"/>
  <c r="Q102" i="20"/>
  <c r="L102" i="20"/>
  <c r="K102" i="20"/>
  <c r="J102" i="20"/>
  <c r="I102" i="20"/>
  <c r="G102" i="20"/>
  <c r="B102" i="20"/>
  <c r="N102" i="20" s="1"/>
  <c r="T102" i="20" s="1"/>
  <c r="L101" i="20"/>
  <c r="K101" i="20"/>
  <c r="J101" i="20"/>
  <c r="I101" i="20"/>
  <c r="G101" i="20"/>
  <c r="B101" i="20"/>
  <c r="R100" i="20"/>
  <c r="M100" i="20"/>
  <c r="L100" i="20"/>
  <c r="K100" i="20"/>
  <c r="J100" i="20"/>
  <c r="I100" i="20"/>
  <c r="G100" i="20"/>
  <c r="B100" i="20"/>
  <c r="O100" i="20" s="1"/>
  <c r="S100" i="20" s="1"/>
  <c r="L99" i="20"/>
  <c r="K99" i="20"/>
  <c r="J99" i="20"/>
  <c r="I99" i="20"/>
  <c r="G99" i="20"/>
  <c r="B99" i="20"/>
  <c r="O99" i="20" s="1"/>
  <c r="S99" i="20" s="1"/>
  <c r="L98" i="20"/>
  <c r="K98" i="20"/>
  <c r="J98" i="20"/>
  <c r="I98" i="20"/>
  <c r="G98" i="20"/>
  <c r="B98" i="20"/>
  <c r="M97" i="20"/>
  <c r="L97" i="20"/>
  <c r="K97" i="20"/>
  <c r="J97" i="20"/>
  <c r="I97" i="20"/>
  <c r="G97" i="20"/>
  <c r="B97" i="20"/>
  <c r="O97" i="20" s="1"/>
  <c r="S97" i="20" s="1"/>
  <c r="R96" i="20"/>
  <c r="O96" i="20"/>
  <c r="S96" i="20" s="1"/>
  <c r="M96" i="20"/>
  <c r="L96" i="20"/>
  <c r="K96" i="20"/>
  <c r="J96" i="20"/>
  <c r="I96" i="20"/>
  <c r="G96" i="20"/>
  <c r="B96" i="20"/>
  <c r="L95" i="20"/>
  <c r="K95" i="20"/>
  <c r="J95" i="20"/>
  <c r="I95" i="20"/>
  <c r="G95" i="20"/>
  <c r="B95" i="20"/>
  <c r="L94" i="20"/>
  <c r="K94" i="20"/>
  <c r="J94" i="20"/>
  <c r="I94" i="20"/>
  <c r="G94" i="20"/>
  <c r="B94" i="20"/>
  <c r="N94" i="20" s="1"/>
  <c r="T94" i="20" s="1"/>
  <c r="L93" i="20"/>
  <c r="K93" i="20"/>
  <c r="J93" i="20"/>
  <c r="I93" i="20"/>
  <c r="G93" i="20"/>
  <c r="B93" i="20"/>
  <c r="R93" i="20" s="1"/>
  <c r="P92" i="20"/>
  <c r="U92" i="20" s="1"/>
  <c r="L92" i="20"/>
  <c r="K92" i="20"/>
  <c r="J92" i="20"/>
  <c r="I92" i="20"/>
  <c r="G92" i="20"/>
  <c r="B92" i="20"/>
  <c r="N92" i="20" s="1"/>
  <c r="T92" i="20" s="1"/>
  <c r="Q91" i="20"/>
  <c r="L91" i="20"/>
  <c r="K91" i="20"/>
  <c r="J91" i="20"/>
  <c r="I91" i="20"/>
  <c r="G91" i="20"/>
  <c r="B91" i="20"/>
  <c r="N91" i="20" s="1"/>
  <c r="T91" i="20" s="1"/>
  <c r="Q90" i="20"/>
  <c r="L90" i="20"/>
  <c r="K90" i="20"/>
  <c r="J90" i="20"/>
  <c r="I90" i="20"/>
  <c r="G90" i="20"/>
  <c r="B90" i="20"/>
  <c r="P90" i="20" s="1"/>
  <c r="U90" i="20" s="1"/>
  <c r="T89" i="20"/>
  <c r="Q89" i="20"/>
  <c r="P89" i="20"/>
  <c r="U89" i="20" s="1"/>
  <c r="N89" i="20"/>
  <c r="M89" i="20"/>
  <c r="L89" i="20"/>
  <c r="K89" i="20"/>
  <c r="J89" i="20"/>
  <c r="I89" i="20"/>
  <c r="G89" i="20"/>
  <c r="B89" i="20"/>
  <c r="R89" i="20" s="1"/>
  <c r="R88" i="20"/>
  <c r="Q88" i="20"/>
  <c r="N88" i="20"/>
  <c r="T88" i="20" s="1"/>
  <c r="M88" i="20"/>
  <c r="L88" i="20"/>
  <c r="K88" i="20"/>
  <c r="J88" i="20"/>
  <c r="I88" i="20"/>
  <c r="G88" i="20"/>
  <c r="B88" i="20"/>
  <c r="P88" i="20" s="1"/>
  <c r="U88" i="20" s="1"/>
  <c r="T87" i="20"/>
  <c r="R87" i="20"/>
  <c r="M87" i="20"/>
  <c r="L87" i="20"/>
  <c r="K87" i="20"/>
  <c r="J87" i="20"/>
  <c r="I87" i="20"/>
  <c r="G87" i="20"/>
  <c r="B87" i="20"/>
  <c r="N87" i="20" s="1"/>
  <c r="U86" i="20"/>
  <c r="R86" i="20"/>
  <c r="M86" i="20"/>
  <c r="L86" i="20"/>
  <c r="K86" i="20"/>
  <c r="J86" i="20"/>
  <c r="I86" i="20"/>
  <c r="G86" i="20"/>
  <c r="B86" i="20"/>
  <c r="P86" i="20" s="1"/>
  <c r="U85" i="20"/>
  <c r="T85" i="20"/>
  <c r="P85" i="20"/>
  <c r="N85" i="20"/>
  <c r="M85" i="20"/>
  <c r="L85" i="20"/>
  <c r="K85" i="20"/>
  <c r="J85" i="20"/>
  <c r="I85" i="20"/>
  <c r="G85" i="20"/>
  <c r="B85" i="20"/>
  <c r="R85" i="20" s="1"/>
  <c r="N84" i="20"/>
  <c r="T84" i="20" s="1"/>
  <c r="M84" i="20"/>
  <c r="L84" i="20"/>
  <c r="K84" i="20"/>
  <c r="J84" i="20"/>
  <c r="I84" i="20"/>
  <c r="G84" i="20"/>
  <c r="B84" i="20"/>
  <c r="R84" i="20" s="1"/>
  <c r="N83" i="20"/>
  <c r="T83" i="20" s="1"/>
  <c r="M83" i="20"/>
  <c r="L83" i="20"/>
  <c r="K83" i="20"/>
  <c r="J83" i="20"/>
  <c r="I83" i="20"/>
  <c r="G83" i="20"/>
  <c r="B83" i="20"/>
  <c r="R83" i="20" s="1"/>
  <c r="L82" i="20"/>
  <c r="K82" i="20"/>
  <c r="J82" i="20"/>
  <c r="I82" i="20"/>
  <c r="G82" i="20"/>
  <c r="B82" i="20"/>
  <c r="N82" i="20" s="1"/>
  <c r="T82" i="20" s="1"/>
  <c r="R81" i="20"/>
  <c r="Q81" i="20"/>
  <c r="N81" i="20"/>
  <c r="T81" i="20" s="1"/>
  <c r="M81" i="20"/>
  <c r="L81" i="20"/>
  <c r="K81" i="20"/>
  <c r="J81" i="20"/>
  <c r="I81" i="20"/>
  <c r="G81" i="20"/>
  <c r="B81" i="20"/>
  <c r="P81" i="20" s="1"/>
  <c r="U81" i="20" s="1"/>
  <c r="T80" i="20"/>
  <c r="P80" i="20"/>
  <c r="U80" i="20" s="1"/>
  <c r="N80" i="20"/>
  <c r="M80" i="20"/>
  <c r="L80" i="20"/>
  <c r="K80" i="20"/>
  <c r="J80" i="20"/>
  <c r="I80" i="20"/>
  <c r="G80" i="20"/>
  <c r="B80" i="20"/>
  <c r="R80" i="20" s="1"/>
  <c r="R79" i="20"/>
  <c r="N79" i="20"/>
  <c r="T79" i="20" s="1"/>
  <c r="M79" i="20"/>
  <c r="L79" i="20"/>
  <c r="K79" i="20"/>
  <c r="J79" i="20"/>
  <c r="I79" i="20"/>
  <c r="G79" i="20"/>
  <c r="B79" i="20"/>
  <c r="Q79" i="20" s="1"/>
  <c r="L78" i="20"/>
  <c r="K78" i="20"/>
  <c r="J78" i="20"/>
  <c r="I78" i="20"/>
  <c r="G78" i="20"/>
  <c r="B78" i="20"/>
  <c r="N78" i="20" s="1"/>
  <c r="T78" i="20" s="1"/>
  <c r="R77" i="20"/>
  <c r="Q77" i="20"/>
  <c r="N77" i="20"/>
  <c r="T77" i="20" s="1"/>
  <c r="M77" i="20"/>
  <c r="L77" i="20"/>
  <c r="K77" i="20"/>
  <c r="J77" i="20"/>
  <c r="I77" i="20"/>
  <c r="G77" i="20"/>
  <c r="B77" i="20"/>
  <c r="P77" i="20" s="1"/>
  <c r="U77" i="20" s="1"/>
  <c r="T76" i="20"/>
  <c r="P76" i="20"/>
  <c r="U76" i="20" s="1"/>
  <c r="N76" i="20"/>
  <c r="M76" i="20"/>
  <c r="L76" i="20"/>
  <c r="K76" i="20"/>
  <c r="J76" i="20"/>
  <c r="I76" i="20"/>
  <c r="G76" i="20"/>
  <c r="B76" i="20"/>
  <c r="R76" i="20" s="1"/>
  <c r="R75" i="20"/>
  <c r="N75" i="20"/>
  <c r="T75" i="20" s="1"/>
  <c r="M75" i="20"/>
  <c r="L75" i="20"/>
  <c r="K75" i="20"/>
  <c r="J75" i="20"/>
  <c r="I75" i="20"/>
  <c r="G75" i="20"/>
  <c r="B75" i="20"/>
  <c r="Q75" i="20" s="1"/>
  <c r="L74" i="20"/>
  <c r="K74" i="20"/>
  <c r="J74" i="20"/>
  <c r="I74" i="20"/>
  <c r="G74" i="20"/>
  <c r="B74" i="20"/>
  <c r="N74" i="20" s="1"/>
  <c r="T74" i="20" s="1"/>
  <c r="R73" i="20"/>
  <c r="Q73" i="20"/>
  <c r="N73" i="20"/>
  <c r="T73" i="20" s="1"/>
  <c r="M73" i="20"/>
  <c r="L73" i="20"/>
  <c r="K73" i="20"/>
  <c r="J73" i="20"/>
  <c r="I73" i="20"/>
  <c r="G73" i="20"/>
  <c r="B73" i="20"/>
  <c r="P73" i="20" s="1"/>
  <c r="U73" i="20" s="1"/>
  <c r="P72" i="20"/>
  <c r="U72" i="20" s="1"/>
  <c r="M72" i="20"/>
  <c r="L72" i="20"/>
  <c r="K72" i="20"/>
  <c r="J72" i="20"/>
  <c r="I72" i="20"/>
  <c r="G72" i="20"/>
  <c r="B72" i="20"/>
  <c r="R72" i="20" s="1"/>
  <c r="R71" i="20"/>
  <c r="M71" i="20"/>
  <c r="L71" i="20"/>
  <c r="K71" i="20"/>
  <c r="J71" i="20"/>
  <c r="I71" i="20"/>
  <c r="G71" i="20"/>
  <c r="B71" i="20"/>
  <c r="Q71" i="20" s="1"/>
  <c r="L70" i="20"/>
  <c r="K70" i="20"/>
  <c r="J70" i="20"/>
  <c r="I70" i="20"/>
  <c r="G70" i="20"/>
  <c r="B70" i="20"/>
  <c r="N70" i="20" s="1"/>
  <c r="T70" i="20" s="1"/>
  <c r="R69" i="20"/>
  <c r="Q69" i="20"/>
  <c r="N69" i="20"/>
  <c r="T69" i="20" s="1"/>
  <c r="M69" i="20"/>
  <c r="L69" i="20"/>
  <c r="K69" i="20"/>
  <c r="J69" i="20"/>
  <c r="I69" i="20"/>
  <c r="G69" i="20"/>
  <c r="B69" i="20"/>
  <c r="P69" i="20" s="1"/>
  <c r="U69" i="20" s="1"/>
  <c r="P68" i="20"/>
  <c r="U68" i="20" s="1"/>
  <c r="M68" i="20"/>
  <c r="L68" i="20"/>
  <c r="K68" i="20"/>
  <c r="J68" i="20"/>
  <c r="I68" i="20"/>
  <c r="G68" i="20"/>
  <c r="B68" i="20"/>
  <c r="R68" i="20" s="1"/>
  <c r="R67" i="20"/>
  <c r="M67" i="20"/>
  <c r="L67" i="20"/>
  <c r="K67" i="20"/>
  <c r="J67" i="20"/>
  <c r="I67" i="20"/>
  <c r="G67" i="20"/>
  <c r="B67" i="20"/>
  <c r="Q67" i="20" s="1"/>
  <c r="L66" i="20"/>
  <c r="K66" i="20"/>
  <c r="J66" i="20"/>
  <c r="I66" i="20"/>
  <c r="G66" i="20"/>
  <c r="B66" i="20"/>
  <c r="N66" i="20" s="1"/>
  <c r="T66" i="20" s="1"/>
  <c r="R65" i="20"/>
  <c r="Q65" i="20"/>
  <c r="N65" i="20"/>
  <c r="T65" i="20" s="1"/>
  <c r="M65" i="20"/>
  <c r="L65" i="20"/>
  <c r="K65" i="20"/>
  <c r="J65" i="20"/>
  <c r="I65" i="20"/>
  <c r="G65" i="20"/>
  <c r="B65" i="20"/>
  <c r="P65" i="20" s="1"/>
  <c r="U65" i="20" s="1"/>
  <c r="P64" i="20"/>
  <c r="U64" i="20" s="1"/>
  <c r="M64" i="20"/>
  <c r="L64" i="20"/>
  <c r="K64" i="20"/>
  <c r="J64" i="20"/>
  <c r="I64" i="20"/>
  <c r="G64" i="20"/>
  <c r="B64" i="20"/>
  <c r="R64" i="20" s="1"/>
  <c r="R63" i="20"/>
  <c r="M63" i="20"/>
  <c r="L63" i="20"/>
  <c r="K63" i="20"/>
  <c r="J63" i="20"/>
  <c r="I63" i="20"/>
  <c r="G63" i="20"/>
  <c r="B63" i="20"/>
  <c r="Q63" i="20" s="1"/>
  <c r="L62" i="20"/>
  <c r="K62" i="20"/>
  <c r="J62" i="20"/>
  <c r="I62" i="20"/>
  <c r="G62" i="20"/>
  <c r="B62" i="20"/>
  <c r="N62" i="20" s="1"/>
  <c r="T62" i="20" s="1"/>
  <c r="R61" i="20"/>
  <c r="Q61" i="20"/>
  <c r="N61" i="20"/>
  <c r="T61" i="20" s="1"/>
  <c r="M61" i="20"/>
  <c r="L61" i="20"/>
  <c r="K61" i="20"/>
  <c r="J61" i="20"/>
  <c r="I61" i="20"/>
  <c r="G61" i="20"/>
  <c r="B61" i="20"/>
  <c r="P61" i="20" s="1"/>
  <c r="U61" i="20" s="1"/>
  <c r="P60" i="20"/>
  <c r="U60" i="20" s="1"/>
  <c r="M60" i="20"/>
  <c r="L60" i="20"/>
  <c r="K60" i="20"/>
  <c r="J60" i="20"/>
  <c r="I60" i="20"/>
  <c r="G60" i="20"/>
  <c r="B60" i="20"/>
  <c r="R60" i="20" s="1"/>
  <c r="R59" i="20"/>
  <c r="M59" i="20"/>
  <c r="L59" i="20"/>
  <c r="K59" i="20"/>
  <c r="J59" i="20"/>
  <c r="I59" i="20"/>
  <c r="G59" i="20"/>
  <c r="B59" i="20"/>
  <c r="Q59" i="20" s="1"/>
  <c r="L58" i="20"/>
  <c r="K58" i="20"/>
  <c r="J58" i="20"/>
  <c r="I58" i="20"/>
  <c r="G58" i="20"/>
  <c r="B58" i="20"/>
  <c r="N58" i="20" s="1"/>
  <c r="T58" i="20" s="1"/>
  <c r="R57" i="20"/>
  <c r="Q57" i="20"/>
  <c r="N57" i="20"/>
  <c r="T57" i="20" s="1"/>
  <c r="M57" i="20"/>
  <c r="L57" i="20"/>
  <c r="K57" i="20"/>
  <c r="J57" i="20"/>
  <c r="I57" i="20"/>
  <c r="G57" i="20"/>
  <c r="B57" i="20"/>
  <c r="P57" i="20" s="1"/>
  <c r="U57" i="20" s="1"/>
  <c r="P56" i="20"/>
  <c r="U56" i="20" s="1"/>
  <c r="M56" i="20"/>
  <c r="L56" i="20"/>
  <c r="K56" i="20"/>
  <c r="J56" i="20"/>
  <c r="I56" i="20"/>
  <c r="G56" i="20"/>
  <c r="B56" i="20"/>
  <c r="R56" i="20" s="1"/>
  <c r="R55" i="20"/>
  <c r="M55" i="20"/>
  <c r="L55" i="20"/>
  <c r="K55" i="20"/>
  <c r="J55" i="20"/>
  <c r="I55" i="20"/>
  <c r="G55" i="20"/>
  <c r="B55" i="20"/>
  <c r="Q55" i="20" s="1"/>
  <c r="M54" i="20"/>
  <c r="L54" i="20"/>
  <c r="K54" i="20"/>
  <c r="J54" i="20"/>
  <c r="I54" i="20"/>
  <c r="G54" i="20"/>
  <c r="B54" i="20"/>
  <c r="N54" i="20" s="1"/>
  <c r="T54" i="20" s="1"/>
  <c r="L53" i="20"/>
  <c r="K53" i="20"/>
  <c r="J53" i="20"/>
  <c r="I53" i="20"/>
  <c r="G53" i="20"/>
  <c r="B53" i="20"/>
  <c r="P53" i="20" s="1"/>
  <c r="U53" i="20" s="1"/>
  <c r="Q52" i="20"/>
  <c r="P52" i="20"/>
  <c r="U52" i="20" s="1"/>
  <c r="M52" i="20"/>
  <c r="L52" i="20"/>
  <c r="K52" i="20"/>
  <c r="J52" i="20"/>
  <c r="I52" i="20"/>
  <c r="G52" i="20"/>
  <c r="B52" i="20"/>
  <c r="R52" i="20" s="1"/>
  <c r="R51" i="20"/>
  <c r="M51" i="20"/>
  <c r="L51" i="20"/>
  <c r="K51" i="20"/>
  <c r="J51" i="20"/>
  <c r="I51" i="20"/>
  <c r="G51" i="20"/>
  <c r="B51" i="20"/>
  <c r="Q51" i="20" s="1"/>
  <c r="M50" i="20"/>
  <c r="L50" i="20"/>
  <c r="K50" i="20"/>
  <c r="J50" i="20"/>
  <c r="I50" i="20"/>
  <c r="G50" i="20"/>
  <c r="B50" i="20"/>
  <c r="N50" i="20" s="1"/>
  <c r="T50" i="20" s="1"/>
  <c r="L49" i="20"/>
  <c r="K49" i="20"/>
  <c r="J49" i="20"/>
  <c r="I49" i="20"/>
  <c r="G49" i="20"/>
  <c r="B49" i="20"/>
  <c r="P49" i="20" s="1"/>
  <c r="U49" i="20" s="1"/>
  <c r="Q48" i="20"/>
  <c r="P48" i="20"/>
  <c r="U48" i="20" s="1"/>
  <c r="M48" i="20"/>
  <c r="L48" i="20"/>
  <c r="K48" i="20"/>
  <c r="J48" i="20"/>
  <c r="I48" i="20"/>
  <c r="G48" i="20"/>
  <c r="B48" i="20"/>
  <c r="R48" i="20" s="1"/>
  <c r="R47" i="20"/>
  <c r="M47" i="20"/>
  <c r="L47" i="20"/>
  <c r="K47" i="20"/>
  <c r="J47" i="20"/>
  <c r="I47" i="20"/>
  <c r="G47" i="20"/>
  <c r="B47" i="20"/>
  <c r="Q47" i="20" s="1"/>
  <c r="M46" i="20"/>
  <c r="L46" i="20"/>
  <c r="K46" i="20"/>
  <c r="J46" i="20"/>
  <c r="I46" i="20"/>
  <c r="G46" i="20"/>
  <c r="B46" i="20"/>
  <c r="N46" i="20" s="1"/>
  <c r="T46" i="20" s="1"/>
  <c r="L45" i="20"/>
  <c r="K45" i="20"/>
  <c r="J45" i="20"/>
  <c r="I45" i="20"/>
  <c r="G45" i="20"/>
  <c r="B45" i="20"/>
  <c r="O45" i="20" s="1"/>
  <c r="S45" i="20" s="1"/>
  <c r="Q44" i="20"/>
  <c r="P44" i="20"/>
  <c r="U44" i="20" s="1"/>
  <c r="M44" i="20"/>
  <c r="L44" i="20"/>
  <c r="K44" i="20"/>
  <c r="J44" i="20"/>
  <c r="I44" i="20"/>
  <c r="G44" i="20"/>
  <c r="B44" i="20"/>
  <c r="R44" i="20" s="1"/>
  <c r="R43" i="20"/>
  <c r="M43" i="20"/>
  <c r="L43" i="20"/>
  <c r="K43" i="20"/>
  <c r="J43" i="20"/>
  <c r="I43" i="20"/>
  <c r="G43" i="20"/>
  <c r="B43" i="20"/>
  <c r="Q43" i="20" s="1"/>
  <c r="M42" i="20"/>
  <c r="L42" i="20"/>
  <c r="K42" i="20"/>
  <c r="J42" i="20"/>
  <c r="I42" i="20"/>
  <c r="G42" i="20"/>
  <c r="B42" i="20"/>
  <c r="N42" i="20" s="1"/>
  <c r="T42" i="20" s="1"/>
  <c r="O41" i="20"/>
  <c r="S41" i="20" s="1"/>
  <c r="L41" i="20"/>
  <c r="K41" i="20"/>
  <c r="J41" i="20"/>
  <c r="I41" i="20"/>
  <c r="G41" i="20"/>
  <c r="B41" i="20"/>
  <c r="Q40" i="20"/>
  <c r="P40" i="20"/>
  <c r="U40" i="20" s="1"/>
  <c r="M40" i="20"/>
  <c r="L40" i="20"/>
  <c r="K40" i="20"/>
  <c r="J40" i="20"/>
  <c r="I40" i="20"/>
  <c r="G40" i="20"/>
  <c r="B40" i="20"/>
  <c r="R40" i="20" s="1"/>
  <c r="R39" i="20"/>
  <c r="M39" i="20"/>
  <c r="L39" i="20"/>
  <c r="K39" i="20"/>
  <c r="J39" i="20"/>
  <c r="I39" i="20"/>
  <c r="G39" i="20"/>
  <c r="B39" i="20"/>
  <c r="Q39" i="20" s="1"/>
  <c r="M38" i="20"/>
  <c r="L38" i="20"/>
  <c r="K38" i="20"/>
  <c r="J38" i="20"/>
  <c r="I38" i="20"/>
  <c r="G38" i="20"/>
  <c r="B38" i="20"/>
  <c r="N38" i="20" s="1"/>
  <c r="T38" i="20" s="1"/>
  <c r="L37" i="20"/>
  <c r="K37" i="20"/>
  <c r="J37" i="20"/>
  <c r="I37" i="20"/>
  <c r="G37" i="20"/>
  <c r="B37" i="20"/>
  <c r="Q36" i="20"/>
  <c r="P36" i="20"/>
  <c r="U36" i="20" s="1"/>
  <c r="M36" i="20"/>
  <c r="L36" i="20"/>
  <c r="K36" i="20"/>
  <c r="J36" i="20"/>
  <c r="I36" i="20"/>
  <c r="G36" i="20"/>
  <c r="B36" i="20"/>
  <c r="R36" i="20" s="1"/>
  <c r="R35" i="20"/>
  <c r="M35" i="20"/>
  <c r="L35" i="20"/>
  <c r="K35" i="20"/>
  <c r="J35" i="20"/>
  <c r="I35" i="20"/>
  <c r="G35" i="20"/>
  <c r="B35" i="20"/>
  <c r="Q35" i="20" s="1"/>
  <c r="M34" i="20"/>
  <c r="L34" i="20"/>
  <c r="K34" i="20"/>
  <c r="J34" i="20"/>
  <c r="I34" i="20"/>
  <c r="G34" i="20"/>
  <c r="B34" i="20"/>
  <c r="N34" i="20" s="1"/>
  <c r="T34" i="20" s="1"/>
  <c r="O33" i="20"/>
  <c r="S33" i="20" s="1"/>
  <c r="L33" i="20"/>
  <c r="K33" i="20"/>
  <c r="J33" i="20"/>
  <c r="I33" i="20"/>
  <c r="G33" i="20"/>
  <c r="B33" i="20"/>
  <c r="Q32" i="20"/>
  <c r="P32" i="20"/>
  <c r="U32" i="20" s="1"/>
  <c r="M32" i="20"/>
  <c r="L32" i="20"/>
  <c r="K32" i="20"/>
  <c r="J32" i="20"/>
  <c r="I32" i="20"/>
  <c r="G32" i="20"/>
  <c r="B32" i="20"/>
  <c r="R32" i="20" s="1"/>
  <c r="R31" i="20"/>
  <c r="M31" i="20"/>
  <c r="L31" i="20"/>
  <c r="K31" i="20"/>
  <c r="J31" i="20"/>
  <c r="I31" i="20"/>
  <c r="G31" i="20"/>
  <c r="B31" i="20"/>
  <c r="Q31" i="20" s="1"/>
  <c r="M30" i="20"/>
  <c r="L30" i="20"/>
  <c r="K30" i="20"/>
  <c r="J30" i="20"/>
  <c r="I30" i="20"/>
  <c r="G30" i="20"/>
  <c r="B30" i="20"/>
  <c r="N30" i="20" s="1"/>
  <c r="T30" i="20" s="1"/>
  <c r="O29" i="20"/>
  <c r="S29" i="20" s="1"/>
  <c r="L29" i="20"/>
  <c r="K29" i="20"/>
  <c r="J29" i="20"/>
  <c r="I29" i="20"/>
  <c r="G29" i="20"/>
  <c r="B29" i="20"/>
  <c r="Q29" i="20" s="1"/>
  <c r="Q28" i="20"/>
  <c r="P28" i="20"/>
  <c r="U28" i="20" s="1"/>
  <c r="M28" i="20"/>
  <c r="L28" i="20"/>
  <c r="K28" i="20"/>
  <c r="J28" i="20"/>
  <c r="I28" i="20"/>
  <c r="G28" i="20"/>
  <c r="B28" i="20"/>
  <c r="R28" i="20" s="1"/>
  <c r="M27" i="20"/>
  <c r="L27" i="20"/>
  <c r="K27" i="20"/>
  <c r="J27" i="20"/>
  <c r="I27" i="20"/>
  <c r="G27" i="20"/>
  <c r="B27" i="20"/>
  <c r="R27" i="20" s="1"/>
  <c r="M26" i="20"/>
  <c r="L26" i="20"/>
  <c r="K26" i="20"/>
  <c r="J26" i="20"/>
  <c r="I26" i="20"/>
  <c r="G26" i="20"/>
  <c r="B26" i="20"/>
  <c r="O26" i="20" s="1"/>
  <c r="S26" i="20" s="1"/>
  <c r="N25" i="20"/>
  <c r="T25" i="20" s="1"/>
  <c r="L25" i="20"/>
  <c r="K25" i="20"/>
  <c r="J25" i="20"/>
  <c r="I25" i="20"/>
  <c r="G25" i="20"/>
  <c r="B25" i="20"/>
  <c r="O25" i="20" s="1"/>
  <c r="S25" i="20" s="1"/>
  <c r="U24" i="20"/>
  <c r="Q24" i="20"/>
  <c r="P24" i="20"/>
  <c r="M24" i="20"/>
  <c r="L24" i="20"/>
  <c r="K24" i="20"/>
  <c r="J24" i="20"/>
  <c r="I24" i="20"/>
  <c r="G24" i="20"/>
  <c r="B24" i="20"/>
  <c r="R24" i="20" s="1"/>
  <c r="M23" i="20"/>
  <c r="L23" i="20"/>
  <c r="K23" i="20"/>
  <c r="J23" i="20"/>
  <c r="I23" i="20"/>
  <c r="G23" i="20"/>
  <c r="B23" i="20"/>
  <c r="O23" i="20" s="1"/>
  <c r="S23" i="20" s="1"/>
  <c r="O22" i="20"/>
  <c r="S22" i="20" s="1"/>
  <c r="L22" i="20"/>
  <c r="K22" i="20"/>
  <c r="J22" i="20"/>
  <c r="I22" i="20"/>
  <c r="G22" i="20"/>
  <c r="B22" i="20"/>
  <c r="M22" i="20" s="1"/>
  <c r="L21" i="20"/>
  <c r="K21" i="20"/>
  <c r="J21" i="20"/>
  <c r="I21" i="20"/>
  <c r="G21" i="20"/>
  <c r="B21" i="20"/>
  <c r="Q21" i="20" s="1"/>
  <c r="M20" i="20"/>
  <c r="L20" i="20"/>
  <c r="K20" i="20"/>
  <c r="J20" i="20"/>
  <c r="I20" i="20"/>
  <c r="G20" i="20"/>
  <c r="B20" i="20"/>
  <c r="O20" i="20" s="1"/>
  <c r="S20" i="20" s="1"/>
  <c r="M19" i="20"/>
  <c r="L19" i="20"/>
  <c r="K19" i="20"/>
  <c r="J19" i="20"/>
  <c r="I19" i="20"/>
  <c r="G19" i="20"/>
  <c r="B19" i="20"/>
  <c r="O19" i="20" s="1"/>
  <c r="S19" i="20" s="1"/>
  <c r="Q18" i="20"/>
  <c r="L18" i="20"/>
  <c r="K18" i="20"/>
  <c r="J18" i="20"/>
  <c r="I18" i="20"/>
  <c r="G18" i="20"/>
  <c r="B18" i="20"/>
  <c r="O18" i="20" s="1"/>
  <c r="S18" i="20" s="1"/>
  <c r="M17" i="20"/>
  <c r="L17" i="20"/>
  <c r="K17" i="20"/>
  <c r="J17" i="20"/>
  <c r="I17" i="20"/>
  <c r="G17" i="20"/>
  <c r="B17" i="20"/>
  <c r="N17" i="20" s="1"/>
  <c r="T17" i="20" s="1"/>
  <c r="M16" i="20"/>
  <c r="L16" i="20"/>
  <c r="K16" i="20"/>
  <c r="J16" i="20"/>
  <c r="I16" i="20"/>
  <c r="G16" i="20"/>
  <c r="B16" i="20"/>
  <c r="O16" i="20" s="1"/>
  <c r="S16" i="20" s="1"/>
  <c r="R15" i="20"/>
  <c r="O15" i="20"/>
  <c r="S15" i="20" s="1"/>
  <c r="M15" i="20"/>
  <c r="L15" i="20"/>
  <c r="K15" i="20"/>
  <c r="J15" i="20"/>
  <c r="I15" i="20"/>
  <c r="G15" i="20"/>
  <c r="B15" i="20"/>
  <c r="M14" i="20"/>
  <c r="L14" i="20"/>
  <c r="K14" i="20"/>
  <c r="J14" i="20"/>
  <c r="I14" i="20"/>
  <c r="G14" i="20"/>
  <c r="B14" i="20"/>
  <c r="O14" i="20" s="1"/>
  <c r="S14" i="20" s="1"/>
  <c r="M13" i="20"/>
  <c r="L13" i="20"/>
  <c r="K13" i="20"/>
  <c r="J13" i="20"/>
  <c r="I13" i="20"/>
  <c r="G13" i="20"/>
  <c r="B13" i="20"/>
  <c r="N13" i="20" s="1"/>
  <c r="T13" i="20" s="1"/>
  <c r="L12" i="20"/>
  <c r="K12" i="20"/>
  <c r="J12" i="20"/>
  <c r="I12" i="20"/>
  <c r="G12" i="20"/>
  <c r="B12" i="20"/>
  <c r="O12" i="20" s="1"/>
  <c r="S12" i="20" s="1"/>
  <c r="R11" i="20"/>
  <c r="O11" i="20"/>
  <c r="S11" i="20" s="1"/>
  <c r="M11" i="20"/>
  <c r="L11" i="20"/>
  <c r="K11" i="20"/>
  <c r="J11" i="20"/>
  <c r="I11" i="20"/>
  <c r="G11" i="20"/>
  <c r="B11" i="20"/>
  <c r="M10" i="20"/>
  <c r="L10" i="20"/>
  <c r="K10" i="20"/>
  <c r="J10" i="20"/>
  <c r="I10" i="20"/>
  <c r="G10" i="20"/>
  <c r="B10" i="20"/>
  <c r="O10" i="20" s="1"/>
  <c r="S10" i="20" s="1"/>
  <c r="L9" i="20"/>
  <c r="K9" i="20"/>
  <c r="J9" i="20"/>
  <c r="I9" i="20"/>
  <c r="G9" i="20"/>
  <c r="B9" i="20"/>
  <c r="L8" i="20"/>
  <c r="K8" i="20"/>
  <c r="J8" i="20"/>
  <c r="I8" i="20"/>
  <c r="G8" i="20"/>
  <c r="B8" i="20"/>
  <c r="Q8" i="20" s="1"/>
  <c r="R7" i="20"/>
  <c r="O7" i="20"/>
  <c r="S7" i="20" s="1"/>
  <c r="L7" i="20"/>
  <c r="K7" i="20"/>
  <c r="J7" i="20"/>
  <c r="I7" i="20"/>
  <c r="G7" i="20"/>
  <c r="B7" i="20"/>
  <c r="M7" i="20" s="1"/>
  <c r="L6" i="20"/>
  <c r="K6" i="20"/>
  <c r="J6" i="20"/>
  <c r="I6" i="20"/>
  <c r="G6" i="20"/>
  <c r="B6" i="20"/>
  <c r="L5" i="20"/>
  <c r="K5" i="20"/>
  <c r="J5" i="20"/>
  <c r="I5" i="20"/>
  <c r="G5" i="20"/>
  <c r="B5" i="20"/>
  <c r="Q5" i="20" s="1"/>
  <c r="Q4" i="20"/>
  <c r="O4" i="20"/>
  <c r="S4" i="20" s="1"/>
  <c r="M4" i="20"/>
  <c r="L4" i="20"/>
  <c r="K4" i="20"/>
  <c r="J4" i="20"/>
  <c r="I4" i="20"/>
  <c r="G4" i="20"/>
  <c r="B4" i="20"/>
  <c r="M3" i="20"/>
  <c r="L3" i="20"/>
  <c r="K3" i="20"/>
  <c r="J3" i="20"/>
  <c r="I3" i="20"/>
  <c r="G3" i="20"/>
  <c r="B3" i="20"/>
  <c r="P3" i="20" s="1"/>
  <c r="U3" i="20" s="1"/>
  <c r="Q2" i="20"/>
  <c r="O2" i="20"/>
  <c r="S2" i="20" s="1"/>
  <c r="L2" i="20"/>
  <c r="K2" i="20"/>
  <c r="J2" i="20"/>
  <c r="I2" i="20"/>
  <c r="G2" i="20"/>
  <c r="B2" i="20"/>
  <c r="M2" i="20" s="1"/>
  <c r="G257" i="17"/>
  <c r="G174" i="17"/>
  <c r="G471" i="17"/>
  <c r="G444" i="17"/>
  <c r="G445" i="17"/>
  <c r="G225" i="17"/>
  <c r="G166" i="17"/>
  <c r="G237" i="17"/>
  <c r="G11" i="17"/>
  <c r="G178" i="17"/>
  <c r="G465" i="17"/>
  <c r="G448" i="17"/>
  <c r="G20" i="17"/>
  <c r="G300" i="17"/>
  <c r="G411" i="17"/>
  <c r="G319" i="17"/>
  <c r="G70" i="17"/>
  <c r="G301" i="17"/>
  <c r="G454" i="17"/>
  <c r="G218" i="17"/>
  <c r="G315" i="17"/>
  <c r="G146" i="17"/>
  <c r="G244" i="17"/>
  <c r="G57" i="17"/>
  <c r="G267" i="17"/>
  <c r="G80" i="17"/>
  <c r="G275" i="17"/>
  <c r="G21" i="17"/>
  <c r="G245" i="17"/>
  <c r="G86" i="17"/>
  <c r="G249" i="17"/>
  <c r="G327" i="17"/>
  <c r="G250" i="17"/>
  <c r="G353" i="17"/>
  <c r="G28" i="17"/>
  <c r="G103" i="17"/>
  <c r="G424" i="17"/>
  <c r="G238" i="17"/>
  <c r="G446" i="17"/>
  <c r="G383" i="17"/>
  <c r="G92" i="17"/>
  <c r="G261" i="17"/>
  <c r="G431" i="17"/>
  <c r="G348" i="17"/>
  <c r="G43" i="17"/>
  <c r="G206" i="17"/>
  <c r="G312" i="17"/>
  <c r="G295" i="17"/>
  <c r="G63" i="17"/>
  <c r="G207" i="17"/>
  <c r="G262" i="17"/>
  <c r="G22" i="17"/>
  <c r="G328" i="17"/>
  <c r="G12" i="17"/>
  <c r="G52" i="17"/>
  <c r="G154" i="17"/>
  <c r="G304" i="17"/>
  <c r="G71" i="17"/>
  <c r="G286" i="17"/>
  <c r="G15" i="17"/>
  <c r="G13" i="17"/>
  <c r="G306" i="17"/>
  <c r="G251" i="17"/>
  <c r="G316" i="17"/>
  <c r="G270" i="17"/>
  <c r="G323" i="17"/>
  <c r="G219" i="17"/>
  <c r="G329" i="17"/>
  <c r="G276" i="17"/>
  <c r="G93" i="17"/>
  <c r="G163" i="17"/>
  <c r="G320" i="17"/>
  <c r="G112" i="17"/>
  <c r="G183" i="17"/>
  <c r="G438" i="17"/>
  <c r="G425" i="17"/>
  <c r="G272" i="17"/>
  <c r="G321" i="17"/>
  <c r="G433" i="17"/>
  <c r="G2" i="17"/>
  <c r="G6" i="17"/>
  <c r="G64" i="17"/>
  <c r="G252" i="17"/>
  <c r="G44" i="17"/>
  <c r="G147" i="17"/>
  <c r="G195" i="17"/>
  <c r="G81" i="17"/>
  <c r="G371" i="17"/>
  <c r="G23" i="17"/>
  <c r="G450" i="17"/>
  <c r="G82" i="17"/>
  <c r="G393" i="17"/>
  <c r="G29" i="17"/>
  <c r="G324" i="17"/>
  <c r="G455" i="17"/>
  <c r="G414" i="17"/>
  <c r="G375" i="17"/>
  <c r="G232" i="17"/>
  <c r="G210" i="17"/>
  <c r="G313" i="17"/>
  <c r="G3" i="17"/>
  <c r="G164" i="17"/>
  <c r="G4" i="17"/>
  <c r="G394" i="17"/>
  <c r="G360" i="17"/>
  <c r="G148" i="17"/>
  <c r="G65" i="17"/>
  <c r="G456" i="17"/>
  <c r="G477" i="17"/>
  <c r="G192" i="17"/>
  <c r="G302" i="17"/>
  <c r="G220" i="17"/>
  <c r="G287" i="17"/>
  <c r="G104" i="17"/>
  <c r="G365" i="17"/>
  <c r="G175" i="17"/>
  <c r="G280" i="17"/>
  <c r="G208" i="17"/>
  <c r="G127" i="17"/>
  <c r="G24" i="17"/>
  <c r="G288" i="17"/>
  <c r="G196" i="17"/>
  <c r="G277" i="17"/>
  <c r="G258" i="17"/>
  <c r="G226" i="17"/>
  <c r="G333" i="17"/>
  <c r="G358" i="17"/>
  <c r="G39" i="17"/>
  <c r="G434" i="17"/>
  <c r="G402" i="17"/>
  <c r="G281" i="17"/>
  <c r="G344" i="17"/>
  <c r="G123" i="17"/>
  <c r="G214" i="17"/>
  <c r="G427" i="17"/>
  <c r="G451" i="17"/>
  <c r="G418" i="17"/>
  <c r="G87" i="17"/>
  <c r="G435" i="17"/>
  <c r="G108" i="17"/>
  <c r="G441" i="17"/>
  <c r="G466" i="17"/>
  <c r="G354" i="17"/>
  <c r="G121" i="17"/>
  <c r="G16" i="17"/>
  <c r="G467" i="17"/>
  <c r="G296" i="17"/>
  <c r="G40" i="17"/>
  <c r="G18" i="17"/>
  <c r="G259" i="17"/>
  <c r="G159" i="17"/>
  <c r="G105" i="17"/>
  <c r="G221" i="17"/>
  <c r="G406" i="17"/>
  <c r="G415" i="17"/>
  <c r="G76" i="17"/>
  <c r="G310" i="17"/>
  <c r="G461" i="17"/>
  <c r="G88" i="17"/>
  <c r="G263" i="17"/>
  <c r="G285" i="17"/>
  <c r="G171" i="17"/>
  <c r="G167" i="17"/>
  <c r="G337" i="17"/>
  <c r="G283" i="17"/>
  <c r="G260" i="17"/>
  <c r="G198" i="17"/>
  <c r="G186" i="17"/>
  <c r="G334" i="17"/>
  <c r="G366" i="17"/>
  <c r="G412" i="17"/>
  <c r="G298" i="17"/>
  <c r="G53" i="17"/>
  <c r="G5" i="17"/>
  <c r="G149" i="17"/>
  <c r="G54" i="17"/>
  <c r="G436" i="17"/>
  <c r="G14" i="17"/>
  <c r="G199" i="17"/>
  <c r="G89" i="17"/>
  <c r="G325" i="17"/>
  <c r="G271" i="17"/>
  <c r="G165" i="17"/>
  <c r="G133" i="17"/>
  <c r="G413" i="17"/>
  <c r="G367" i="17"/>
  <c r="G368" i="17"/>
  <c r="G155" i="17"/>
  <c r="G160" i="17"/>
  <c r="G253" i="17"/>
  <c r="G268" i="17"/>
  <c r="G452" i="17"/>
  <c r="G246" i="17"/>
  <c r="G289" i="17"/>
  <c r="G227" i="17"/>
  <c r="G419" i="17"/>
  <c r="G335" i="17"/>
  <c r="G58" i="17"/>
  <c r="G395" i="17"/>
  <c r="G462" i="17"/>
  <c r="G106" i="17"/>
  <c r="G372" i="17"/>
  <c r="G403" i="17"/>
  <c r="G168" i="17"/>
  <c r="G384" i="17"/>
  <c r="G468" i="17"/>
  <c r="G385" i="17"/>
  <c r="G396" i="17"/>
  <c r="G66" i="17"/>
  <c r="G397" i="17"/>
  <c r="G139" i="17"/>
  <c r="G290" i="17"/>
  <c r="G161" i="17"/>
  <c r="G345" i="17"/>
  <c r="G187" i="17"/>
  <c r="G228" i="17"/>
  <c r="G346" i="17"/>
  <c r="G124" i="17"/>
  <c r="G233" i="17"/>
  <c r="G229" i="17"/>
  <c r="G381" i="17"/>
  <c r="G338" i="17"/>
  <c r="G369" i="17"/>
  <c r="G90" i="17"/>
  <c r="G134" i="17"/>
  <c r="G341" i="17"/>
  <c r="G355" i="17"/>
  <c r="G45" i="17"/>
  <c r="G116" i="17"/>
  <c r="G314" i="17"/>
  <c r="G254" i="17"/>
  <c r="G211" i="17"/>
  <c r="G216" i="17"/>
  <c r="G200" i="17"/>
  <c r="G239" i="17"/>
  <c r="G7" i="17"/>
  <c r="G140" i="17"/>
  <c r="G291" i="17"/>
  <c r="G162" i="17"/>
  <c r="G47" i="17"/>
  <c r="G457" i="17"/>
  <c r="G117" i="17"/>
  <c r="G376" i="17"/>
  <c r="G179" i="17"/>
  <c r="G378" i="17"/>
  <c r="G33" i="17"/>
  <c r="G188" i="17"/>
  <c r="G94" i="17"/>
  <c r="G330" i="17"/>
  <c r="G349" i="17"/>
  <c r="G428" i="17"/>
  <c r="G361" i="17"/>
  <c r="G72" i="17"/>
  <c r="G416" i="17"/>
  <c r="G34" i="17"/>
  <c r="G141" i="17"/>
  <c r="G398" i="17"/>
  <c r="G128" i="17"/>
  <c r="G347" i="17"/>
  <c r="G55" i="17"/>
  <c r="G458" i="17"/>
  <c r="G386" i="17"/>
  <c r="G420" i="17"/>
  <c r="G107" i="17"/>
  <c r="G379" i="17"/>
  <c r="G201" i="17"/>
  <c r="G26" i="17"/>
  <c r="G421" i="17"/>
  <c r="G264" i="17"/>
  <c r="G432" i="17"/>
  <c r="G135" i="17"/>
  <c r="G472" i="17"/>
  <c r="G422" i="17"/>
  <c r="G273" i="17"/>
  <c r="G184" i="17"/>
  <c r="G255" i="17"/>
  <c r="G130" i="17"/>
  <c r="G442" i="17"/>
  <c r="G326" i="17"/>
  <c r="G350" i="17"/>
  <c r="G169" i="17"/>
  <c r="G17" i="17"/>
  <c r="G74" i="17"/>
  <c r="G473" i="17"/>
  <c r="G292" i="17"/>
  <c r="G96" i="17"/>
  <c r="G113" i="17"/>
  <c r="G278" i="17"/>
  <c r="G176" i="17"/>
  <c r="G59" i="17"/>
  <c r="G48" i="17"/>
  <c r="G8" i="17"/>
  <c r="G282" i="17"/>
  <c r="G399" i="17"/>
  <c r="G30" i="17"/>
  <c r="G279" i="17"/>
  <c r="G356" i="17"/>
  <c r="G256" i="17"/>
  <c r="G31" i="17"/>
  <c r="G426" i="17"/>
  <c r="G212" i="17"/>
  <c r="G67" i="17"/>
  <c r="G193" i="17"/>
  <c r="G191" i="17"/>
  <c r="G447" i="17"/>
  <c r="G265" i="17"/>
  <c r="G202" i="17"/>
  <c r="G387" i="17"/>
  <c r="G423" i="17"/>
  <c r="G142" i="17"/>
  <c r="G453" i="17"/>
  <c r="G293" i="17"/>
  <c r="G97" i="17"/>
  <c r="G114" i="17"/>
  <c r="G98" i="17"/>
  <c r="G417" i="17"/>
  <c r="G56" i="17"/>
  <c r="G336" i="17"/>
  <c r="G143" i="17"/>
  <c r="G362" i="17"/>
  <c r="G478" i="17"/>
  <c r="G284" i="17"/>
  <c r="G463" i="17"/>
  <c r="G49" i="17"/>
  <c r="G377" i="17"/>
  <c r="G474" i="17"/>
  <c r="G234" i="17"/>
  <c r="G109" i="17"/>
  <c r="G479" i="17"/>
  <c r="G75" i="17"/>
  <c r="G269" i="17"/>
  <c r="G60" i="17"/>
  <c r="G469" i="17"/>
  <c r="G83" i="17"/>
  <c r="G125" i="17"/>
  <c r="G342" i="17"/>
  <c r="G203" i="17"/>
  <c r="G331" i="17"/>
  <c r="G126" i="17"/>
  <c r="G322" i="17"/>
  <c r="G373" i="17"/>
  <c r="G357" i="17"/>
  <c r="G215" i="17"/>
  <c r="G464" i="17"/>
  <c r="G144" i="17"/>
  <c r="G305" i="17"/>
  <c r="G388" i="17"/>
  <c r="G185" i="17"/>
  <c r="G156" i="17"/>
  <c r="G475" i="17"/>
  <c r="G363" i="17"/>
  <c r="G110" i="17"/>
  <c r="G459" i="17"/>
  <c r="G150" i="17"/>
  <c r="G46" i="17"/>
  <c r="G99" i="17"/>
  <c r="G311" i="17"/>
  <c r="G437" i="17"/>
  <c r="G84" i="17"/>
  <c r="G339" i="17"/>
  <c r="G213" i="17"/>
  <c r="G35" i="17"/>
  <c r="G404" i="17"/>
  <c r="G41" i="17"/>
  <c r="G172" i="17"/>
  <c r="G307" i="17"/>
  <c r="G343" i="17"/>
  <c r="G145" i="17"/>
  <c r="G235" i="17"/>
  <c r="G222" i="17"/>
  <c r="G131" i="17"/>
  <c r="G204" i="17"/>
  <c r="G73" i="17"/>
  <c r="G205" i="17"/>
  <c r="G180" i="17"/>
  <c r="G247" i="17"/>
  <c r="G111" i="17"/>
  <c r="G36" i="17"/>
  <c r="G230" i="17"/>
  <c r="G118" i="17"/>
  <c r="G340" i="17"/>
  <c r="G95" i="17"/>
  <c r="G370" i="17"/>
  <c r="G274" i="17"/>
  <c r="G151" i="17"/>
  <c r="G389" i="17"/>
  <c r="G439" i="17"/>
  <c r="G351" i="17"/>
  <c r="G297" i="17"/>
  <c r="G407" i="17"/>
  <c r="G194" i="17"/>
  <c r="G25" i="17"/>
  <c r="G50" i="17"/>
  <c r="G129" i="17"/>
  <c r="G152" i="17"/>
  <c r="G136" i="17"/>
  <c r="G27" i="17"/>
  <c r="G85" i="17"/>
  <c r="G240" i="17"/>
  <c r="G100" i="17"/>
  <c r="G440" i="17"/>
  <c r="G390" i="17"/>
  <c r="G317" i="17"/>
  <c r="G119" i="17"/>
  <c r="G470" i="17"/>
  <c r="G318" i="17"/>
  <c r="G308" i="17"/>
  <c r="G303" i="17"/>
  <c r="G157" i="17"/>
  <c r="G158" i="17"/>
  <c r="G153" i="17"/>
  <c r="G241" i="17"/>
  <c r="G408" i="17"/>
  <c r="G242" i="17"/>
  <c r="G19" i="17"/>
  <c r="G137" i="17"/>
  <c r="G332" i="17"/>
  <c r="G51" i="17"/>
  <c r="G391" i="17"/>
  <c r="G248" i="17"/>
  <c r="G189" i="17"/>
  <c r="G409" i="17"/>
  <c r="G120" i="17"/>
  <c r="G181" i="17"/>
  <c r="G352" i="17"/>
  <c r="G209" i="17"/>
  <c r="G190" i="17"/>
  <c r="G294" i="17"/>
  <c r="G115" i="17"/>
  <c r="G68" i="17"/>
  <c r="G243" i="17"/>
  <c r="G69" i="17"/>
  <c r="G197" i="17"/>
  <c r="G182" i="17"/>
  <c r="G77" i="17"/>
  <c r="G101" i="17"/>
  <c r="G37" i="17"/>
  <c r="G170" i="17"/>
  <c r="G102" i="17"/>
  <c r="G223" i="17"/>
  <c r="G236" i="17"/>
  <c r="G61" i="17"/>
  <c r="G443" i="17"/>
  <c r="G410" i="17"/>
  <c r="G380" i="17"/>
  <c r="G38" i="17"/>
  <c r="G400" i="17"/>
  <c r="G9" i="17"/>
  <c r="G401" i="17"/>
  <c r="G429" i="17"/>
  <c r="G299" i="17"/>
  <c r="G62" i="17"/>
  <c r="G364" i="17"/>
  <c r="G78" i="17"/>
  <c r="G79" i="17"/>
  <c r="G460" i="17"/>
  <c r="G138" i="17"/>
  <c r="G309" i="17"/>
  <c r="G177" i="17"/>
  <c r="G405" i="17"/>
  <c r="G132" i="17"/>
  <c r="G173" i="17"/>
  <c r="G91" i="17"/>
  <c r="G32" i="17"/>
  <c r="G449" i="17"/>
  <c r="G476" i="17"/>
  <c r="G10" i="17"/>
  <c r="G42" i="17"/>
  <c r="G224" i="17"/>
  <c r="G392" i="17"/>
  <c r="G231" i="17"/>
  <c r="G266" i="17"/>
  <c r="G122" i="17"/>
  <c r="G217" i="17"/>
  <c r="G359" i="17"/>
  <c r="G374" i="17"/>
  <c r="G430" i="17"/>
  <c r="G382" i="17"/>
  <c r="L382" i="17"/>
  <c r="K382" i="17"/>
  <c r="J382" i="17"/>
  <c r="I382" i="17"/>
  <c r="B382" i="17"/>
  <c r="Q382" i="17" s="1"/>
  <c r="L430" i="17"/>
  <c r="K430" i="17"/>
  <c r="J430" i="17"/>
  <c r="I430" i="17"/>
  <c r="B430" i="17"/>
  <c r="Q430" i="17" s="1"/>
  <c r="L374" i="17"/>
  <c r="K374" i="17"/>
  <c r="J374" i="17"/>
  <c r="I374" i="17"/>
  <c r="B374" i="17"/>
  <c r="M374" i="17" s="1"/>
  <c r="L359" i="17"/>
  <c r="K359" i="17"/>
  <c r="J359" i="17"/>
  <c r="I359" i="17"/>
  <c r="B359" i="17"/>
  <c r="L217" i="17"/>
  <c r="K217" i="17"/>
  <c r="J217" i="17"/>
  <c r="I217" i="17"/>
  <c r="B217" i="17"/>
  <c r="Q217" i="17" s="1"/>
  <c r="L122" i="17"/>
  <c r="K122" i="17"/>
  <c r="J122" i="17"/>
  <c r="I122" i="17"/>
  <c r="B122" i="17"/>
  <c r="L266" i="17"/>
  <c r="K266" i="17"/>
  <c r="J266" i="17"/>
  <c r="I266" i="17"/>
  <c r="B266" i="17"/>
  <c r="M266" i="17" s="1"/>
  <c r="L231" i="17"/>
  <c r="K231" i="17"/>
  <c r="J231" i="17"/>
  <c r="I231" i="17"/>
  <c r="B231" i="17"/>
  <c r="L392" i="17"/>
  <c r="K392" i="17"/>
  <c r="J392" i="17"/>
  <c r="I392" i="17"/>
  <c r="B392" i="17"/>
  <c r="Q392" i="17" s="1"/>
  <c r="L224" i="17"/>
  <c r="K224" i="17"/>
  <c r="J224" i="17"/>
  <c r="I224" i="17"/>
  <c r="B224" i="17"/>
  <c r="Q224" i="17" s="1"/>
  <c r="L42" i="17"/>
  <c r="K42" i="17"/>
  <c r="J42" i="17"/>
  <c r="I42" i="17"/>
  <c r="B42" i="17"/>
  <c r="M42" i="17" s="1"/>
  <c r="L10" i="17"/>
  <c r="K10" i="17"/>
  <c r="J10" i="17"/>
  <c r="I10" i="17"/>
  <c r="B10" i="17"/>
  <c r="L476" i="17"/>
  <c r="K476" i="17"/>
  <c r="J476" i="17"/>
  <c r="I476" i="17"/>
  <c r="B476" i="17"/>
  <c r="Q476" i="17" s="1"/>
  <c r="L449" i="17"/>
  <c r="K449" i="17"/>
  <c r="J449" i="17"/>
  <c r="I449" i="17"/>
  <c r="B449" i="17"/>
  <c r="L32" i="17"/>
  <c r="K32" i="17"/>
  <c r="J32" i="17"/>
  <c r="I32" i="17"/>
  <c r="B32" i="17"/>
  <c r="N32" i="17" s="1"/>
  <c r="T32" i="17" s="1"/>
  <c r="L91" i="17"/>
  <c r="K91" i="17"/>
  <c r="J91" i="17"/>
  <c r="I91" i="17"/>
  <c r="B91" i="17"/>
  <c r="L173" i="17"/>
  <c r="K173" i="17"/>
  <c r="J173" i="17"/>
  <c r="I173" i="17"/>
  <c r="B173" i="17"/>
  <c r="L132" i="17"/>
  <c r="K132" i="17"/>
  <c r="J132" i="17"/>
  <c r="I132" i="17"/>
  <c r="B132" i="17"/>
  <c r="Q132" i="17" s="1"/>
  <c r="L405" i="17"/>
  <c r="K405" i="17"/>
  <c r="J405" i="17"/>
  <c r="I405" i="17"/>
  <c r="B405" i="17"/>
  <c r="M405" i="17" s="1"/>
  <c r="L177" i="17"/>
  <c r="K177" i="17"/>
  <c r="J177" i="17"/>
  <c r="I177" i="17"/>
  <c r="B177" i="17"/>
  <c r="L309" i="17"/>
  <c r="K309" i="17"/>
  <c r="J309" i="17"/>
  <c r="I309" i="17"/>
  <c r="B309" i="17"/>
  <c r="Q309" i="17" s="1"/>
  <c r="L138" i="17"/>
  <c r="K138" i="17"/>
  <c r="J138" i="17"/>
  <c r="I138" i="17"/>
  <c r="B138" i="17"/>
  <c r="L460" i="17"/>
  <c r="K460" i="17"/>
  <c r="J460" i="17"/>
  <c r="I460" i="17"/>
  <c r="B460" i="17"/>
  <c r="N460" i="17" s="1"/>
  <c r="T460" i="17" s="1"/>
  <c r="L79" i="17"/>
  <c r="K79" i="17"/>
  <c r="J79" i="17"/>
  <c r="I79" i="17"/>
  <c r="B79" i="17"/>
  <c r="L78" i="17"/>
  <c r="K78" i="17"/>
  <c r="J78" i="17"/>
  <c r="I78" i="17"/>
  <c r="B78" i="17"/>
  <c r="L364" i="17"/>
  <c r="K364" i="17"/>
  <c r="J364" i="17"/>
  <c r="I364" i="17"/>
  <c r="B364" i="17"/>
  <c r="Q364" i="17" s="1"/>
  <c r="L62" i="17"/>
  <c r="K62" i="17"/>
  <c r="J62" i="17"/>
  <c r="I62" i="17"/>
  <c r="B62" i="17"/>
  <c r="M62" i="17" s="1"/>
  <c r="L299" i="17"/>
  <c r="K299" i="17"/>
  <c r="J299" i="17"/>
  <c r="I299" i="17"/>
  <c r="B299" i="17"/>
  <c r="L429" i="17"/>
  <c r="K429" i="17"/>
  <c r="J429" i="17"/>
  <c r="I429" i="17"/>
  <c r="B429" i="17"/>
  <c r="Q429" i="17" s="1"/>
  <c r="L401" i="17"/>
  <c r="K401" i="17"/>
  <c r="J401" i="17"/>
  <c r="I401" i="17"/>
  <c r="B401" i="17"/>
  <c r="L9" i="17"/>
  <c r="K9" i="17"/>
  <c r="J9" i="17"/>
  <c r="I9" i="17"/>
  <c r="B9" i="17"/>
  <c r="M9" i="17" s="1"/>
  <c r="L400" i="17"/>
  <c r="K400" i="17"/>
  <c r="J400" i="17"/>
  <c r="I400" i="17"/>
  <c r="B400" i="17"/>
  <c r="L38" i="17"/>
  <c r="K38" i="17"/>
  <c r="J38" i="17"/>
  <c r="I38" i="17"/>
  <c r="B38" i="17"/>
  <c r="L380" i="17"/>
  <c r="K380" i="17"/>
  <c r="J380" i="17"/>
  <c r="I380" i="17"/>
  <c r="B380" i="17"/>
  <c r="Q380" i="17" s="1"/>
  <c r="L410" i="17"/>
  <c r="K410" i="17"/>
  <c r="J410" i="17"/>
  <c r="I410" i="17"/>
  <c r="B410" i="17"/>
  <c r="M410" i="17" s="1"/>
  <c r="L443" i="17"/>
  <c r="K443" i="17"/>
  <c r="J443" i="17"/>
  <c r="I443" i="17"/>
  <c r="B443" i="17"/>
  <c r="L61" i="17"/>
  <c r="K61" i="17"/>
  <c r="J61" i="17"/>
  <c r="I61" i="17"/>
  <c r="B61" i="17"/>
  <c r="Q61" i="17" s="1"/>
  <c r="L236" i="17"/>
  <c r="K236" i="17"/>
  <c r="J236" i="17"/>
  <c r="I236" i="17"/>
  <c r="B236" i="17"/>
  <c r="L223" i="17"/>
  <c r="K223" i="17"/>
  <c r="J223" i="17"/>
  <c r="I223" i="17"/>
  <c r="B223" i="17"/>
  <c r="M223" i="17" s="1"/>
  <c r="L102" i="17"/>
  <c r="K102" i="17"/>
  <c r="J102" i="17"/>
  <c r="I102" i="17"/>
  <c r="B102" i="17"/>
  <c r="L170" i="17"/>
  <c r="K170" i="17"/>
  <c r="J170" i="17"/>
  <c r="I170" i="17"/>
  <c r="B170" i="17"/>
  <c r="L37" i="17"/>
  <c r="K37" i="17"/>
  <c r="J37" i="17"/>
  <c r="I37" i="17"/>
  <c r="B37" i="17"/>
  <c r="Q37" i="17" s="1"/>
  <c r="L101" i="17"/>
  <c r="K101" i="17"/>
  <c r="J101" i="17"/>
  <c r="I101" i="17"/>
  <c r="B101" i="17"/>
  <c r="M101" i="17" s="1"/>
  <c r="L77" i="17"/>
  <c r="K77" i="17"/>
  <c r="J77" i="17"/>
  <c r="I77" i="17"/>
  <c r="B77" i="17"/>
  <c r="L182" i="17"/>
  <c r="K182" i="17"/>
  <c r="J182" i="17"/>
  <c r="I182" i="17"/>
  <c r="B182" i="17"/>
  <c r="Q182" i="17" s="1"/>
  <c r="L197" i="17"/>
  <c r="K197" i="17"/>
  <c r="J197" i="17"/>
  <c r="I197" i="17"/>
  <c r="B197" i="17"/>
  <c r="L69" i="17"/>
  <c r="K69" i="17"/>
  <c r="J69" i="17"/>
  <c r="I69" i="17"/>
  <c r="B69" i="17"/>
  <c r="M69" i="17" s="1"/>
  <c r="L243" i="17"/>
  <c r="K243" i="17"/>
  <c r="J243" i="17"/>
  <c r="I243" i="17"/>
  <c r="B243" i="17"/>
  <c r="L68" i="17"/>
  <c r="K68" i="17"/>
  <c r="J68" i="17"/>
  <c r="I68" i="17"/>
  <c r="B68" i="17"/>
  <c r="L115" i="17"/>
  <c r="K115" i="17"/>
  <c r="J115" i="17"/>
  <c r="I115" i="17"/>
  <c r="B115" i="17"/>
  <c r="Q115" i="17" s="1"/>
  <c r="L294" i="17"/>
  <c r="K294" i="17"/>
  <c r="J294" i="17"/>
  <c r="I294" i="17"/>
  <c r="B294" i="17"/>
  <c r="M294" i="17" s="1"/>
  <c r="L190" i="17"/>
  <c r="K190" i="17"/>
  <c r="J190" i="17"/>
  <c r="I190" i="17"/>
  <c r="B190" i="17"/>
  <c r="L209" i="17"/>
  <c r="K209" i="17"/>
  <c r="J209" i="17"/>
  <c r="I209" i="17"/>
  <c r="B209" i="17"/>
  <c r="Q209" i="17" s="1"/>
  <c r="L352" i="17"/>
  <c r="K352" i="17"/>
  <c r="J352" i="17"/>
  <c r="I352" i="17"/>
  <c r="B352" i="17"/>
  <c r="L181" i="17"/>
  <c r="K181" i="17"/>
  <c r="J181" i="17"/>
  <c r="I181" i="17"/>
  <c r="B181" i="17"/>
  <c r="M181" i="17" s="1"/>
  <c r="L120" i="17"/>
  <c r="K120" i="17"/>
  <c r="J120" i="17"/>
  <c r="I120" i="17"/>
  <c r="B120" i="17"/>
  <c r="L409" i="17"/>
  <c r="K409" i="17"/>
  <c r="J409" i="17"/>
  <c r="I409" i="17"/>
  <c r="B409" i="17"/>
  <c r="L189" i="17"/>
  <c r="K189" i="17"/>
  <c r="J189" i="17"/>
  <c r="I189" i="17"/>
  <c r="B189" i="17"/>
  <c r="Q189" i="17" s="1"/>
  <c r="L248" i="17"/>
  <c r="K248" i="17"/>
  <c r="J248" i="17"/>
  <c r="I248" i="17"/>
  <c r="B248" i="17"/>
  <c r="M248" i="17" s="1"/>
  <c r="L391" i="17"/>
  <c r="K391" i="17"/>
  <c r="J391" i="17"/>
  <c r="I391" i="17"/>
  <c r="B391" i="17"/>
  <c r="L51" i="17"/>
  <c r="K51" i="17"/>
  <c r="J51" i="17"/>
  <c r="I51" i="17"/>
  <c r="B51" i="17"/>
  <c r="Q51" i="17" s="1"/>
  <c r="L332" i="17"/>
  <c r="K332" i="17"/>
  <c r="J332" i="17"/>
  <c r="I332" i="17"/>
  <c r="B332" i="17"/>
  <c r="L137" i="17"/>
  <c r="K137" i="17"/>
  <c r="J137" i="17"/>
  <c r="I137" i="17"/>
  <c r="B137" i="17"/>
  <c r="M137" i="17" s="1"/>
  <c r="L19" i="17"/>
  <c r="K19" i="17"/>
  <c r="J19" i="17"/>
  <c r="I19" i="17"/>
  <c r="B19" i="17"/>
  <c r="L242" i="17"/>
  <c r="K242" i="17"/>
  <c r="J242" i="17"/>
  <c r="I242" i="17"/>
  <c r="B242" i="17"/>
  <c r="L408" i="17"/>
  <c r="K408" i="17"/>
  <c r="J408" i="17"/>
  <c r="I408" i="17"/>
  <c r="B408" i="17"/>
  <c r="Q408" i="17" s="1"/>
  <c r="L241" i="17"/>
  <c r="K241" i="17"/>
  <c r="J241" i="17"/>
  <c r="I241" i="17"/>
  <c r="B241" i="17"/>
  <c r="M241" i="17" s="1"/>
  <c r="L153" i="17"/>
  <c r="K153" i="17"/>
  <c r="J153" i="17"/>
  <c r="I153" i="17"/>
  <c r="B153" i="17"/>
  <c r="L158" i="17"/>
  <c r="K158" i="17"/>
  <c r="J158" i="17"/>
  <c r="I158" i="17"/>
  <c r="B158" i="17"/>
  <c r="Q158" i="17" s="1"/>
  <c r="L157" i="17"/>
  <c r="K157" i="17"/>
  <c r="J157" i="17"/>
  <c r="I157" i="17"/>
  <c r="B157" i="17"/>
  <c r="L303" i="17"/>
  <c r="K303" i="17"/>
  <c r="J303" i="17"/>
  <c r="I303" i="17"/>
  <c r="B303" i="17"/>
  <c r="M303" i="17" s="1"/>
  <c r="L308" i="17"/>
  <c r="K308" i="17"/>
  <c r="J308" i="17"/>
  <c r="I308" i="17"/>
  <c r="B308" i="17"/>
  <c r="L318" i="17"/>
  <c r="K318" i="17"/>
  <c r="J318" i="17"/>
  <c r="I318" i="17"/>
  <c r="B318" i="17"/>
  <c r="L470" i="17"/>
  <c r="K470" i="17"/>
  <c r="J470" i="17"/>
  <c r="I470" i="17"/>
  <c r="B470" i="17"/>
  <c r="Q470" i="17" s="1"/>
  <c r="L119" i="17"/>
  <c r="K119" i="17"/>
  <c r="J119" i="17"/>
  <c r="I119" i="17"/>
  <c r="B119" i="17"/>
  <c r="M119" i="17" s="1"/>
  <c r="L317" i="17"/>
  <c r="K317" i="17"/>
  <c r="J317" i="17"/>
  <c r="I317" i="17"/>
  <c r="B317" i="17"/>
  <c r="L390" i="17"/>
  <c r="K390" i="17"/>
  <c r="J390" i="17"/>
  <c r="I390" i="17"/>
  <c r="B390" i="17"/>
  <c r="Q390" i="17" s="1"/>
  <c r="L440" i="17"/>
  <c r="K440" i="17"/>
  <c r="J440" i="17"/>
  <c r="I440" i="17"/>
  <c r="B440" i="17"/>
  <c r="L100" i="17"/>
  <c r="K100" i="17"/>
  <c r="J100" i="17"/>
  <c r="I100" i="17"/>
  <c r="B100" i="17"/>
  <c r="N100" i="17" s="1"/>
  <c r="T100" i="17" s="1"/>
  <c r="L240" i="17"/>
  <c r="K240" i="17"/>
  <c r="J240" i="17"/>
  <c r="I240" i="17"/>
  <c r="B240" i="17"/>
  <c r="L85" i="17"/>
  <c r="K85" i="17"/>
  <c r="J85" i="17"/>
  <c r="I85" i="17"/>
  <c r="B85" i="17"/>
  <c r="L27" i="17"/>
  <c r="K27" i="17"/>
  <c r="J27" i="17"/>
  <c r="I27" i="17"/>
  <c r="B27" i="17"/>
  <c r="Q27" i="17" s="1"/>
  <c r="L136" i="17"/>
  <c r="K136" i="17"/>
  <c r="J136" i="17"/>
  <c r="I136" i="17"/>
  <c r="B136" i="17"/>
  <c r="M136" i="17" s="1"/>
  <c r="L152" i="17"/>
  <c r="K152" i="17"/>
  <c r="J152" i="17"/>
  <c r="I152" i="17"/>
  <c r="B152" i="17"/>
  <c r="L129" i="17"/>
  <c r="K129" i="17"/>
  <c r="J129" i="17"/>
  <c r="I129" i="17"/>
  <c r="B129" i="17"/>
  <c r="Q129" i="17" s="1"/>
  <c r="L50" i="17"/>
  <c r="K50" i="17"/>
  <c r="J50" i="17"/>
  <c r="I50" i="17"/>
  <c r="B50" i="17"/>
  <c r="L25" i="17"/>
  <c r="K25" i="17"/>
  <c r="J25" i="17"/>
  <c r="I25" i="17"/>
  <c r="B25" i="17"/>
  <c r="N25" i="17" s="1"/>
  <c r="T25" i="17" s="1"/>
  <c r="L194" i="17"/>
  <c r="K194" i="17"/>
  <c r="J194" i="17"/>
  <c r="I194" i="17"/>
  <c r="B194" i="17"/>
  <c r="L407" i="17"/>
  <c r="K407" i="17"/>
  <c r="J407" i="17"/>
  <c r="I407" i="17"/>
  <c r="B407" i="17"/>
  <c r="L297" i="17"/>
  <c r="K297" i="17"/>
  <c r="J297" i="17"/>
  <c r="I297" i="17"/>
  <c r="B297" i="17"/>
  <c r="Q297" i="17" s="1"/>
  <c r="L351" i="17"/>
  <c r="K351" i="17"/>
  <c r="J351" i="17"/>
  <c r="I351" i="17"/>
  <c r="B351" i="17"/>
  <c r="M351" i="17" s="1"/>
  <c r="L439" i="17"/>
  <c r="K439" i="17"/>
  <c r="J439" i="17"/>
  <c r="I439" i="17"/>
  <c r="B439" i="17"/>
  <c r="L389" i="17"/>
  <c r="K389" i="17"/>
  <c r="J389" i="17"/>
  <c r="I389" i="17"/>
  <c r="B389" i="17"/>
  <c r="Q389" i="17" s="1"/>
  <c r="L151" i="17"/>
  <c r="K151" i="17"/>
  <c r="J151" i="17"/>
  <c r="I151" i="17"/>
  <c r="B151" i="17"/>
  <c r="L274" i="17"/>
  <c r="K274" i="17"/>
  <c r="J274" i="17"/>
  <c r="I274" i="17"/>
  <c r="B274" i="17"/>
  <c r="M274" i="17" s="1"/>
  <c r="L370" i="17"/>
  <c r="K370" i="17"/>
  <c r="J370" i="17"/>
  <c r="I370" i="17"/>
  <c r="B370" i="17"/>
  <c r="L95" i="17"/>
  <c r="K95" i="17"/>
  <c r="J95" i="17"/>
  <c r="I95" i="17"/>
  <c r="B95" i="17"/>
  <c r="L340" i="17"/>
  <c r="K340" i="17"/>
  <c r="J340" i="17"/>
  <c r="I340" i="17"/>
  <c r="B340" i="17"/>
  <c r="Q340" i="17" s="1"/>
  <c r="L118" i="17"/>
  <c r="K118" i="17"/>
  <c r="J118" i="17"/>
  <c r="I118" i="17"/>
  <c r="B118" i="17"/>
  <c r="M118" i="17" s="1"/>
  <c r="L230" i="17"/>
  <c r="K230" i="17"/>
  <c r="J230" i="17"/>
  <c r="I230" i="17"/>
  <c r="B230" i="17"/>
  <c r="L36" i="17"/>
  <c r="K36" i="17"/>
  <c r="J36" i="17"/>
  <c r="I36" i="17"/>
  <c r="B36" i="17"/>
  <c r="Q36" i="17" s="1"/>
  <c r="L111" i="17"/>
  <c r="K111" i="17"/>
  <c r="J111" i="17"/>
  <c r="I111" i="17"/>
  <c r="B111" i="17"/>
  <c r="L247" i="17"/>
  <c r="K247" i="17"/>
  <c r="J247" i="17"/>
  <c r="I247" i="17"/>
  <c r="B247" i="17"/>
  <c r="M247" i="17" s="1"/>
  <c r="L180" i="17"/>
  <c r="K180" i="17"/>
  <c r="J180" i="17"/>
  <c r="I180" i="17"/>
  <c r="B180" i="17"/>
  <c r="L205" i="17"/>
  <c r="K205" i="17"/>
  <c r="J205" i="17"/>
  <c r="I205" i="17"/>
  <c r="B205" i="17"/>
  <c r="L73" i="17"/>
  <c r="K73" i="17"/>
  <c r="J73" i="17"/>
  <c r="I73" i="17"/>
  <c r="B73" i="17"/>
  <c r="Q73" i="17" s="1"/>
  <c r="L204" i="17"/>
  <c r="K204" i="17"/>
  <c r="J204" i="17"/>
  <c r="I204" i="17"/>
  <c r="B204" i="17"/>
  <c r="M204" i="17" s="1"/>
  <c r="L131" i="17"/>
  <c r="K131" i="17"/>
  <c r="J131" i="17"/>
  <c r="I131" i="17"/>
  <c r="B131" i="17"/>
  <c r="L222" i="17"/>
  <c r="K222" i="17"/>
  <c r="J222" i="17"/>
  <c r="I222" i="17"/>
  <c r="B222" i="17"/>
  <c r="Q222" i="17" s="1"/>
  <c r="L235" i="17"/>
  <c r="K235" i="17"/>
  <c r="J235" i="17"/>
  <c r="I235" i="17"/>
  <c r="B235" i="17"/>
  <c r="L145" i="17"/>
  <c r="K145" i="17"/>
  <c r="J145" i="17"/>
  <c r="I145" i="17"/>
  <c r="B145" i="17"/>
  <c r="M145" i="17" s="1"/>
  <c r="L343" i="17"/>
  <c r="K343" i="17"/>
  <c r="J343" i="17"/>
  <c r="I343" i="17"/>
  <c r="B343" i="17"/>
  <c r="L307" i="17"/>
  <c r="K307" i="17"/>
  <c r="J307" i="17"/>
  <c r="I307" i="17"/>
  <c r="B307" i="17"/>
  <c r="L172" i="17"/>
  <c r="K172" i="17"/>
  <c r="J172" i="17"/>
  <c r="I172" i="17"/>
  <c r="B172" i="17"/>
  <c r="Q172" i="17" s="1"/>
  <c r="L41" i="17"/>
  <c r="K41" i="17"/>
  <c r="J41" i="17"/>
  <c r="I41" i="17"/>
  <c r="B41" i="17"/>
  <c r="M41" i="17" s="1"/>
  <c r="L404" i="17"/>
  <c r="K404" i="17"/>
  <c r="J404" i="17"/>
  <c r="I404" i="17"/>
  <c r="B404" i="17"/>
  <c r="L35" i="17"/>
  <c r="K35" i="17"/>
  <c r="J35" i="17"/>
  <c r="I35" i="17"/>
  <c r="B35" i="17"/>
  <c r="Q35" i="17" s="1"/>
  <c r="L213" i="17"/>
  <c r="K213" i="17"/>
  <c r="J213" i="17"/>
  <c r="I213" i="17"/>
  <c r="B213" i="17"/>
  <c r="L339" i="17"/>
  <c r="K339" i="17"/>
  <c r="J339" i="17"/>
  <c r="I339" i="17"/>
  <c r="B339" i="17"/>
  <c r="M339" i="17" s="1"/>
  <c r="L84" i="17"/>
  <c r="K84" i="17"/>
  <c r="J84" i="17"/>
  <c r="I84" i="17"/>
  <c r="B84" i="17"/>
  <c r="L437" i="17"/>
  <c r="K437" i="17"/>
  <c r="J437" i="17"/>
  <c r="I437" i="17"/>
  <c r="B437" i="17"/>
  <c r="L311" i="17"/>
  <c r="K311" i="17"/>
  <c r="J311" i="17"/>
  <c r="I311" i="17"/>
  <c r="B311" i="17"/>
  <c r="Q311" i="17" s="1"/>
  <c r="L99" i="17"/>
  <c r="K99" i="17"/>
  <c r="J99" i="17"/>
  <c r="I99" i="17"/>
  <c r="B99" i="17"/>
  <c r="M99" i="17" s="1"/>
  <c r="L46" i="17"/>
  <c r="K46" i="17"/>
  <c r="J46" i="17"/>
  <c r="I46" i="17"/>
  <c r="B46" i="17"/>
  <c r="L150" i="17"/>
  <c r="K150" i="17"/>
  <c r="J150" i="17"/>
  <c r="I150" i="17"/>
  <c r="B150" i="17"/>
  <c r="Q150" i="17" s="1"/>
  <c r="L459" i="17"/>
  <c r="K459" i="17"/>
  <c r="J459" i="17"/>
  <c r="I459" i="17"/>
  <c r="B459" i="17"/>
  <c r="L110" i="17"/>
  <c r="K110" i="17"/>
  <c r="J110" i="17"/>
  <c r="I110" i="17"/>
  <c r="B110" i="17"/>
  <c r="M110" i="17" s="1"/>
  <c r="L363" i="17"/>
  <c r="K363" i="17"/>
  <c r="J363" i="17"/>
  <c r="I363" i="17"/>
  <c r="B363" i="17"/>
  <c r="L475" i="17"/>
  <c r="K475" i="17"/>
  <c r="J475" i="17"/>
  <c r="I475" i="17"/>
  <c r="B475" i="17"/>
  <c r="L156" i="17"/>
  <c r="K156" i="17"/>
  <c r="J156" i="17"/>
  <c r="I156" i="17"/>
  <c r="B156" i="17"/>
  <c r="Q156" i="17" s="1"/>
  <c r="L185" i="17"/>
  <c r="K185" i="17"/>
  <c r="J185" i="17"/>
  <c r="I185" i="17"/>
  <c r="B185" i="17"/>
  <c r="M185" i="17" s="1"/>
  <c r="L388" i="17"/>
  <c r="K388" i="17"/>
  <c r="J388" i="17"/>
  <c r="I388" i="17"/>
  <c r="B388" i="17"/>
  <c r="L305" i="17"/>
  <c r="K305" i="17"/>
  <c r="J305" i="17"/>
  <c r="I305" i="17"/>
  <c r="B305" i="17"/>
  <c r="Q305" i="17" s="1"/>
  <c r="L144" i="17"/>
  <c r="K144" i="17"/>
  <c r="J144" i="17"/>
  <c r="I144" i="17"/>
  <c r="B144" i="17"/>
  <c r="L464" i="17"/>
  <c r="K464" i="17"/>
  <c r="J464" i="17"/>
  <c r="I464" i="17"/>
  <c r="B464" i="17"/>
  <c r="M464" i="17" s="1"/>
  <c r="L215" i="17"/>
  <c r="K215" i="17"/>
  <c r="J215" i="17"/>
  <c r="I215" i="17"/>
  <c r="B215" i="17"/>
  <c r="L357" i="17"/>
  <c r="K357" i="17"/>
  <c r="J357" i="17"/>
  <c r="I357" i="17"/>
  <c r="B357" i="17"/>
  <c r="L373" i="17"/>
  <c r="K373" i="17"/>
  <c r="J373" i="17"/>
  <c r="I373" i="17"/>
  <c r="B373" i="17"/>
  <c r="Q373" i="17" s="1"/>
  <c r="L322" i="17"/>
  <c r="K322" i="17"/>
  <c r="J322" i="17"/>
  <c r="I322" i="17"/>
  <c r="B322" i="17"/>
  <c r="M322" i="17" s="1"/>
  <c r="L126" i="17"/>
  <c r="K126" i="17"/>
  <c r="J126" i="17"/>
  <c r="I126" i="17"/>
  <c r="B126" i="17"/>
  <c r="L331" i="17"/>
  <c r="K331" i="17"/>
  <c r="J331" i="17"/>
  <c r="I331" i="17"/>
  <c r="B331" i="17"/>
  <c r="Q331" i="17" s="1"/>
  <c r="L203" i="17"/>
  <c r="K203" i="17"/>
  <c r="J203" i="17"/>
  <c r="I203" i="17"/>
  <c r="B203" i="17"/>
  <c r="L342" i="17"/>
  <c r="K342" i="17"/>
  <c r="J342" i="17"/>
  <c r="I342" i="17"/>
  <c r="B342" i="17"/>
  <c r="N342" i="17" s="1"/>
  <c r="T342" i="17" s="1"/>
  <c r="L125" i="17"/>
  <c r="K125" i="17"/>
  <c r="J125" i="17"/>
  <c r="I125" i="17"/>
  <c r="B125" i="17"/>
  <c r="L83" i="17"/>
  <c r="K83" i="17"/>
  <c r="J83" i="17"/>
  <c r="I83" i="17"/>
  <c r="B83" i="17"/>
  <c r="L469" i="17"/>
  <c r="K469" i="17"/>
  <c r="J469" i="17"/>
  <c r="I469" i="17"/>
  <c r="B469" i="17"/>
  <c r="Q469" i="17" s="1"/>
  <c r="L60" i="17"/>
  <c r="K60" i="17"/>
  <c r="J60" i="17"/>
  <c r="I60" i="17"/>
  <c r="B60" i="17"/>
  <c r="M60" i="17" s="1"/>
  <c r="L269" i="17"/>
  <c r="K269" i="17"/>
  <c r="J269" i="17"/>
  <c r="I269" i="17"/>
  <c r="B269" i="17"/>
  <c r="L75" i="17"/>
  <c r="K75" i="17"/>
  <c r="J75" i="17"/>
  <c r="I75" i="17"/>
  <c r="B75" i="17"/>
  <c r="Q75" i="17" s="1"/>
  <c r="L479" i="17"/>
  <c r="K479" i="17"/>
  <c r="J479" i="17"/>
  <c r="I479" i="17"/>
  <c r="B479" i="17"/>
  <c r="L109" i="17"/>
  <c r="K109" i="17"/>
  <c r="J109" i="17"/>
  <c r="I109" i="17"/>
  <c r="B109" i="17"/>
  <c r="N109" i="17" s="1"/>
  <c r="T109" i="17" s="1"/>
  <c r="L234" i="17"/>
  <c r="K234" i="17"/>
  <c r="J234" i="17"/>
  <c r="I234" i="17"/>
  <c r="B234" i="17"/>
  <c r="L474" i="17"/>
  <c r="K474" i="17"/>
  <c r="J474" i="17"/>
  <c r="I474" i="17"/>
  <c r="B474" i="17"/>
  <c r="L377" i="17"/>
  <c r="K377" i="17"/>
  <c r="J377" i="17"/>
  <c r="I377" i="17"/>
  <c r="B377" i="17"/>
  <c r="Q377" i="17" s="1"/>
  <c r="L49" i="17"/>
  <c r="K49" i="17"/>
  <c r="J49" i="17"/>
  <c r="I49" i="17"/>
  <c r="B49" i="17"/>
  <c r="M49" i="17" s="1"/>
  <c r="L463" i="17"/>
  <c r="K463" i="17"/>
  <c r="J463" i="17"/>
  <c r="I463" i="17"/>
  <c r="B463" i="17"/>
  <c r="L284" i="17"/>
  <c r="K284" i="17"/>
  <c r="J284" i="17"/>
  <c r="I284" i="17"/>
  <c r="B284" i="17"/>
  <c r="Q284" i="17" s="1"/>
  <c r="L478" i="17"/>
  <c r="K478" i="17"/>
  <c r="J478" i="17"/>
  <c r="I478" i="17"/>
  <c r="B478" i="17"/>
  <c r="L362" i="17"/>
  <c r="K362" i="17"/>
  <c r="J362" i="17"/>
  <c r="I362" i="17"/>
  <c r="B362" i="17"/>
  <c r="M362" i="17" s="1"/>
  <c r="L143" i="17"/>
  <c r="K143" i="17"/>
  <c r="J143" i="17"/>
  <c r="I143" i="17"/>
  <c r="B143" i="17"/>
  <c r="L336" i="17"/>
  <c r="K336" i="17"/>
  <c r="J336" i="17"/>
  <c r="I336" i="17"/>
  <c r="B336" i="17"/>
  <c r="L56" i="17"/>
  <c r="K56" i="17"/>
  <c r="J56" i="17"/>
  <c r="I56" i="17"/>
  <c r="B56" i="17"/>
  <c r="Q56" i="17" s="1"/>
  <c r="L417" i="17"/>
  <c r="K417" i="17"/>
  <c r="J417" i="17"/>
  <c r="I417" i="17"/>
  <c r="B417" i="17"/>
  <c r="M417" i="17" s="1"/>
  <c r="L98" i="17"/>
  <c r="K98" i="17"/>
  <c r="J98" i="17"/>
  <c r="I98" i="17"/>
  <c r="B98" i="17"/>
  <c r="L114" i="17"/>
  <c r="K114" i="17"/>
  <c r="J114" i="17"/>
  <c r="I114" i="17"/>
  <c r="B114" i="17"/>
  <c r="Q114" i="17" s="1"/>
  <c r="L97" i="17"/>
  <c r="K97" i="17"/>
  <c r="J97" i="17"/>
  <c r="I97" i="17"/>
  <c r="B97" i="17"/>
  <c r="L293" i="17"/>
  <c r="K293" i="17"/>
  <c r="J293" i="17"/>
  <c r="I293" i="17"/>
  <c r="B293" i="17"/>
  <c r="M293" i="17" s="1"/>
  <c r="L453" i="17"/>
  <c r="K453" i="17"/>
  <c r="J453" i="17"/>
  <c r="I453" i="17"/>
  <c r="B453" i="17"/>
  <c r="L142" i="17"/>
  <c r="K142" i="17"/>
  <c r="J142" i="17"/>
  <c r="I142" i="17"/>
  <c r="B142" i="17"/>
  <c r="L423" i="17"/>
  <c r="K423" i="17"/>
  <c r="J423" i="17"/>
  <c r="I423" i="17"/>
  <c r="B423" i="17"/>
  <c r="Q423" i="17" s="1"/>
  <c r="L387" i="17"/>
  <c r="K387" i="17"/>
  <c r="J387" i="17"/>
  <c r="I387" i="17"/>
  <c r="B387" i="17"/>
  <c r="M387" i="17" s="1"/>
  <c r="L202" i="17"/>
  <c r="K202" i="17"/>
  <c r="J202" i="17"/>
  <c r="I202" i="17"/>
  <c r="B202" i="17"/>
  <c r="L265" i="17"/>
  <c r="K265" i="17"/>
  <c r="J265" i="17"/>
  <c r="I265" i="17"/>
  <c r="B265" i="17"/>
  <c r="Q265" i="17" s="1"/>
  <c r="L447" i="17"/>
  <c r="K447" i="17"/>
  <c r="J447" i="17"/>
  <c r="I447" i="17"/>
  <c r="B447" i="17"/>
  <c r="L191" i="17"/>
  <c r="K191" i="17"/>
  <c r="J191" i="17"/>
  <c r="I191" i="17"/>
  <c r="B191" i="17"/>
  <c r="M191" i="17" s="1"/>
  <c r="L193" i="17"/>
  <c r="K193" i="17"/>
  <c r="J193" i="17"/>
  <c r="I193" i="17"/>
  <c r="B193" i="17"/>
  <c r="L67" i="17"/>
  <c r="K67" i="17"/>
  <c r="J67" i="17"/>
  <c r="I67" i="17"/>
  <c r="B67" i="17"/>
  <c r="L212" i="17"/>
  <c r="K212" i="17"/>
  <c r="J212" i="17"/>
  <c r="I212" i="17"/>
  <c r="B212" i="17"/>
  <c r="Q212" i="17" s="1"/>
  <c r="L426" i="17"/>
  <c r="K426" i="17"/>
  <c r="J426" i="17"/>
  <c r="I426" i="17"/>
  <c r="B426" i="17"/>
  <c r="M426" i="17" s="1"/>
  <c r="L31" i="17"/>
  <c r="K31" i="17"/>
  <c r="J31" i="17"/>
  <c r="I31" i="17"/>
  <c r="B31" i="17"/>
  <c r="L256" i="17"/>
  <c r="K256" i="17"/>
  <c r="J256" i="17"/>
  <c r="I256" i="17"/>
  <c r="B256" i="17"/>
  <c r="Q256" i="17" s="1"/>
  <c r="L356" i="17"/>
  <c r="K356" i="17"/>
  <c r="J356" i="17"/>
  <c r="I356" i="17"/>
  <c r="B356" i="17"/>
  <c r="L279" i="17"/>
  <c r="K279" i="17"/>
  <c r="J279" i="17"/>
  <c r="I279" i="17"/>
  <c r="B279" i="17"/>
  <c r="M279" i="17" s="1"/>
  <c r="L30" i="17"/>
  <c r="K30" i="17"/>
  <c r="J30" i="17"/>
  <c r="I30" i="17"/>
  <c r="B30" i="17"/>
  <c r="L399" i="17"/>
  <c r="K399" i="17"/>
  <c r="J399" i="17"/>
  <c r="I399" i="17"/>
  <c r="B399" i="17"/>
  <c r="L282" i="17"/>
  <c r="K282" i="17"/>
  <c r="J282" i="17"/>
  <c r="I282" i="17"/>
  <c r="B282" i="17"/>
  <c r="Q282" i="17" s="1"/>
  <c r="L8" i="17"/>
  <c r="K8" i="17"/>
  <c r="J8" i="17"/>
  <c r="I8" i="17"/>
  <c r="B8" i="17"/>
  <c r="M8" i="17" s="1"/>
  <c r="L48" i="17"/>
  <c r="K48" i="17"/>
  <c r="J48" i="17"/>
  <c r="I48" i="17"/>
  <c r="B48" i="17"/>
  <c r="L59" i="17"/>
  <c r="K59" i="17"/>
  <c r="J59" i="17"/>
  <c r="I59" i="17"/>
  <c r="B59" i="17"/>
  <c r="Q59" i="17" s="1"/>
  <c r="L176" i="17"/>
  <c r="K176" i="17"/>
  <c r="J176" i="17"/>
  <c r="I176" i="17"/>
  <c r="B176" i="17"/>
  <c r="L278" i="17"/>
  <c r="K278" i="17"/>
  <c r="J278" i="17"/>
  <c r="I278" i="17"/>
  <c r="B278" i="17"/>
  <c r="M278" i="17" s="1"/>
  <c r="L113" i="17"/>
  <c r="K113" i="17"/>
  <c r="J113" i="17"/>
  <c r="I113" i="17"/>
  <c r="B113" i="17"/>
  <c r="L96" i="17"/>
  <c r="K96" i="17"/>
  <c r="J96" i="17"/>
  <c r="I96" i="17"/>
  <c r="B96" i="17"/>
  <c r="L292" i="17"/>
  <c r="K292" i="17"/>
  <c r="J292" i="17"/>
  <c r="I292" i="17"/>
  <c r="B292" i="17"/>
  <c r="Q292" i="17" s="1"/>
  <c r="L473" i="17"/>
  <c r="K473" i="17"/>
  <c r="J473" i="17"/>
  <c r="I473" i="17"/>
  <c r="B473" i="17"/>
  <c r="M473" i="17" s="1"/>
  <c r="L74" i="17"/>
  <c r="K74" i="17"/>
  <c r="J74" i="17"/>
  <c r="I74" i="17"/>
  <c r="B74" i="17"/>
  <c r="L17" i="17"/>
  <c r="K17" i="17"/>
  <c r="J17" i="17"/>
  <c r="I17" i="17"/>
  <c r="B17" i="17"/>
  <c r="Q17" i="17" s="1"/>
  <c r="L169" i="17"/>
  <c r="K169" i="17"/>
  <c r="J169" i="17"/>
  <c r="I169" i="17"/>
  <c r="B169" i="17"/>
  <c r="L350" i="17"/>
  <c r="K350" i="17"/>
  <c r="J350" i="17"/>
  <c r="I350" i="17"/>
  <c r="B350" i="17"/>
  <c r="M350" i="17" s="1"/>
  <c r="L326" i="17"/>
  <c r="K326" i="17"/>
  <c r="J326" i="17"/>
  <c r="I326" i="17"/>
  <c r="B326" i="17"/>
  <c r="L442" i="17"/>
  <c r="K442" i="17"/>
  <c r="J442" i="17"/>
  <c r="I442" i="17"/>
  <c r="B442" i="17"/>
  <c r="L130" i="17"/>
  <c r="K130" i="17"/>
  <c r="J130" i="17"/>
  <c r="I130" i="17"/>
  <c r="B130" i="17"/>
  <c r="Q130" i="17" s="1"/>
  <c r="L255" i="17"/>
  <c r="K255" i="17"/>
  <c r="J255" i="17"/>
  <c r="I255" i="17"/>
  <c r="B255" i="17"/>
  <c r="M255" i="17" s="1"/>
  <c r="L184" i="17"/>
  <c r="K184" i="17"/>
  <c r="J184" i="17"/>
  <c r="I184" i="17"/>
  <c r="B184" i="17"/>
  <c r="L273" i="17"/>
  <c r="K273" i="17"/>
  <c r="J273" i="17"/>
  <c r="I273" i="17"/>
  <c r="B273" i="17"/>
  <c r="Q273" i="17" s="1"/>
  <c r="L422" i="17"/>
  <c r="K422" i="17"/>
  <c r="J422" i="17"/>
  <c r="I422" i="17"/>
  <c r="B422" i="17"/>
  <c r="L472" i="17"/>
  <c r="K472" i="17"/>
  <c r="J472" i="17"/>
  <c r="I472" i="17"/>
  <c r="B472" i="17"/>
  <c r="N472" i="17" s="1"/>
  <c r="T472" i="17" s="1"/>
  <c r="L135" i="17"/>
  <c r="K135" i="17"/>
  <c r="J135" i="17"/>
  <c r="I135" i="17"/>
  <c r="B135" i="17"/>
  <c r="L432" i="17"/>
  <c r="K432" i="17"/>
  <c r="J432" i="17"/>
  <c r="I432" i="17"/>
  <c r="B432" i="17"/>
  <c r="L264" i="17"/>
  <c r="K264" i="17"/>
  <c r="J264" i="17"/>
  <c r="I264" i="17"/>
  <c r="B264" i="17"/>
  <c r="Q264" i="17" s="1"/>
  <c r="L421" i="17"/>
  <c r="K421" i="17"/>
  <c r="J421" i="17"/>
  <c r="I421" i="17"/>
  <c r="B421" i="17"/>
  <c r="M421" i="17" s="1"/>
  <c r="L26" i="17"/>
  <c r="K26" i="17"/>
  <c r="J26" i="17"/>
  <c r="I26" i="17"/>
  <c r="B26" i="17"/>
  <c r="L201" i="17"/>
  <c r="K201" i="17"/>
  <c r="J201" i="17"/>
  <c r="I201" i="17"/>
  <c r="B201" i="17"/>
  <c r="Q201" i="17" s="1"/>
  <c r="L379" i="17"/>
  <c r="K379" i="17"/>
  <c r="J379" i="17"/>
  <c r="I379" i="17"/>
  <c r="B379" i="17"/>
  <c r="L107" i="17"/>
  <c r="K107" i="17"/>
  <c r="J107" i="17"/>
  <c r="I107" i="17"/>
  <c r="B107" i="17"/>
  <c r="N107" i="17" s="1"/>
  <c r="T107" i="17" s="1"/>
  <c r="L420" i="17"/>
  <c r="K420" i="17"/>
  <c r="J420" i="17"/>
  <c r="I420" i="17"/>
  <c r="B420" i="17"/>
  <c r="L386" i="17"/>
  <c r="K386" i="17"/>
  <c r="J386" i="17"/>
  <c r="I386" i="17"/>
  <c r="B386" i="17"/>
  <c r="L458" i="17"/>
  <c r="K458" i="17"/>
  <c r="J458" i="17"/>
  <c r="I458" i="17"/>
  <c r="B458" i="17"/>
  <c r="Q458" i="17" s="1"/>
  <c r="L55" i="17"/>
  <c r="K55" i="17"/>
  <c r="J55" i="17"/>
  <c r="I55" i="17"/>
  <c r="B55" i="17"/>
  <c r="M55" i="17" s="1"/>
  <c r="L347" i="17"/>
  <c r="K347" i="17"/>
  <c r="J347" i="17"/>
  <c r="I347" i="17"/>
  <c r="B347" i="17"/>
  <c r="L128" i="17"/>
  <c r="K128" i="17"/>
  <c r="J128" i="17"/>
  <c r="I128" i="17"/>
  <c r="B128" i="17"/>
  <c r="Q128" i="17" s="1"/>
  <c r="L398" i="17"/>
  <c r="K398" i="17"/>
  <c r="J398" i="17"/>
  <c r="I398" i="17"/>
  <c r="B398" i="17"/>
  <c r="L141" i="17"/>
  <c r="K141" i="17"/>
  <c r="J141" i="17"/>
  <c r="I141" i="17"/>
  <c r="B141" i="17"/>
  <c r="M141" i="17" s="1"/>
  <c r="L34" i="17"/>
  <c r="K34" i="17"/>
  <c r="J34" i="17"/>
  <c r="I34" i="17"/>
  <c r="B34" i="17"/>
  <c r="L416" i="17"/>
  <c r="K416" i="17"/>
  <c r="J416" i="17"/>
  <c r="I416" i="17"/>
  <c r="B416" i="17"/>
  <c r="L72" i="17"/>
  <c r="K72" i="17"/>
  <c r="J72" i="17"/>
  <c r="I72" i="17"/>
  <c r="B72" i="17"/>
  <c r="Q72" i="17" s="1"/>
  <c r="L361" i="17"/>
  <c r="K361" i="17"/>
  <c r="J361" i="17"/>
  <c r="I361" i="17"/>
  <c r="B361" i="17"/>
  <c r="M361" i="17" s="1"/>
  <c r="L428" i="17"/>
  <c r="K428" i="17"/>
  <c r="J428" i="17"/>
  <c r="I428" i="17"/>
  <c r="B428" i="17"/>
  <c r="L349" i="17"/>
  <c r="K349" i="17"/>
  <c r="J349" i="17"/>
  <c r="I349" i="17"/>
  <c r="B349" i="17"/>
  <c r="Q349" i="17" s="1"/>
  <c r="L330" i="17"/>
  <c r="K330" i="17"/>
  <c r="J330" i="17"/>
  <c r="I330" i="17"/>
  <c r="B330" i="17"/>
  <c r="L94" i="17"/>
  <c r="K94" i="17"/>
  <c r="J94" i="17"/>
  <c r="I94" i="17"/>
  <c r="B94" i="17"/>
  <c r="M94" i="17" s="1"/>
  <c r="L188" i="17"/>
  <c r="K188" i="17"/>
  <c r="J188" i="17"/>
  <c r="I188" i="17"/>
  <c r="B188" i="17"/>
  <c r="L33" i="17"/>
  <c r="K33" i="17"/>
  <c r="J33" i="17"/>
  <c r="I33" i="17"/>
  <c r="B33" i="17"/>
  <c r="L378" i="17"/>
  <c r="K378" i="17"/>
  <c r="J378" i="17"/>
  <c r="I378" i="17"/>
  <c r="B378" i="17"/>
  <c r="Q378" i="17" s="1"/>
  <c r="L179" i="17"/>
  <c r="K179" i="17"/>
  <c r="J179" i="17"/>
  <c r="I179" i="17"/>
  <c r="B179" i="17"/>
  <c r="M179" i="17" s="1"/>
  <c r="L376" i="17"/>
  <c r="K376" i="17"/>
  <c r="J376" i="17"/>
  <c r="I376" i="17"/>
  <c r="B376" i="17"/>
  <c r="L117" i="17"/>
  <c r="K117" i="17"/>
  <c r="J117" i="17"/>
  <c r="I117" i="17"/>
  <c r="B117" i="17"/>
  <c r="Q117" i="17" s="1"/>
  <c r="L457" i="17"/>
  <c r="K457" i="17"/>
  <c r="J457" i="17"/>
  <c r="I457" i="17"/>
  <c r="B457" i="17"/>
  <c r="L47" i="17"/>
  <c r="K47" i="17"/>
  <c r="J47" i="17"/>
  <c r="I47" i="17"/>
  <c r="B47" i="17"/>
  <c r="M47" i="17" s="1"/>
  <c r="L162" i="17"/>
  <c r="K162" i="17"/>
  <c r="J162" i="17"/>
  <c r="I162" i="17"/>
  <c r="B162" i="17"/>
  <c r="L291" i="17"/>
  <c r="K291" i="17"/>
  <c r="J291" i="17"/>
  <c r="I291" i="17"/>
  <c r="B291" i="17"/>
  <c r="L140" i="17"/>
  <c r="K140" i="17"/>
  <c r="J140" i="17"/>
  <c r="I140" i="17"/>
  <c r="B140" i="17"/>
  <c r="Q140" i="17" s="1"/>
  <c r="L7" i="17"/>
  <c r="K7" i="17"/>
  <c r="J7" i="17"/>
  <c r="I7" i="17"/>
  <c r="B7" i="17"/>
  <c r="M7" i="17" s="1"/>
  <c r="L239" i="17"/>
  <c r="K239" i="17"/>
  <c r="J239" i="17"/>
  <c r="I239" i="17"/>
  <c r="B239" i="17"/>
  <c r="L200" i="17"/>
  <c r="K200" i="17"/>
  <c r="J200" i="17"/>
  <c r="I200" i="17"/>
  <c r="B200" i="17"/>
  <c r="Q200" i="17" s="1"/>
  <c r="L216" i="17"/>
  <c r="K216" i="17"/>
  <c r="J216" i="17"/>
  <c r="I216" i="17"/>
  <c r="B216" i="17"/>
  <c r="L211" i="17"/>
  <c r="K211" i="17"/>
  <c r="J211" i="17"/>
  <c r="I211" i="17"/>
  <c r="B211" i="17"/>
  <c r="M211" i="17" s="1"/>
  <c r="L254" i="17"/>
  <c r="K254" i="17"/>
  <c r="J254" i="17"/>
  <c r="I254" i="17"/>
  <c r="B254" i="17"/>
  <c r="L314" i="17"/>
  <c r="K314" i="17"/>
  <c r="J314" i="17"/>
  <c r="I314" i="17"/>
  <c r="B314" i="17"/>
  <c r="L116" i="17"/>
  <c r="K116" i="17"/>
  <c r="J116" i="17"/>
  <c r="I116" i="17"/>
  <c r="B116" i="17"/>
  <c r="Q116" i="17" s="1"/>
  <c r="L45" i="17"/>
  <c r="K45" i="17"/>
  <c r="J45" i="17"/>
  <c r="I45" i="17"/>
  <c r="B45" i="17"/>
  <c r="M45" i="17" s="1"/>
  <c r="L355" i="17"/>
  <c r="K355" i="17"/>
  <c r="J355" i="17"/>
  <c r="I355" i="17"/>
  <c r="B355" i="17"/>
  <c r="L341" i="17"/>
  <c r="K341" i="17"/>
  <c r="J341" i="17"/>
  <c r="I341" i="17"/>
  <c r="B341" i="17"/>
  <c r="Q341" i="17" s="1"/>
  <c r="L134" i="17"/>
  <c r="K134" i="17"/>
  <c r="J134" i="17"/>
  <c r="I134" i="17"/>
  <c r="B134" i="17"/>
  <c r="L90" i="17"/>
  <c r="K90" i="17"/>
  <c r="J90" i="17"/>
  <c r="I90" i="17"/>
  <c r="B90" i="17"/>
  <c r="M90" i="17" s="1"/>
  <c r="L369" i="17"/>
  <c r="K369" i="17"/>
  <c r="J369" i="17"/>
  <c r="I369" i="17"/>
  <c r="B369" i="17"/>
  <c r="L338" i="17"/>
  <c r="K338" i="17"/>
  <c r="J338" i="17"/>
  <c r="I338" i="17"/>
  <c r="B338" i="17"/>
  <c r="L381" i="17"/>
  <c r="K381" i="17"/>
  <c r="J381" i="17"/>
  <c r="I381" i="17"/>
  <c r="B381" i="17"/>
  <c r="Q381" i="17" s="1"/>
  <c r="L229" i="17"/>
  <c r="K229" i="17"/>
  <c r="J229" i="17"/>
  <c r="I229" i="17"/>
  <c r="B229" i="17"/>
  <c r="M229" i="17" s="1"/>
  <c r="L233" i="17"/>
  <c r="K233" i="17"/>
  <c r="J233" i="17"/>
  <c r="I233" i="17"/>
  <c r="B233" i="17"/>
  <c r="L124" i="17"/>
  <c r="K124" i="17"/>
  <c r="J124" i="17"/>
  <c r="I124" i="17"/>
  <c r="B124" i="17"/>
  <c r="Q124" i="17" s="1"/>
  <c r="L346" i="17"/>
  <c r="K346" i="17"/>
  <c r="J346" i="17"/>
  <c r="I346" i="17"/>
  <c r="B346" i="17"/>
  <c r="L228" i="17"/>
  <c r="K228" i="17"/>
  <c r="J228" i="17"/>
  <c r="I228" i="17"/>
  <c r="B228" i="17"/>
  <c r="M228" i="17" s="1"/>
  <c r="L187" i="17"/>
  <c r="K187" i="17"/>
  <c r="J187" i="17"/>
  <c r="I187" i="17"/>
  <c r="B187" i="17"/>
  <c r="L345" i="17"/>
  <c r="K345" i="17"/>
  <c r="J345" i="17"/>
  <c r="I345" i="17"/>
  <c r="B345" i="17"/>
  <c r="L161" i="17"/>
  <c r="K161" i="17"/>
  <c r="J161" i="17"/>
  <c r="I161" i="17"/>
  <c r="B161" i="17"/>
  <c r="Q161" i="17" s="1"/>
  <c r="L290" i="17"/>
  <c r="K290" i="17"/>
  <c r="J290" i="17"/>
  <c r="I290" i="17"/>
  <c r="B290" i="17"/>
  <c r="M290" i="17" s="1"/>
  <c r="L139" i="17"/>
  <c r="K139" i="17"/>
  <c r="J139" i="17"/>
  <c r="I139" i="17"/>
  <c r="B139" i="17"/>
  <c r="L397" i="17"/>
  <c r="K397" i="17"/>
  <c r="J397" i="17"/>
  <c r="I397" i="17"/>
  <c r="B397" i="17"/>
  <c r="Q397" i="17" s="1"/>
  <c r="L66" i="17"/>
  <c r="K66" i="17"/>
  <c r="J66" i="17"/>
  <c r="I66" i="17"/>
  <c r="B66" i="17"/>
  <c r="L396" i="17"/>
  <c r="K396" i="17"/>
  <c r="J396" i="17"/>
  <c r="I396" i="17"/>
  <c r="B396" i="17"/>
  <c r="N396" i="17" s="1"/>
  <c r="T396" i="17" s="1"/>
  <c r="L385" i="17"/>
  <c r="K385" i="17"/>
  <c r="J385" i="17"/>
  <c r="I385" i="17"/>
  <c r="B385" i="17"/>
  <c r="L468" i="17"/>
  <c r="K468" i="17"/>
  <c r="J468" i="17"/>
  <c r="I468" i="17"/>
  <c r="B468" i="17"/>
  <c r="L384" i="17"/>
  <c r="K384" i="17"/>
  <c r="J384" i="17"/>
  <c r="I384" i="17"/>
  <c r="B384" i="17"/>
  <c r="Q384" i="17" s="1"/>
  <c r="L168" i="17"/>
  <c r="K168" i="17"/>
  <c r="J168" i="17"/>
  <c r="I168" i="17"/>
  <c r="B168" i="17"/>
  <c r="M168" i="17" s="1"/>
  <c r="L403" i="17"/>
  <c r="K403" i="17"/>
  <c r="J403" i="17"/>
  <c r="I403" i="17"/>
  <c r="B403" i="17"/>
  <c r="L372" i="17"/>
  <c r="K372" i="17"/>
  <c r="J372" i="17"/>
  <c r="I372" i="17"/>
  <c r="B372" i="17"/>
  <c r="Q372" i="17" s="1"/>
  <c r="L106" i="17"/>
  <c r="K106" i="17"/>
  <c r="J106" i="17"/>
  <c r="I106" i="17"/>
  <c r="B106" i="17"/>
  <c r="L462" i="17"/>
  <c r="K462" i="17"/>
  <c r="J462" i="17"/>
  <c r="I462" i="17"/>
  <c r="B462" i="17"/>
  <c r="N462" i="17" s="1"/>
  <c r="T462" i="17" s="1"/>
  <c r="L395" i="17"/>
  <c r="K395" i="17"/>
  <c r="J395" i="17"/>
  <c r="I395" i="17"/>
  <c r="B395" i="17"/>
  <c r="L58" i="17"/>
  <c r="K58" i="17"/>
  <c r="J58" i="17"/>
  <c r="I58" i="17"/>
  <c r="B58" i="17"/>
  <c r="L335" i="17"/>
  <c r="K335" i="17"/>
  <c r="J335" i="17"/>
  <c r="I335" i="17"/>
  <c r="B335" i="17"/>
  <c r="L419" i="17"/>
  <c r="K419" i="17"/>
  <c r="J419" i="17"/>
  <c r="I419" i="17"/>
  <c r="B419" i="17"/>
  <c r="M419" i="17" s="1"/>
  <c r="L227" i="17"/>
  <c r="K227" i="17"/>
  <c r="J227" i="17"/>
  <c r="I227" i="17"/>
  <c r="B227" i="17"/>
  <c r="L289" i="17"/>
  <c r="K289" i="17"/>
  <c r="J289" i="17"/>
  <c r="I289" i="17"/>
  <c r="B289" i="17"/>
  <c r="Q289" i="17" s="1"/>
  <c r="L246" i="17"/>
  <c r="K246" i="17"/>
  <c r="J246" i="17"/>
  <c r="I246" i="17"/>
  <c r="B246" i="17"/>
  <c r="L452" i="17"/>
  <c r="K452" i="17"/>
  <c r="J452" i="17"/>
  <c r="I452" i="17"/>
  <c r="B452" i="17"/>
  <c r="M452" i="17" s="1"/>
  <c r="L268" i="17"/>
  <c r="K268" i="17"/>
  <c r="J268" i="17"/>
  <c r="I268" i="17"/>
  <c r="B268" i="17"/>
  <c r="L253" i="17"/>
  <c r="K253" i="17"/>
  <c r="J253" i="17"/>
  <c r="I253" i="17"/>
  <c r="B253" i="17"/>
  <c r="L160" i="17"/>
  <c r="K160" i="17"/>
  <c r="J160" i="17"/>
  <c r="I160" i="17"/>
  <c r="B160" i="17"/>
  <c r="L155" i="17"/>
  <c r="K155" i="17"/>
  <c r="J155" i="17"/>
  <c r="I155" i="17"/>
  <c r="B155" i="17"/>
  <c r="M155" i="17" s="1"/>
  <c r="L368" i="17"/>
  <c r="K368" i="17"/>
  <c r="J368" i="17"/>
  <c r="I368" i="17"/>
  <c r="B368" i="17"/>
  <c r="L367" i="17"/>
  <c r="K367" i="17"/>
  <c r="J367" i="17"/>
  <c r="I367" i="17"/>
  <c r="B367" i="17"/>
  <c r="Q367" i="17" s="1"/>
  <c r="L413" i="17"/>
  <c r="K413" i="17"/>
  <c r="J413" i="17"/>
  <c r="I413" i="17"/>
  <c r="B413" i="17"/>
  <c r="L133" i="17"/>
  <c r="K133" i="17"/>
  <c r="J133" i="17"/>
  <c r="I133" i="17"/>
  <c r="B133" i="17"/>
  <c r="M133" i="17" s="1"/>
  <c r="L165" i="17"/>
  <c r="K165" i="17"/>
  <c r="J165" i="17"/>
  <c r="I165" i="17"/>
  <c r="B165" i="17"/>
  <c r="L271" i="17"/>
  <c r="K271" i="17"/>
  <c r="J271" i="17"/>
  <c r="I271" i="17"/>
  <c r="B271" i="17"/>
  <c r="L325" i="17"/>
  <c r="K325" i="17"/>
  <c r="J325" i="17"/>
  <c r="I325" i="17"/>
  <c r="B325" i="17"/>
  <c r="L89" i="17"/>
  <c r="K89" i="17"/>
  <c r="J89" i="17"/>
  <c r="I89" i="17"/>
  <c r="B89" i="17"/>
  <c r="M89" i="17" s="1"/>
  <c r="L199" i="17"/>
  <c r="K199" i="17"/>
  <c r="J199" i="17"/>
  <c r="I199" i="17"/>
  <c r="B199" i="17"/>
  <c r="L14" i="17"/>
  <c r="K14" i="17"/>
  <c r="J14" i="17"/>
  <c r="I14" i="17"/>
  <c r="B14" i="17"/>
  <c r="Q14" i="17" s="1"/>
  <c r="L436" i="17"/>
  <c r="K436" i="17"/>
  <c r="J436" i="17"/>
  <c r="I436" i="17"/>
  <c r="B436" i="17"/>
  <c r="L54" i="17"/>
  <c r="K54" i="17"/>
  <c r="J54" i="17"/>
  <c r="I54" i="17"/>
  <c r="B54" i="17"/>
  <c r="M54" i="17" s="1"/>
  <c r="L149" i="17"/>
  <c r="K149" i="17"/>
  <c r="J149" i="17"/>
  <c r="I149" i="17"/>
  <c r="B149" i="17"/>
  <c r="L5" i="17"/>
  <c r="K5" i="17"/>
  <c r="J5" i="17"/>
  <c r="I5" i="17"/>
  <c r="B5" i="17"/>
  <c r="L53" i="17"/>
  <c r="K53" i="17"/>
  <c r="J53" i="17"/>
  <c r="I53" i="17"/>
  <c r="B53" i="17"/>
  <c r="L298" i="17"/>
  <c r="K298" i="17"/>
  <c r="J298" i="17"/>
  <c r="I298" i="17"/>
  <c r="B298" i="17"/>
  <c r="M298" i="17" s="1"/>
  <c r="L412" i="17"/>
  <c r="K412" i="17"/>
  <c r="J412" i="17"/>
  <c r="I412" i="17"/>
  <c r="B412" i="17"/>
  <c r="L366" i="17"/>
  <c r="K366" i="17"/>
  <c r="J366" i="17"/>
  <c r="I366" i="17"/>
  <c r="B366" i="17"/>
  <c r="Q366" i="17" s="1"/>
  <c r="L334" i="17"/>
  <c r="K334" i="17"/>
  <c r="J334" i="17"/>
  <c r="I334" i="17"/>
  <c r="B334" i="17"/>
  <c r="L186" i="17"/>
  <c r="K186" i="17"/>
  <c r="J186" i="17"/>
  <c r="I186" i="17"/>
  <c r="B186" i="17"/>
  <c r="M186" i="17" s="1"/>
  <c r="L198" i="17"/>
  <c r="K198" i="17"/>
  <c r="J198" i="17"/>
  <c r="I198" i="17"/>
  <c r="B198" i="17"/>
  <c r="L260" i="17"/>
  <c r="K260" i="17"/>
  <c r="J260" i="17"/>
  <c r="I260" i="17"/>
  <c r="B260" i="17"/>
  <c r="L283" i="17"/>
  <c r="K283" i="17"/>
  <c r="J283" i="17"/>
  <c r="I283" i="17"/>
  <c r="B283" i="17"/>
  <c r="L337" i="17"/>
  <c r="K337" i="17"/>
  <c r="J337" i="17"/>
  <c r="I337" i="17"/>
  <c r="B337" i="17"/>
  <c r="M337" i="17" s="1"/>
  <c r="L167" i="17"/>
  <c r="K167" i="17"/>
  <c r="J167" i="17"/>
  <c r="I167" i="17"/>
  <c r="B167" i="17"/>
  <c r="L171" i="17"/>
  <c r="K171" i="17"/>
  <c r="J171" i="17"/>
  <c r="I171" i="17"/>
  <c r="B171" i="17"/>
  <c r="Q171" i="17" s="1"/>
  <c r="L285" i="17"/>
  <c r="K285" i="17"/>
  <c r="J285" i="17"/>
  <c r="I285" i="17"/>
  <c r="B285" i="17"/>
  <c r="L263" i="17"/>
  <c r="K263" i="17"/>
  <c r="J263" i="17"/>
  <c r="I263" i="17"/>
  <c r="B263" i="17"/>
  <c r="M263" i="17" s="1"/>
  <c r="L88" i="17"/>
  <c r="K88" i="17"/>
  <c r="J88" i="17"/>
  <c r="I88" i="17"/>
  <c r="B88" i="17"/>
  <c r="L461" i="17"/>
  <c r="K461" i="17"/>
  <c r="J461" i="17"/>
  <c r="I461" i="17"/>
  <c r="B461" i="17"/>
  <c r="L310" i="17"/>
  <c r="K310" i="17"/>
  <c r="J310" i="17"/>
  <c r="I310" i="17"/>
  <c r="B310" i="17"/>
  <c r="L76" i="17"/>
  <c r="K76" i="17"/>
  <c r="J76" i="17"/>
  <c r="I76" i="17"/>
  <c r="B76" i="17"/>
  <c r="M76" i="17" s="1"/>
  <c r="L415" i="17"/>
  <c r="K415" i="17"/>
  <c r="J415" i="17"/>
  <c r="I415" i="17"/>
  <c r="B415" i="17"/>
  <c r="L406" i="17"/>
  <c r="K406" i="17"/>
  <c r="J406" i="17"/>
  <c r="I406" i="17"/>
  <c r="B406" i="17"/>
  <c r="Q406" i="17" s="1"/>
  <c r="L221" i="17"/>
  <c r="K221" i="17"/>
  <c r="J221" i="17"/>
  <c r="I221" i="17"/>
  <c r="B221" i="17"/>
  <c r="L105" i="17"/>
  <c r="K105" i="17"/>
  <c r="J105" i="17"/>
  <c r="I105" i="17"/>
  <c r="B105" i="17"/>
  <c r="M105" i="17" s="1"/>
  <c r="L159" i="17"/>
  <c r="K159" i="17"/>
  <c r="J159" i="17"/>
  <c r="I159" i="17"/>
  <c r="B159" i="17"/>
  <c r="L259" i="17"/>
  <c r="K259" i="17"/>
  <c r="J259" i="17"/>
  <c r="I259" i="17"/>
  <c r="B259" i="17"/>
  <c r="L18" i="17"/>
  <c r="K18" i="17"/>
  <c r="J18" i="17"/>
  <c r="I18" i="17"/>
  <c r="B18" i="17"/>
  <c r="L40" i="17"/>
  <c r="K40" i="17"/>
  <c r="J40" i="17"/>
  <c r="I40" i="17"/>
  <c r="B40" i="17"/>
  <c r="M40" i="17" s="1"/>
  <c r="L296" i="17"/>
  <c r="K296" i="17"/>
  <c r="J296" i="17"/>
  <c r="I296" i="17"/>
  <c r="B296" i="17"/>
  <c r="L467" i="17"/>
  <c r="K467" i="17"/>
  <c r="J467" i="17"/>
  <c r="I467" i="17"/>
  <c r="B467" i="17"/>
  <c r="Q467" i="17" s="1"/>
  <c r="L16" i="17"/>
  <c r="K16" i="17"/>
  <c r="J16" i="17"/>
  <c r="I16" i="17"/>
  <c r="B16" i="17"/>
  <c r="L121" i="17"/>
  <c r="K121" i="17"/>
  <c r="J121" i="17"/>
  <c r="I121" i="17"/>
  <c r="B121" i="17"/>
  <c r="N121" i="17" s="1"/>
  <c r="T121" i="17" s="1"/>
  <c r="L354" i="17"/>
  <c r="K354" i="17"/>
  <c r="J354" i="17"/>
  <c r="I354" i="17"/>
  <c r="B354" i="17"/>
  <c r="L466" i="17"/>
  <c r="K466" i="17"/>
  <c r="J466" i="17"/>
  <c r="I466" i="17"/>
  <c r="B466" i="17"/>
  <c r="L441" i="17"/>
  <c r="K441" i="17"/>
  <c r="J441" i="17"/>
  <c r="I441" i="17"/>
  <c r="B441" i="17"/>
  <c r="L108" i="17"/>
  <c r="K108" i="17"/>
  <c r="J108" i="17"/>
  <c r="I108" i="17"/>
  <c r="B108" i="17"/>
  <c r="M108" i="17" s="1"/>
  <c r="L435" i="17"/>
  <c r="K435" i="17"/>
  <c r="J435" i="17"/>
  <c r="I435" i="17"/>
  <c r="B435" i="17"/>
  <c r="L87" i="17"/>
  <c r="K87" i="17"/>
  <c r="J87" i="17"/>
  <c r="I87" i="17"/>
  <c r="B87" i="17"/>
  <c r="Q87" i="17" s="1"/>
  <c r="L418" i="17"/>
  <c r="K418" i="17"/>
  <c r="J418" i="17"/>
  <c r="I418" i="17"/>
  <c r="B418" i="17"/>
  <c r="L451" i="17"/>
  <c r="K451" i="17"/>
  <c r="J451" i="17"/>
  <c r="I451" i="17"/>
  <c r="B451" i="17"/>
  <c r="N451" i="17" s="1"/>
  <c r="T451" i="17" s="1"/>
  <c r="L427" i="17"/>
  <c r="K427" i="17"/>
  <c r="J427" i="17"/>
  <c r="I427" i="17"/>
  <c r="B427" i="17"/>
  <c r="L214" i="17"/>
  <c r="K214" i="17"/>
  <c r="J214" i="17"/>
  <c r="I214" i="17"/>
  <c r="B214" i="17"/>
  <c r="L123" i="17"/>
  <c r="K123" i="17"/>
  <c r="J123" i="17"/>
  <c r="I123" i="17"/>
  <c r="B123" i="17"/>
  <c r="L344" i="17"/>
  <c r="K344" i="17"/>
  <c r="J344" i="17"/>
  <c r="I344" i="17"/>
  <c r="B344" i="17"/>
  <c r="M344" i="17" s="1"/>
  <c r="L281" i="17"/>
  <c r="K281" i="17"/>
  <c r="J281" i="17"/>
  <c r="I281" i="17"/>
  <c r="B281" i="17"/>
  <c r="L402" i="17"/>
  <c r="K402" i="17"/>
  <c r="J402" i="17"/>
  <c r="I402" i="17"/>
  <c r="B402" i="17"/>
  <c r="Q402" i="17" s="1"/>
  <c r="L434" i="17"/>
  <c r="K434" i="17"/>
  <c r="J434" i="17"/>
  <c r="I434" i="17"/>
  <c r="B434" i="17"/>
  <c r="L39" i="17"/>
  <c r="K39" i="17"/>
  <c r="J39" i="17"/>
  <c r="I39" i="17"/>
  <c r="B39" i="17"/>
  <c r="M39" i="17" s="1"/>
  <c r="L358" i="17"/>
  <c r="K358" i="17"/>
  <c r="J358" i="17"/>
  <c r="I358" i="17"/>
  <c r="B358" i="17"/>
  <c r="L333" i="17"/>
  <c r="K333" i="17"/>
  <c r="J333" i="17"/>
  <c r="I333" i="17"/>
  <c r="B333" i="17"/>
  <c r="L226" i="17"/>
  <c r="K226" i="17"/>
  <c r="J226" i="17"/>
  <c r="I226" i="17"/>
  <c r="B226" i="17"/>
  <c r="L258" i="17"/>
  <c r="K258" i="17"/>
  <c r="J258" i="17"/>
  <c r="I258" i="17"/>
  <c r="B258" i="17"/>
  <c r="M258" i="17" s="1"/>
  <c r="L277" i="17"/>
  <c r="K277" i="17"/>
  <c r="J277" i="17"/>
  <c r="I277" i="17"/>
  <c r="B277" i="17"/>
  <c r="L196" i="17"/>
  <c r="K196" i="17"/>
  <c r="J196" i="17"/>
  <c r="I196" i="17"/>
  <c r="B196" i="17"/>
  <c r="Q196" i="17" s="1"/>
  <c r="L288" i="17"/>
  <c r="K288" i="17"/>
  <c r="J288" i="17"/>
  <c r="I288" i="17"/>
  <c r="B288" i="17"/>
  <c r="L24" i="17"/>
  <c r="K24" i="17"/>
  <c r="J24" i="17"/>
  <c r="I24" i="17"/>
  <c r="B24" i="17"/>
  <c r="M24" i="17" s="1"/>
  <c r="L127" i="17"/>
  <c r="K127" i="17"/>
  <c r="J127" i="17"/>
  <c r="I127" i="17"/>
  <c r="B127" i="17"/>
  <c r="L208" i="17"/>
  <c r="K208" i="17"/>
  <c r="J208" i="17"/>
  <c r="I208" i="17"/>
  <c r="B208" i="17"/>
  <c r="L280" i="17"/>
  <c r="K280" i="17"/>
  <c r="J280" i="17"/>
  <c r="I280" i="17"/>
  <c r="B280" i="17"/>
  <c r="L175" i="17"/>
  <c r="K175" i="17"/>
  <c r="J175" i="17"/>
  <c r="I175" i="17"/>
  <c r="B175" i="17"/>
  <c r="M175" i="17" s="1"/>
  <c r="L365" i="17"/>
  <c r="K365" i="17"/>
  <c r="J365" i="17"/>
  <c r="I365" i="17"/>
  <c r="B365" i="17"/>
  <c r="L104" i="17"/>
  <c r="K104" i="17"/>
  <c r="J104" i="17"/>
  <c r="I104" i="17"/>
  <c r="B104" i="17"/>
  <c r="Q104" i="17" s="1"/>
  <c r="L287" i="17"/>
  <c r="K287" i="17"/>
  <c r="J287" i="17"/>
  <c r="I287" i="17"/>
  <c r="B287" i="17"/>
  <c r="L220" i="17"/>
  <c r="K220" i="17"/>
  <c r="J220" i="17"/>
  <c r="I220" i="17"/>
  <c r="B220" i="17"/>
  <c r="M220" i="17" s="1"/>
  <c r="L302" i="17"/>
  <c r="K302" i="17"/>
  <c r="J302" i="17"/>
  <c r="I302" i="17"/>
  <c r="B302" i="17"/>
  <c r="L192" i="17"/>
  <c r="K192" i="17"/>
  <c r="J192" i="17"/>
  <c r="I192" i="17"/>
  <c r="B192" i="17"/>
  <c r="L477" i="17"/>
  <c r="K477" i="17"/>
  <c r="J477" i="17"/>
  <c r="I477" i="17"/>
  <c r="B477" i="17"/>
  <c r="L456" i="17"/>
  <c r="K456" i="17"/>
  <c r="J456" i="17"/>
  <c r="I456" i="17"/>
  <c r="B456" i="17"/>
  <c r="M456" i="17" s="1"/>
  <c r="L65" i="17"/>
  <c r="K65" i="17"/>
  <c r="J65" i="17"/>
  <c r="I65" i="17"/>
  <c r="B65" i="17"/>
  <c r="L148" i="17"/>
  <c r="K148" i="17"/>
  <c r="J148" i="17"/>
  <c r="I148" i="17"/>
  <c r="B148" i="17"/>
  <c r="Q148" i="17" s="1"/>
  <c r="L360" i="17"/>
  <c r="K360" i="17"/>
  <c r="J360" i="17"/>
  <c r="I360" i="17"/>
  <c r="B360" i="17"/>
  <c r="L394" i="17"/>
  <c r="K394" i="17"/>
  <c r="J394" i="17"/>
  <c r="I394" i="17"/>
  <c r="B394" i="17"/>
  <c r="M394" i="17" s="1"/>
  <c r="L4" i="17"/>
  <c r="K4" i="17"/>
  <c r="J4" i="17"/>
  <c r="I4" i="17"/>
  <c r="B4" i="17"/>
  <c r="L164" i="17"/>
  <c r="K164" i="17"/>
  <c r="J164" i="17"/>
  <c r="I164" i="17"/>
  <c r="B164" i="17"/>
  <c r="L3" i="17"/>
  <c r="K3" i="17"/>
  <c r="J3" i="17"/>
  <c r="I3" i="17"/>
  <c r="B3" i="17"/>
  <c r="L313" i="17"/>
  <c r="K313" i="17"/>
  <c r="J313" i="17"/>
  <c r="I313" i="17"/>
  <c r="B313" i="17"/>
  <c r="M313" i="17" s="1"/>
  <c r="L210" i="17"/>
  <c r="K210" i="17"/>
  <c r="J210" i="17"/>
  <c r="I210" i="17"/>
  <c r="B210" i="17"/>
  <c r="L232" i="17"/>
  <c r="K232" i="17"/>
  <c r="J232" i="17"/>
  <c r="I232" i="17"/>
  <c r="B232" i="17"/>
  <c r="L375" i="17"/>
  <c r="K375" i="17"/>
  <c r="J375" i="17"/>
  <c r="I375" i="17"/>
  <c r="B375" i="17"/>
  <c r="L414" i="17"/>
  <c r="K414" i="17"/>
  <c r="J414" i="17"/>
  <c r="I414" i="17"/>
  <c r="B414" i="17"/>
  <c r="M414" i="17" s="1"/>
  <c r="L455" i="17"/>
  <c r="K455" i="17"/>
  <c r="J455" i="17"/>
  <c r="I455" i="17"/>
  <c r="B455" i="17"/>
  <c r="L324" i="17"/>
  <c r="K324" i="17"/>
  <c r="J324" i="17"/>
  <c r="I324" i="17"/>
  <c r="B324" i="17"/>
  <c r="L29" i="17"/>
  <c r="K29" i="17"/>
  <c r="J29" i="17"/>
  <c r="I29" i="17"/>
  <c r="B29" i="17"/>
  <c r="L393" i="17"/>
  <c r="K393" i="17"/>
  <c r="J393" i="17"/>
  <c r="I393" i="17"/>
  <c r="B393" i="17"/>
  <c r="M393" i="17" s="1"/>
  <c r="L82" i="17"/>
  <c r="K82" i="17"/>
  <c r="J82" i="17"/>
  <c r="I82" i="17"/>
  <c r="B82" i="17"/>
  <c r="L450" i="17"/>
  <c r="K450" i="17"/>
  <c r="J450" i="17"/>
  <c r="I450" i="17"/>
  <c r="B450" i="17"/>
  <c r="L23" i="17"/>
  <c r="K23" i="17"/>
  <c r="J23" i="17"/>
  <c r="I23" i="17"/>
  <c r="B23" i="17"/>
  <c r="L371" i="17"/>
  <c r="K371" i="17"/>
  <c r="J371" i="17"/>
  <c r="I371" i="17"/>
  <c r="B371" i="17"/>
  <c r="M371" i="17" s="1"/>
  <c r="L81" i="17"/>
  <c r="K81" i="17"/>
  <c r="J81" i="17"/>
  <c r="I81" i="17"/>
  <c r="B81" i="17"/>
  <c r="L195" i="17"/>
  <c r="K195" i="17"/>
  <c r="J195" i="17"/>
  <c r="I195" i="17"/>
  <c r="B195" i="17"/>
  <c r="L147" i="17"/>
  <c r="K147" i="17"/>
  <c r="J147" i="17"/>
  <c r="I147" i="17"/>
  <c r="B147" i="17"/>
  <c r="L44" i="17"/>
  <c r="K44" i="17"/>
  <c r="J44" i="17"/>
  <c r="I44" i="17"/>
  <c r="B44" i="17"/>
  <c r="L252" i="17"/>
  <c r="K252" i="17"/>
  <c r="J252" i="17"/>
  <c r="I252" i="17"/>
  <c r="B252" i="17"/>
  <c r="L64" i="17"/>
  <c r="K64" i="17"/>
  <c r="J64" i="17"/>
  <c r="I64" i="17"/>
  <c r="B64" i="17"/>
  <c r="L6" i="17"/>
  <c r="K6" i="17"/>
  <c r="J6" i="17"/>
  <c r="I6" i="17"/>
  <c r="B6" i="17"/>
  <c r="L2" i="17"/>
  <c r="K2" i="17"/>
  <c r="J2" i="17"/>
  <c r="I2" i="17"/>
  <c r="B2" i="17"/>
  <c r="N2" i="17" s="1"/>
  <c r="T2" i="17" s="1"/>
  <c r="L433" i="17"/>
  <c r="K433" i="17"/>
  <c r="J433" i="17"/>
  <c r="I433" i="17"/>
  <c r="B433" i="17"/>
  <c r="L321" i="17"/>
  <c r="K321" i="17"/>
  <c r="J321" i="17"/>
  <c r="I321" i="17"/>
  <c r="B321" i="17"/>
  <c r="L272" i="17"/>
  <c r="K272" i="17"/>
  <c r="J272" i="17"/>
  <c r="I272" i="17"/>
  <c r="B272" i="17"/>
  <c r="L425" i="17"/>
  <c r="K425" i="17"/>
  <c r="J425" i="17"/>
  <c r="I425" i="17"/>
  <c r="B425" i="17"/>
  <c r="L438" i="17"/>
  <c r="K438" i="17"/>
  <c r="J438" i="17"/>
  <c r="I438" i="17"/>
  <c r="B438" i="17"/>
  <c r="L183" i="17"/>
  <c r="K183" i="17"/>
  <c r="J183" i="17"/>
  <c r="I183" i="17"/>
  <c r="B183" i="17"/>
  <c r="L112" i="17"/>
  <c r="K112" i="17"/>
  <c r="J112" i="17"/>
  <c r="I112" i="17"/>
  <c r="B112" i="17"/>
  <c r="L320" i="17"/>
  <c r="K320" i="17"/>
  <c r="J320" i="17"/>
  <c r="I320" i="17"/>
  <c r="B320" i="17"/>
  <c r="L163" i="17"/>
  <c r="K163" i="17"/>
  <c r="J163" i="17"/>
  <c r="I163" i="17"/>
  <c r="B163" i="17"/>
  <c r="L93" i="17"/>
  <c r="K93" i="17"/>
  <c r="J93" i="17"/>
  <c r="I93" i="17"/>
  <c r="B93" i="17"/>
  <c r="L276" i="17"/>
  <c r="K276" i="17"/>
  <c r="J276" i="17"/>
  <c r="I276" i="17"/>
  <c r="B276" i="17"/>
  <c r="L329" i="17"/>
  <c r="K329" i="17"/>
  <c r="J329" i="17"/>
  <c r="I329" i="17"/>
  <c r="B329" i="17"/>
  <c r="L219" i="17"/>
  <c r="K219" i="17"/>
  <c r="J219" i="17"/>
  <c r="I219" i="17"/>
  <c r="B219" i="17"/>
  <c r="L323" i="17"/>
  <c r="K323" i="17"/>
  <c r="J323" i="17"/>
  <c r="I323" i="17"/>
  <c r="B323" i="17"/>
  <c r="L270" i="17"/>
  <c r="K270" i="17"/>
  <c r="J270" i="17"/>
  <c r="I270" i="17"/>
  <c r="B270" i="17"/>
  <c r="L316" i="17"/>
  <c r="K316" i="17"/>
  <c r="J316" i="17"/>
  <c r="I316" i="17"/>
  <c r="B316" i="17"/>
  <c r="L251" i="17"/>
  <c r="K251" i="17"/>
  <c r="J251" i="17"/>
  <c r="I251" i="17"/>
  <c r="B251" i="17"/>
  <c r="L306" i="17"/>
  <c r="K306" i="17"/>
  <c r="J306" i="17"/>
  <c r="I306" i="17"/>
  <c r="B306" i="17"/>
  <c r="L13" i="17"/>
  <c r="K13" i="17"/>
  <c r="J13" i="17"/>
  <c r="I13" i="17"/>
  <c r="B13" i="17"/>
  <c r="L15" i="17"/>
  <c r="K15" i="17"/>
  <c r="J15" i="17"/>
  <c r="I15" i="17"/>
  <c r="B15" i="17"/>
  <c r="L286" i="17"/>
  <c r="K286" i="17"/>
  <c r="J286" i="17"/>
  <c r="I286" i="17"/>
  <c r="B286" i="17"/>
  <c r="L71" i="17"/>
  <c r="K71" i="17"/>
  <c r="J71" i="17"/>
  <c r="I71" i="17"/>
  <c r="B71" i="17"/>
  <c r="L304" i="17"/>
  <c r="K304" i="17"/>
  <c r="J304" i="17"/>
  <c r="I304" i="17"/>
  <c r="B304" i="17"/>
  <c r="L154" i="17"/>
  <c r="K154" i="17"/>
  <c r="J154" i="17"/>
  <c r="I154" i="17"/>
  <c r="B154" i="17"/>
  <c r="L52" i="17"/>
  <c r="K52" i="17"/>
  <c r="J52" i="17"/>
  <c r="I52" i="17"/>
  <c r="B52" i="17"/>
  <c r="L12" i="17"/>
  <c r="K12" i="17"/>
  <c r="J12" i="17"/>
  <c r="I12" i="17"/>
  <c r="B12" i="17"/>
  <c r="L328" i="17"/>
  <c r="K328" i="17"/>
  <c r="J328" i="17"/>
  <c r="I328" i="17"/>
  <c r="B328" i="17"/>
  <c r="L22" i="17"/>
  <c r="K22" i="17"/>
  <c r="J22" i="17"/>
  <c r="I22" i="17"/>
  <c r="B22" i="17"/>
  <c r="L262" i="17"/>
  <c r="K262" i="17"/>
  <c r="J262" i="17"/>
  <c r="I262" i="17"/>
  <c r="B262" i="17"/>
  <c r="L207" i="17"/>
  <c r="K207" i="17"/>
  <c r="J207" i="17"/>
  <c r="I207" i="17"/>
  <c r="B207" i="17"/>
  <c r="L63" i="17"/>
  <c r="K63" i="17"/>
  <c r="J63" i="17"/>
  <c r="I63" i="17"/>
  <c r="B63" i="17"/>
  <c r="L295" i="17"/>
  <c r="K295" i="17"/>
  <c r="J295" i="17"/>
  <c r="I295" i="17"/>
  <c r="B295" i="17"/>
  <c r="L312" i="17"/>
  <c r="K312" i="17"/>
  <c r="J312" i="17"/>
  <c r="I312" i="17"/>
  <c r="B312" i="17"/>
  <c r="L206" i="17"/>
  <c r="K206" i="17"/>
  <c r="J206" i="17"/>
  <c r="I206" i="17"/>
  <c r="B206" i="17"/>
  <c r="L43" i="17"/>
  <c r="K43" i="17"/>
  <c r="J43" i="17"/>
  <c r="I43" i="17"/>
  <c r="B43" i="17"/>
  <c r="L348" i="17"/>
  <c r="K348" i="17"/>
  <c r="J348" i="17"/>
  <c r="I348" i="17"/>
  <c r="B348" i="17"/>
  <c r="L431" i="17"/>
  <c r="K431" i="17"/>
  <c r="J431" i="17"/>
  <c r="I431" i="17"/>
  <c r="B431" i="17"/>
  <c r="L261" i="17"/>
  <c r="K261" i="17"/>
  <c r="J261" i="17"/>
  <c r="I261" i="17"/>
  <c r="B261" i="17"/>
  <c r="L92" i="17"/>
  <c r="K92" i="17"/>
  <c r="J92" i="17"/>
  <c r="I92" i="17"/>
  <c r="B92" i="17"/>
  <c r="L383" i="17"/>
  <c r="K383" i="17"/>
  <c r="J383" i="17"/>
  <c r="I383" i="17"/>
  <c r="B383" i="17"/>
  <c r="L446" i="17"/>
  <c r="K446" i="17"/>
  <c r="J446" i="17"/>
  <c r="I446" i="17"/>
  <c r="B446" i="17"/>
  <c r="L238" i="17"/>
  <c r="K238" i="17"/>
  <c r="J238" i="17"/>
  <c r="I238" i="17"/>
  <c r="B238" i="17"/>
  <c r="L424" i="17"/>
  <c r="K424" i="17"/>
  <c r="J424" i="17"/>
  <c r="I424" i="17"/>
  <c r="B424" i="17"/>
  <c r="L103" i="17"/>
  <c r="K103" i="17"/>
  <c r="J103" i="17"/>
  <c r="I103" i="17"/>
  <c r="B103" i="17"/>
  <c r="L28" i="17"/>
  <c r="K28" i="17"/>
  <c r="J28" i="17"/>
  <c r="I28" i="17"/>
  <c r="B28" i="17"/>
  <c r="L353" i="17"/>
  <c r="K353" i="17"/>
  <c r="J353" i="17"/>
  <c r="I353" i="17"/>
  <c r="B353" i="17"/>
  <c r="L250" i="17"/>
  <c r="K250" i="17"/>
  <c r="J250" i="17"/>
  <c r="I250" i="17"/>
  <c r="B250" i="17"/>
  <c r="L327" i="17"/>
  <c r="K327" i="17"/>
  <c r="J327" i="17"/>
  <c r="I327" i="17"/>
  <c r="B327" i="17"/>
  <c r="L249" i="17"/>
  <c r="K249" i="17"/>
  <c r="J249" i="17"/>
  <c r="I249" i="17"/>
  <c r="B249" i="17"/>
  <c r="L86" i="17"/>
  <c r="K86" i="17"/>
  <c r="J86" i="17"/>
  <c r="I86" i="17"/>
  <c r="B86" i="17"/>
  <c r="L245" i="17"/>
  <c r="K245" i="17"/>
  <c r="J245" i="17"/>
  <c r="I245" i="17"/>
  <c r="B245" i="17"/>
  <c r="L21" i="17"/>
  <c r="K21" i="17"/>
  <c r="J21" i="17"/>
  <c r="I21" i="17"/>
  <c r="B21" i="17"/>
  <c r="L275" i="17"/>
  <c r="K275" i="17"/>
  <c r="J275" i="17"/>
  <c r="I275" i="17"/>
  <c r="B275" i="17"/>
  <c r="L80" i="17"/>
  <c r="K80" i="17"/>
  <c r="J80" i="17"/>
  <c r="I80" i="17"/>
  <c r="B80" i="17"/>
  <c r="L267" i="17"/>
  <c r="K267" i="17"/>
  <c r="J267" i="17"/>
  <c r="I267" i="17"/>
  <c r="B267" i="17"/>
  <c r="L57" i="17"/>
  <c r="K57" i="17"/>
  <c r="J57" i="17"/>
  <c r="I57" i="17"/>
  <c r="B57" i="17"/>
  <c r="L244" i="17"/>
  <c r="K244" i="17"/>
  <c r="J244" i="17"/>
  <c r="I244" i="17"/>
  <c r="B244" i="17"/>
  <c r="L146" i="17"/>
  <c r="K146" i="17"/>
  <c r="J146" i="17"/>
  <c r="I146" i="17"/>
  <c r="B146" i="17"/>
  <c r="L315" i="17"/>
  <c r="K315" i="17"/>
  <c r="J315" i="17"/>
  <c r="I315" i="17"/>
  <c r="B315" i="17"/>
  <c r="L218" i="17"/>
  <c r="K218" i="17"/>
  <c r="J218" i="17"/>
  <c r="I218" i="17"/>
  <c r="B218" i="17"/>
  <c r="L454" i="17"/>
  <c r="K454" i="17"/>
  <c r="J454" i="17"/>
  <c r="I454" i="17"/>
  <c r="B454" i="17"/>
  <c r="L301" i="17"/>
  <c r="K301" i="17"/>
  <c r="J301" i="17"/>
  <c r="I301" i="17"/>
  <c r="B301" i="17"/>
  <c r="L70" i="17"/>
  <c r="K70" i="17"/>
  <c r="J70" i="17"/>
  <c r="I70" i="17"/>
  <c r="B70" i="17"/>
  <c r="L319" i="17"/>
  <c r="K319" i="17"/>
  <c r="J319" i="17"/>
  <c r="I319" i="17"/>
  <c r="B319" i="17"/>
  <c r="L411" i="17"/>
  <c r="K411" i="17"/>
  <c r="J411" i="17"/>
  <c r="I411" i="17"/>
  <c r="B411" i="17"/>
  <c r="L300" i="17"/>
  <c r="K300" i="17"/>
  <c r="J300" i="17"/>
  <c r="I300" i="17"/>
  <c r="B300" i="17"/>
  <c r="L20" i="17"/>
  <c r="K20" i="17"/>
  <c r="J20" i="17"/>
  <c r="I20" i="17"/>
  <c r="B20" i="17"/>
  <c r="L448" i="17"/>
  <c r="K448" i="17"/>
  <c r="J448" i="17"/>
  <c r="I448" i="17"/>
  <c r="B448" i="17"/>
  <c r="L465" i="17"/>
  <c r="K465" i="17"/>
  <c r="J465" i="17"/>
  <c r="I465" i="17"/>
  <c r="B465" i="17"/>
  <c r="L178" i="17"/>
  <c r="K178" i="17"/>
  <c r="J178" i="17"/>
  <c r="I178" i="17"/>
  <c r="B178" i="17"/>
  <c r="L11" i="17"/>
  <c r="K11" i="17"/>
  <c r="J11" i="17"/>
  <c r="I11" i="17"/>
  <c r="B11" i="17"/>
  <c r="L237" i="17"/>
  <c r="K237" i="17"/>
  <c r="J237" i="17"/>
  <c r="I237" i="17"/>
  <c r="B237" i="17"/>
  <c r="L166" i="17"/>
  <c r="K166" i="17"/>
  <c r="J166" i="17"/>
  <c r="I166" i="17"/>
  <c r="B166" i="17"/>
  <c r="L225" i="17"/>
  <c r="K225" i="17"/>
  <c r="J225" i="17"/>
  <c r="I225" i="17"/>
  <c r="B225" i="17"/>
  <c r="L445" i="17"/>
  <c r="K445" i="17"/>
  <c r="J445" i="17"/>
  <c r="I445" i="17"/>
  <c r="B445" i="17"/>
  <c r="L444" i="17"/>
  <c r="K444" i="17"/>
  <c r="J444" i="17"/>
  <c r="I444" i="17"/>
  <c r="B444" i="17"/>
  <c r="L471" i="17"/>
  <c r="K471" i="17"/>
  <c r="J471" i="17"/>
  <c r="I471" i="17"/>
  <c r="B471" i="17"/>
  <c r="L174" i="17"/>
  <c r="K174" i="17"/>
  <c r="J174" i="17"/>
  <c r="I174" i="17"/>
  <c r="B174" i="17"/>
  <c r="L257" i="17"/>
  <c r="K257" i="17"/>
  <c r="J257" i="17"/>
  <c r="I257" i="17"/>
  <c r="B257" i="17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N6" i="20" l="1"/>
  <c r="T6" i="20" s="1"/>
  <c r="R6" i="20"/>
  <c r="P6" i="20"/>
  <c r="U6" i="20" s="1"/>
  <c r="Q6" i="20"/>
  <c r="P9" i="20"/>
  <c r="U9" i="20" s="1"/>
  <c r="R9" i="20"/>
  <c r="O9" i="20"/>
  <c r="S9" i="20" s="1"/>
  <c r="N5" i="20"/>
  <c r="T5" i="20" s="1"/>
  <c r="O8" i="20"/>
  <c r="S8" i="20" s="1"/>
  <c r="Q9" i="20"/>
  <c r="Q12" i="20"/>
  <c r="P15" i="20"/>
  <c r="U15" i="20" s="1"/>
  <c r="N15" i="20"/>
  <c r="T15" i="20" s="1"/>
  <c r="Q15" i="20"/>
  <c r="N21" i="20"/>
  <c r="T21" i="20" s="1"/>
  <c r="P37" i="20"/>
  <c r="U37" i="20" s="1"/>
  <c r="N37" i="20"/>
  <c r="T37" i="20" s="1"/>
  <c r="M37" i="20"/>
  <c r="R37" i="20"/>
  <c r="Q37" i="20"/>
  <c r="N18" i="20"/>
  <c r="T18" i="20" s="1"/>
  <c r="R18" i="20"/>
  <c r="P18" i="20"/>
  <c r="U18" i="20" s="1"/>
  <c r="N3" i="20"/>
  <c r="T3" i="20" s="1"/>
  <c r="W3" i="20" s="1"/>
  <c r="R4" i="20"/>
  <c r="N4" i="20"/>
  <c r="T4" i="20" s="1"/>
  <c r="P4" i="20"/>
  <c r="U4" i="20" s="1"/>
  <c r="P11" i="20"/>
  <c r="U11" i="20" s="1"/>
  <c r="N11" i="20"/>
  <c r="T11" i="20" s="1"/>
  <c r="Q11" i="20"/>
  <c r="P41" i="20"/>
  <c r="U41" i="20" s="1"/>
  <c r="N41" i="20"/>
  <c r="T41" i="20" s="1"/>
  <c r="M41" i="20"/>
  <c r="R41" i="20"/>
  <c r="Q41" i="20"/>
  <c r="W48" i="20"/>
  <c r="X48" i="20" s="1"/>
  <c r="W88" i="20"/>
  <c r="X88" i="20" s="1"/>
  <c r="R8" i="20"/>
  <c r="N8" i="20"/>
  <c r="T8" i="20" s="1"/>
  <c r="P8" i="20"/>
  <c r="U8" i="20" s="1"/>
  <c r="P21" i="20"/>
  <c r="U21" i="20" s="1"/>
  <c r="R21" i="20"/>
  <c r="N14" i="20"/>
  <c r="T14" i="20" s="1"/>
  <c r="R14" i="20"/>
  <c r="P14" i="20"/>
  <c r="U14" i="20" s="1"/>
  <c r="Q14" i="20"/>
  <c r="P17" i="20"/>
  <c r="U17" i="20" s="1"/>
  <c r="R17" i="20"/>
  <c r="O17" i="20"/>
  <c r="S17" i="20" s="1"/>
  <c r="R20" i="20"/>
  <c r="N20" i="20"/>
  <c r="T20" i="20" s="1"/>
  <c r="P20" i="20"/>
  <c r="U20" i="20" s="1"/>
  <c r="Q23" i="20"/>
  <c r="P23" i="20"/>
  <c r="U23" i="20" s="1"/>
  <c r="N23" i="20"/>
  <c r="T23" i="20" s="1"/>
  <c r="R23" i="20"/>
  <c r="P25" i="20"/>
  <c r="U25" i="20" s="1"/>
  <c r="M25" i="20"/>
  <c r="R25" i="20"/>
  <c r="Q25" i="20"/>
  <c r="P29" i="20"/>
  <c r="U29" i="20" s="1"/>
  <c r="N29" i="20"/>
  <c r="T29" i="20" s="1"/>
  <c r="M29" i="20"/>
  <c r="R29" i="20"/>
  <c r="P5" i="20"/>
  <c r="U5" i="20" s="1"/>
  <c r="R5" i="20"/>
  <c r="O5" i="20"/>
  <c r="S5" i="20" s="1"/>
  <c r="O21" i="20"/>
  <c r="S21" i="20" s="1"/>
  <c r="N2" i="20"/>
  <c r="T2" i="20" s="1"/>
  <c r="R2" i="20"/>
  <c r="P2" i="20"/>
  <c r="U2" i="20" s="1"/>
  <c r="Q3" i="20"/>
  <c r="P7" i="20"/>
  <c r="U7" i="20" s="1"/>
  <c r="N7" i="20"/>
  <c r="T7" i="20" s="1"/>
  <c r="Q7" i="20"/>
  <c r="Q17" i="20"/>
  <c r="Q20" i="20"/>
  <c r="P45" i="20"/>
  <c r="U45" i="20" s="1"/>
  <c r="N45" i="20"/>
  <c r="T45" i="20" s="1"/>
  <c r="M45" i="20"/>
  <c r="R45" i="20"/>
  <c r="Q45" i="20"/>
  <c r="O3" i="20"/>
  <c r="S3" i="20" s="1"/>
  <c r="M6" i="20"/>
  <c r="N10" i="20"/>
  <c r="T10" i="20" s="1"/>
  <c r="R10" i="20"/>
  <c r="P10" i="20"/>
  <c r="U10" i="20" s="1"/>
  <c r="Q10" i="20"/>
  <c r="M12" i="20"/>
  <c r="P13" i="20"/>
  <c r="U13" i="20" s="1"/>
  <c r="R13" i="20"/>
  <c r="O13" i="20"/>
  <c r="S13" i="20" s="1"/>
  <c r="R16" i="20"/>
  <c r="N16" i="20"/>
  <c r="T16" i="20" s="1"/>
  <c r="P16" i="20"/>
  <c r="U16" i="20" s="1"/>
  <c r="R3" i="20"/>
  <c r="M9" i="20"/>
  <c r="O6" i="20"/>
  <c r="S6" i="20" s="1"/>
  <c r="N9" i="20"/>
  <c r="T9" i="20" s="1"/>
  <c r="Q13" i="20"/>
  <c r="Q16" i="20"/>
  <c r="P19" i="20"/>
  <c r="U19" i="20" s="1"/>
  <c r="N19" i="20"/>
  <c r="T19" i="20" s="1"/>
  <c r="Q19" i="20"/>
  <c r="N26" i="20"/>
  <c r="T26" i="20" s="1"/>
  <c r="R26" i="20"/>
  <c r="Q26" i="20"/>
  <c r="P26" i="20"/>
  <c r="U26" i="20" s="1"/>
  <c r="P33" i="20"/>
  <c r="U33" i="20" s="1"/>
  <c r="N33" i="20"/>
  <c r="T33" i="20" s="1"/>
  <c r="M33" i="20"/>
  <c r="R33" i="20"/>
  <c r="Q33" i="20"/>
  <c r="O37" i="20"/>
  <c r="S37" i="20" s="1"/>
  <c r="W72" i="20"/>
  <c r="M5" i="20"/>
  <c r="M8" i="20"/>
  <c r="R12" i="20"/>
  <c r="N12" i="20"/>
  <c r="T12" i="20" s="1"/>
  <c r="P12" i="20"/>
  <c r="U12" i="20" s="1"/>
  <c r="M18" i="20"/>
  <c r="R19" i="20"/>
  <c r="M21" i="20"/>
  <c r="N22" i="20"/>
  <c r="T22" i="20" s="1"/>
  <c r="R22" i="20"/>
  <c r="P22" i="20"/>
  <c r="U22" i="20" s="1"/>
  <c r="Q22" i="20"/>
  <c r="V90" i="20"/>
  <c r="O30" i="20"/>
  <c r="S30" i="20" s="1"/>
  <c r="O34" i="20"/>
  <c r="S34" i="20" s="1"/>
  <c r="O38" i="20"/>
  <c r="S38" i="20" s="1"/>
  <c r="O42" i="20"/>
  <c r="S42" i="20" s="1"/>
  <c r="O46" i="20"/>
  <c r="S46" i="20" s="1"/>
  <c r="Q49" i="20"/>
  <c r="O50" i="20"/>
  <c r="S50" i="20" s="1"/>
  <c r="Q53" i="20"/>
  <c r="O54" i="20"/>
  <c r="S54" i="20" s="1"/>
  <c r="O58" i="20"/>
  <c r="S58" i="20" s="1"/>
  <c r="O62" i="20"/>
  <c r="S62" i="20" s="1"/>
  <c r="O66" i="20"/>
  <c r="S66" i="20" s="1"/>
  <c r="O70" i="20"/>
  <c r="S70" i="20" s="1"/>
  <c r="O74" i="20"/>
  <c r="S74" i="20" s="1"/>
  <c r="O78" i="20"/>
  <c r="S78" i="20" s="1"/>
  <c r="O82" i="20"/>
  <c r="S82" i="20" s="1"/>
  <c r="O90" i="20"/>
  <c r="S90" i="20" s="1"/>
  <c r="P91" i="20"/>
  <c r="U91" i="20" s="1"/>
  <c r="O92" i="20"/>
  <c r="S92" i="20" s="1"/>
  <c r="N93" i="20"/>
  <c r="T93" i="20" s="1"/>
  <c r="R95" i="20"/>
  <c r="P95" i="20"/>
  <c r="U95" i="20" s="1"/>
  <c r="N95" i="20"/>
  <c r="T95" i="20" s="1"/>
  <c r="Q95" i="20"/>
  <c r="R98" i="20"/>
  <c r="P98" i="20"/>
  <c r="U98" i="20" s="1"/>
  <c r="O98" i="20"/>
  <c r="S98" i="20" s="1"/>
  <c r="N101" i="20"/>
  <c r="T101" i="20" s="1"/>
  <c r="R101" i="20"/>
  <c r="P101" i="20"/>
  <c r="U101" i="20" s="1"/>
  <c r="W136" i="20"/>
  <c r="W176" i="20"/>
  <c r="N27" i="20"/>
  <c r="T27" i="20" s="1"/>
  <c r="P30" i="20"/>
  <c r="U30" i="20" s="1"/>
  <c r="N31" i="20"/>
  <c r="T31" i="20" s="1"/>
  <c r="P34" i="20"/>
  <c r="U34" i="20" s="1"/>
  <c r="N35" i="20"/>
  <c r="T35" i="20" s="1"/>
  <c r="P38" i="20"/>
  <c r="U38" i="20" s="1"/>
  <c r="N39" i="20"/>
  <c r="T39" i="20" s="1"/>
  <c r="P42" i="20"/>
  <c r="U42" i="20" s="1"/>
  <c r="N43" i="20"/>
  <c r="T43" i="20" s="1"/>
  <c r="P46" i="20"/>
  <c r="U46" i="20" s="1"/>
  <c r="N47" i="20"/>
  <c r="T47" i="20" s="1"/>
  <c r="R49" i="20"/>
  <c r="P50" i="20"/>
  <c r="U50" i="20" s="1"/>
  <c r="N51" i="20"/>
  <c r="T51" i="20" s="1"/>
  <c r="R53" i="20"/>
  <c r="P54" i="20"/>
  <c r="U54" i="20" s="1"/>
  <c r="N55" i="20"/>
  <c r="T55" i="20" s="1"/>
  <c r="P58" i="20"/>
  <c r="U58" i="20" s="1"/>
  <c r="N59" i="20"/>
  <c r="T59" i="20" s="1"/>
  <c r="P62" i="20"/>
  <c r="U62" i="20" s="1"/>
  <c r="N63" i="20"/>
  <c r="T63" i="20" s="1"/>
  <c r="P66" i="20"/>
  <c r="U66" i="20" s="1"/>
  <c r="N67" i="20"/>
  <c r="T67" i="20" s="1"/>
  <c r="P70" i="20"/>
  <c r="U70" i="20" s="1"/>
  <c r="N71" i="20"/>
  <c r="T71" i="20" s="1"/>
  <c r="P74" i="20"/>
  <c r="U74" i="20" s="1"/>
  <c r="P78" i="20"/>
  <c r="U78" i="20" s="1"/>
  <c r="P82" i="20"/>
  <c r="U82" i="20" s="1"/>
  <c r="O93" i="20"/>
  <c r="S93" i="20" s="1"/>
  <c r="R94" i="20"/>
  <c r="P94" i="20"/>
  <c r="U94" i="20" s="1"/>
  <c r="O94" i="20"/>
  <c r="S94" i="20" s="1"/>
  <c r="Q98" i="20"/>
  <c r="Q101" i="20"/>
  <c r="P104" i="20"/>
  <c r="U104" i="20" s="1"/>
  <c r="N104" i="20"/>
  <c r="T104" i="20" s="1"/>
  <c r="Q104" i="20"/>
  <c r="M109" i="20"/>
  <c r="M111" i="20"/>
  <c r="O27" i="20"/>
  <c r="S27" i="20" s="1"/>
  <c r="Q30" i="20"/>
  <c r="O31" i="20"/>
  <c r="S31" i="20" s="1"/>
  <c r="Q34" i="20"/>
  <c r="O35" i="20"/>
  <c r="S35" i="20" s="1"/>
  <c r="Q38" i="20"/>
  <c r="O39" i="20"/>
  <c r="S39" i="20" s="1"/>
  <c r="Q42" i="20"/>
  <c r="O43" i="20"/>
  <c r="S43" i="20" s="1"/>
  <c r="Q46" i="20"/>
  <c r="O47" i="20"/>
  <c r="S47" i="20" s="1"/>
  <c r="Q50" i="20"/>
  <c r="O51" i="20"/>
  <c r="S51" i="20" s="1"/>
  <c r="Q54" i="20"/>
  <c r="O55" i="20"/>
  <c r="S55" i="20" s="1"/>
  <c r="Q58" i="20"/>
  <c r="O59" i="20"/>
  <c r="S59" i="20" s="1"/>
  <c r="Q62" i="20"/>
  <c r="O63" i="20"/>
  <c r="S63" i="20" s="1"/>
  <c r="Q66" i="20"/>
  <c r="O67" i="20"/>
  <c r="S67" i="20" s="1"/>
  <c r="Q70" i="20"/>
  <c r="O71" i="20"/>
  <c r="S71" i="20" s="1"/>
  <c r="Q74" i="20"/>
  <c r="O75" i="20"/>
  <c r="S75" i="20" s="1"/>
  <c r="Q78" i="20"/>
  <c r="O79" i="20"/>
  <c r="S79" i="20" s="1"/>
  <c r="Q82" i="20"/>
  <c r="O83" i="20"/>
  <c r="S83" i="20" s="1"/>
  <c r="R90" i="20"/>
  <c r="R91" i="20"/>
  <c r="Q92" i="20"/>
  <c r="P93" i="20"/>
  <c r="U93" i="20" s="1"/>
  <c r="Q94" i="20"/>
  <c r="N97" i="20"/>
  <c r="T97" i="20" s="1"/>
  <c r="R97" i="20"/>
  <c r="P97" i="20"/>
  <c r="U97" i="20" s="1"/>
  <c r="M103" i="20"/>
  <c r="R104" i="20"/>
  <c r="R107" i="20"/>
  <c r="P107" i="20"/>
  <c r="U107" i="20" s="1"/>
  <c r="N107" i="20"/>
  <c r="T107" i="20" s="1"/>
  <c r="Q107" i="20"/>
  <c r="W153" i="20"/>
  <c r="X153" i="20" s="1"/>
  <c r="N24" i="20"/>
  <c r="T24" i="20" s="1"/>
  <c r="W24" i="20" s="1"/>
  <c r="X24" i="20" s="1"/>
  <c r="P27" i="20"/>
  <c r="U27" i="20" s="1"/>
  <c r="N28" i="20"/>
  <c r="T28" i="20" s="1"/>
  <c r="V28" i="20" s="1"/>
  <c r="R30" i="20"/>
  <c r="P31" i="20"/>
  <c r="U31" i="20" s="1"/>
  <c r="N32" i="20"/>
  <c r="T32" i="20" s="1"/>
  <c r="W32" i="20" s="1"/>
  <c r="X32" i="20" s="1"/>
  <c r="R34" i="20"/>
  <c r="P35" i="20"/>
  <c r="U35" i="20" s="1"/>
  <c r="N36" i="20"/>
  <c r="T36" i="20" s="1"/>
  <c r="W36" i="20" s="1"/>
  <c r="X36" i="20" s="1"/>
  <c r="R38" i="20"/>
  <c r="P39" i="20"/>
  <c r="U39" i="20" s="1"/>
  <c r="N40" i="20"/>
  <c r="T40" i="20" s="1"/>
  <c r="V40" i="20" s="1"/>
  <c r="R42" i="20"/>
  <c r="P43" i="20"/>
  <c r="U43" i="20" s="1"/>
  <c r="N44" i="20"/>
  <c r="T44" i="20" s="1"/>
  <c r="W44" i="20" s="1"/>
  <c r="X44" i="20" s="1"/>
  <c r="R46" i="20"/>
  <c r="P47" i="20"/>
  <c r="U47" i="20" s="1"/>
  <c r="N48" i="20"/>
  <c r="T48" i="20" s="1"/>
  <c r="V48" i="20" s="1"/>
  <c r="R50" i="20"/>
  <c r="P51" i="20"/>
  <c r="U51" i="20" s="1"/>
  <c r="N52" i="20"/>
  <c r="T52" i="20" s="1"/>
  <c r="W52" i="20" s="1"/>
  <c r="X52" i="20" s="1"/>
  <c r="R54" i="20"/>
  <c r="P55" i="20"/>
  <c r="U55" i="20" s="1"/>
  <c r="N56" i="20"/>
  <c r="T56" i="20" s="1"/>
  <c r="V56" i="20" s="1"/>
  <c r="R58" i="20"/>
  <c r="P59" i="20"/>
  <c r="U59" i="20" s="1"/>
  <c r="N60" i="20"/>
  <c r="T60" i="20" s="1"/>
  <c r="W60" i="20" s="1"/>
  <c r="R62" i="20"/>
  <c r="P63" i="20"/>
  <c r="U63" i="20" s="1"/>
  <c r="N64" i="20"/>
  <c r="T64" i="20" s="1"/>
  <c r="W64" i="20" s="1"/>
  <c r="R66" i="20"/>
  <c r="P67" i="20"/>
  <c r="U67" i="20" s="1"/>
  <c r="N68" i="20"/>
  <c r="T68" i="20" s="1"/>
  <c r="W68" i="20" s="1"/>
  <c r="R70" i="20"/>
  <c r="P71" i="20"/>
  <c r="U71" i="20" s="1"/>
  <c r="N72" i="20"/>
  <c r="T72" i="20" s="1"/>
  <c r="V72" i="20" s="1"/>
  <c r="R74" i="20"/>
  <c r="P75" i="20"/>
  <c r="U75" i="20" s="1"/>
  <c r="R78" i="20"/>
  <c r="P79" i="20"/>
  <c r="U79" i="20" s="1"/>
  <c r="R82" i="20"/>
  <c r="P83" i="20"/>
  <c r="U83" i="20" s="1"/>
  <c r="R92" i="20"/>
  <c r="Q93" i="20"/>
  <c r="Q97" i="20"/>
  <c r="P100" i="20"/>
  <c r="U100" i="20" s="1"/>
  <c r="N100" i="20"/>
  <c r="T100" i="20" s="1"/>
  <c r="Q100" i="20"/>
  <c r="N109" i="20"/>
  <c r="T109" i="20" s="1"/>
  <c r="R109" i="20"/>
  <c r="P109" i="20"/>
  <c r="U109" i="20" s="1"/>
  <c r="Q109" i="20"/>
  <c r="R111" i="20"/>
  <c r="P111" i="20"/>
  <c r="U111" i="20" s="1"/>
  <c r="N111" i="20"/>
  <c r="T111" i="20" s="1"/>
  <c r="Q111" i="20"/>
  <c r="V141" i="20"/>
  <c r="O24" i="20"/>
  <c r="S24" i="20" s="1"/>
  <c r="Q27" i="20"/>
  <c r="O28" i="20"/>
  <c r="S28" i="20" s="1"/>
  <c r="O32" i="20"/>
  <c r="S32" i="20" s="1"/>
  <c r="O36" i="20"/>
  <c r="S36" i="20" s="1"/>
  <c r="O40" i="20"/>
  <c r="S40" i="20" s="1"/>
  <c r="O44" i="20"/>
  <c r="S44" i="20" s="1"/>
  <c r="O48" i="20"/>
  <c r="S48" i="20" s="1"/>
  <c r="M49" i="20"/>
  <c r="O52" i="20"/>
  <c r="S52" i="20" s="1"/>
  <c r="M53" i="20"/>
  <c r="O56" i="20"/>
  <c r="S56" i="20" s="1"/>
  <c r="O60" i="20"/>
  <c r="S60" i="20" s="1"/>
  <c r="O64" i="20"/>
  <c r="S64" i="20" s="1"/>
  <c r="O68" i="20"/>
  <c r="S68" i="20" s="1"/>
  <c r="O72" i="20"/>
  <c r="S72" i="20" s="1"/>
  <c r="O76" i="20"/>
  <c r="S76" i="20" s="1"/>
  <c r="O80" i="20"/>
  <c r="S80" i="20" s="1"/>
  <c r="Q83" i="20"/>
  <c r="O84" i="20"/>
  <c r="S84" i="20" s="1"/>
  <c r="M99" i="20"/>
  <c r="M102" i="20"/>
  <c r="R103" i="20"/>
  <c r="P103" i="20"/>
  <c r="U103" i="20" s="1"/>
  <c r="N103" i="20"/>
  <c r="T103" i="20" s="1"/>
  <c r="Q103" i="20"/>
  <c r="M105" i="20"/>
  <c r="R106" i="20"/>
  <c r="P106" i="20"/>
  <c r="U106" i="20" s="1"/>
  <c r="O106" i="20"/>
  <c r="S106" i="20" s="1"/>
  <c r="R114" i="20"/>
  <c r="Q114" i="20"/>
  <c r="P114" i="20"/>
  <c r="U114" i="20" s="1"/>
  <c r="N114" i="20"/>
  <c r="T114" i="20" s="1"/>
  <c r="M114" i="20"/>
  <c r="V128" i="20"/>
  <c r="N49" i="20"/>
  <c r="T49" i="20" s="1"/>
  <c r="W49" i="20" s="1"/>
  <c r="N53" i="20"/>
  <c r="T53" i="20" s="1"/>
  <c r="W53" i="20" s="1"/>
  <c r="P84" i="20"/>
  <c r="U84" i="20" s="1"/>
  <c r="O85" i="20"/>
  <c r="S85" i="20" s="1"/>
  <c r="N86" i="20"/>
  <c r="T86" i="20" s="1"/>
  <c r="W86" i="20" s="1"/>
  <c r="O87" i="20"/>
  <c r="S87" i="20" s="1"/>
  <c r="P96" i="20"/>
  <c r="U96" i="20" s="1"/>
  <c r="N96" i="20"/>
  <c r="T96" i="20" s="1"/>
  <c r="Q96" i="20"/>
  <c r="Q106" i="20"/>
  <c r="M108" i="20"/>
  <c r="M110" i="20"/>
  <c r="M112" i="20"/>
  <c r="R118" i="20"/>
  <c r="Q118" i="20"/>
  <c r="P118" i="20"/>
  <c r="U118" i="20" s="1"/>
  <c r="N118" i="20"/>
  <c r="T118" i="20" s="1"/>
  <c r="M118" i="20"/>
  <c r="R122" i="20"/>
  <c r="Q122" i="20"/>
  <c r="P122" i="20"/>
  <c r="U122" i="20" s="1"/>
  <c r="N122" i="20"/>
  <c r="T122" i="20" s="1"/>
  <c r="M122" i="20"/>
  <c r="Q56" i="20"/>
  <c r="O57" i="20"/>
  <c r="S57" i="20" s="1"/>
  <c r="M58" i="20"/>
  <c r="Q60" i="20"/>
  <c r="O61" i="20"/>
  <c r="S61" i="20" s="1"/>
  <c r="M62" i="20"/>
  <c r="Q64" i="20"/>
  <c r="O65" i="20"/>
  <c r="S65" i="20" s="1"/>
  <c r="M66" i="20"/>
  <c r="Q68" i="20"/>
  <c r="O69" i="20"/>
  <c r="S69" i="20" s="1"/>
  <c r="M70" i="20"/>
  <c r="Q72" i="20"/>
  <c r="O73" i="20"/>
  <c r="S73" i="20" s="1"/>
  <c r="M74" i="20"/>
  <c r="Q76" i="20"/>
  <c r="O77" i="20"/>
  <c r="S77" i="20" s="1"/>
  <c r="M78" i="20"/>
  <c r="Q80" i="20"/>
  <c r="O81" i="20"/>
  <c r="S81" i="20" s="1"/>
  <c r="M82" i="20"/>
  <c r="Q84" i="20"/>
  <c r="O86" i="20"/>
  <c r="S86" i="20" s="1"/>
  <c r="P87" i="20"/>
  <c r="U87" i="20" s="1"/>
  <c r="O88" i="20"/>
  <c r="S88" i="20" s="1"/>
  <c r="M90" i="20"/>
  <c r="M91" i="20"/>
  <c r="M92" i="20"/>
  <c r="M95" i="20"/>
  <c r="M98" i="20"/>
  <c r="R99" i="20"/>
  <c r="P99" i="20"/>
  <c r="U99" i="20" s="1"/>
  <c r="N99" i="20"/>
  <c r="T99" i="20" s="1"/>
  <c r="Q99" i="20"/>
  <c r="M101" i="20"/>
  <c r="R102" i="20"/>
  <c r="P102" i="20"/>
  <c r="U102" i="20" s="1"/>
  <c r="O102" i="20"/>
  <c r="S102" i="20" s="1"/>
  <c r="N105" i="20"/>
  <c r="T105" i="20" s="1"/>
  <c r="R105" i="20"/>
  <c r="P105" i="20"/>
  <c r="U105" i="20" s="1"/>
  <c r="W148" i="20"/>
  <c r="X148" i="20" s="1"/>
  <c r="O49" i="20"/>
  <c r="S49" i="20" s="1"/>
  <c r="O53" i="20"/>
  <c r="S53" i="20" s="1"/>
  <c r="Q85" i="20"/>
  <c r="Q86" i="20"/>
  <c r="Q87" i="20"/>
  <c r="O89" i="20"/>
  <c r="S89" i="20" s="1"/>
  <c r="N90" i="20"/>
  <c r="T90" i="20" s="1"/>
  <c r="W90" i="20" s="1"/>
  <c r="X90" i="20" s="1"/>
  <c r="O91" i="20"/>
  <c r="S91" i="20" s="1"/>
  <c r="M93" i="20"/>
  <c r="M94" i="20"/>
  <c r="O95" i="20"/>
  <c r="S95" i="20" s="1"/>
  <c r="N98" i="20"/>
  <c r="T98" i="20" s="1"/>
  <c r="O101" i="20"/>
  <c r="S101" i="20" s="1"/>
  <c r="P108" i="20"/>
  <c r="U108" i="20" s="1"/>
  <c r="N108" i="20"/>
  <c r="T108" i="20" s="1"/>
  <c r="R108" i="20"/>
  <c r="Q108" i="20"/>
  <c r="R110" i="20"/>
  <c r="P110" i="20"/>
  <c r="U110" i="20" s="1"/>
  <c r="N110" i="20"/>
  <c r="T110" i="20" s="1"/>
  <c r="Q110" i="20"/>
  <c r="P112" i="20"/>
  <c r="U112" i="20" s="1"/>
  <c r="N112" i="20"/>
  <c r="T112" i="20" s="1"/>
  <c r="R112" i="20"/>
  <c r="Q112" i="20"/>
  <c r="W157" i="20"/>
  <c r="O113" i="20"/>
  <c r="S113" i="20" s="1"/>
  <c r="Q116" i="20"/>
  <c r="O117" i="20"/>
  <c r="S117" i="20" s="1"/>
  <c r="Q120" i="20"/>
  <c r="O121" i="20"/>
  <c r="S121" i="20" s="1"/>
  <c r="Q124" i="20"/>
  <c r="O125" i="20"/>
  <c r="S125" i="20" s="1"/>
  <c r="M126" i="20"/>
  <c r="Q128" i="20"/>
  <c r="O129" i="20"/>
  <c r="S129" i="20" s="1"/>
  <c r="M130" i="20"/>
  <c r="Q132" i="20"/>
  <c r="O133" i="20"/>
  <c r="S133" i="20" s="1"/>
  <c r="M134" i="20"/>
  <c r="Q136" i="20"/>
  <c r="O137" i="20"/>
  <c r="S137" i="20" s="1"/>
  <c r="M138" i="20"/>
  <c r="Q140" i="20"/>
  <c r="O141" i="20"/>
  <c r="S141" i="20" s="1"/>
  <c r="M142" i="20"/>
  <c r="Q144" i="20"/>
  <c r="O146" i="20"/>
  <c r="S146" i="20" s="1"/>
  <c r="P147" i="20"/>
  <c r="U147" i="20" s="1"/>
  <c r="O148" i="20"/>
  <c r="S148" i="20" s="1"/>
  <c r="N149" i="20"/>
  <c r="T149" i="20" s="1"/>
  <c r="V149" i="20" s="1"/>
  <c r="M150" i="20"/>
  <c r="M151" i="20"/>
  <c r="M152" i="20"/>
  <c r="R158" i="20"/>
  <c r="R159" i="20"/>
  <c r="Q160" i="20"/>
  <c r="O162" i="20"/>
  <c r="S162" i="20" s="1"/>
  <c r="R164" i="20"/>
  <c r="R171" i="20"/>
  <c r="Q171" i="20"/>
  <c r="P171" i="20"/>
  <c r="U171" i="20" s="1"/>
  <c r="N171" i="20"/>
  <c r="T171" i="20" s="1"/>
  <c r="N173" i="20"/>
  <c r="T173" i="20" s="1"/>
  <c r="M173" i="20"/>
  <c r="R173" i="20"/>
  <c r="Q173" i="20"/>
  <c r="M179" i="20"/>
  <c r="O181" i="20"/>
  <c r="S181" i="20" s="1"/>
  <c r="M206" i="20"/>
  <c r="R206" i="20"/>
  <c r="Q206" i="20"/>
  <c r="P206" i="20"/>
  <c r="U206" i="20" s="1"/>
  <c r="N206" i="20"/>
  <c r="T206" i="20" s="1"/>
  <c r="W224" i="20"/>
  <c r="V253" i="20"/>
  <c r="P113" i="20"/>
  <c r="U113" i="20" s="1"/>
  <c r="R116" i="20"/>
  <c r="P117" i="20"/>
  <c r="U117" i="20" s="1"/>
  <c r="R120" i="20"/>
  <c r="P121" i="20"/>
  <c r="U121" i="20" s="1"/>
  <c r="R124" i="20"/>
  <c r="N126" i="20"/>
  <c r="T126" i="20" s="1"/>
  <c r="R128" i="20"/>
  <c r="N130" i="20"/>
  <c r="T130" i="20" s="1"/>
  <c r="R132" i="20"/>
  <c r="N134" i="20"/>
  <c r="T134" i="20" s="1"/>
  <c r="R136" i="20"/>
  <c r="N138" i="20"/>
  <c r="T138" i="20" s="1"/>
  <c r="R140" i="20"/>
  <c r="N142" i="20"/>
  <c r="T142" i="20" s="1"/>
  <c r="O149" i="20"/>
  <c r="S149" i="20" s="1"/>
  <c r="N150" i="20"/>
  <c r="T150" i="20" s="1"/>
  <c r="W150" i="20" s="1"/>
  <c r="R175" i="20"/>
  <c r="Q175" i="20"/>
  <c r="P175" i="20"/>
  <c r="U175" i="20" s="1"/>
  <c r="N175" i="20"/>
  <c r="T175" i="20" s="1"/>
  <c r="N177" i="20"/>
  <c r="T177" i="20" s="1"/>
  <c r="V177" i="20" s="1"/>
  <c r="M177" i="20"/>
  <c r="R177" i="20"/>
  <c r="Q177" i="20"/>
  <c r="V180" i="20"/>
  <c r="M194" i="20"/>
  <c r="R194" i="20"/>
  <c r="Q194" i="20"/>
  <c r="P194" i="20"/>
  <c r="U194" i="20" s="1"/>
  <c r="N194" i="20"/>
  <c r="T194" i="20" s="1"/>
  <c r="V201" i="20"/>
  <c r="M226" i="20"/>
  <c r="R226" i="20"/>
  <c r="Q226" i="20"/>
  <c r="P226" i="20"/>
  <c r="U226" i="20" s="1"/>
  <c r="N226" i="20"/>
  <c r="T226" i="20" s="1"/>
  <c r="V233" i="20"/>
  <c r="O126" i="20"/>
  <c r="S126" i="20" s="1"/>
  <c r="O130" i="20"/>
  <c r="S130" i="20" s="1"/>
  <c r="O134" i="20"/>
  <c r="S134" i="20" s="1"/>
  <c r="O138" i="20"/>
  <c r="S138" i="20" s="1"/>
  <c r="O142" i="20"/>
  <c r="S142" i="20" s="1"/>
  <c r="O150" i="20"/>
  <c r="S150" i="20" s="1"/>
  <c r="P151" i="20"/>
  <c r="U151" i="20" s="1"/>
  <c r="O152" i="20"/>
  <c r="S152" i="20" s="1"/>
  <c r="R179" i="20"/>
  <c r="Q179" i="20"/>
  <c r="P179" i="20"/>
  <c r="U179" i="20" s="1"/>
  <c r="N179" i="20"/>
  <c r="T179" i="20" s="1"/>
  <c r="N181" i="20"/>
  <c r="T181" i="20" s="1"/>
  <c r="V181" i="20" s="1"/>
  <c r="M181" i="20"/>
  <c r="R181" i="20"/>
  <c r="Q181" i="20"/>
  <c r="M214" i="20"/>
  <c r="R214" i="20"/>
  <c r="Q214" i="20"/>
  <c r="P214" i="20"/>
  <c r="U214" i="20" s="1"/>
  <c r="N214" i="20"/>
  <c r="T214" i="20" s="1"/>
  <c r="W221" i="20"/>
  <c r="X221" i="20" s="1"/>
  <c r="N259" i="20"/>
  <c r="T259" i="20" s="1"/>
  <c r="M259" i="20"/>
  <c r="R259" i="20"/>
  <c r="Q259" i="20"/>
  <c r="P259" i="20"/>
  <c r="U259" i="20" s="1"/>
  <c r="O259" i="20"/>
  <c r="S259" i="20" s="1"/>
  <c r="W281" i="20"/>
  <c r="X281" i="20" s="1"/>
  <c r="V281" i="20"/>
  <c r="R113" i="20"/>
  <c r="N115" i="20"/>
  <c r="T115" i="20" s="1"/>
  <c r="R117" i="20"/>
  <c r="N119" i="20"/>
  <c r="T119" i="20" s="1"/>
  <c r="R121" i="20"/>
  <c r="N123" i="20"/>
  <c r="T123" i="20" s="1"/>
  <c r="R125" i="20"/>
  <c r="P126" i="20"/>
  <c r="U126" i="20" s="1"/>
  <c r="N127" i="20"/>
  <c r="T127" i="20" s="1"/>
  <c r="R129" i="20"/>
  <c r="P130" i="20"/>
  <c r="U130" i="20" s="1"/>
  <c r="N131" i="20"/>
  <c r="T131" i="20" s="1"/>
  <c r="R133" i="20"/>
  <c r="P134" i="20"/>
  <c r="U134" i="20" s="1"/>
  <c r="N135" i="20"/>
  <c r="T135" i="20" s="1"/>
  <c r="R137" i="20"/>
  <c r="P138" i="20"/>
  <c r="U138" i="20" s="1"/>
  <c r="N139" i="20"/>
  <c r="T139" i="20" s="1"/>
  <c r="R141" i="20"/>
  <c r="P142" i="20"/>
  <c r="U142" i="20" s="1"/>
  <c r="N143" i="20"/>
  <c r="T143" i="20" s="1"/>
  <c r="R148" i="20"/>
  <c r="Q149" i="20"/>
  <c r="Q150" i="20"/>
  <c r="Q151" i="20"/>
  <c r="P152" i="20"/>
  <c r="U152" i="20" s="1"/>
  <c r="O153" i="20"/>
  <c r="S153" i="20" s="1"/>
  <c r="N154" i="20"/>
  <c r="T154" i="20" s="1"/>
  <c r="W154" i="20" s="1"/>
  <c r="O155" i="20"/>
  <c r="S155" i="20" s="1"/>
  <c r="N156" i="20"/>
  <c r="T156" i="20" s="1"/>
  <c r="M157" i="20"/>
  <c r="V164" i="20"/>
  <c r="M165" i="20"/>
  <c r="N166" i="20"/>
  <c r="T166" i="20" s="1"/>
  <c r="W166" i="20" s="1"/>
  <c r="X166" i="20" s="1"/>
  <c r="R167" i="20"/>
  <c r="Q167" i="20"/>
  <c r="N167" i="20"/>
  <c r="T167" i="20" s="1"/>
  <c r="P167" i="20"/>
  <c r="U167" i="20" s="1"/>
  <c r="R170" i="20"/>
  <c r="P170" i="20"/>
  <c r="U170" i="20" s="1"/>
  <c r="O170" i="20"/>
  <c r="S170" i="20" s="1"/>
  <c r="M178" i="20"/>
  <c r="R183" i="20"/>
  <c r="Q183" i="20"/>
  <c r="P183" i="20"/>
  <c r="U183" i="20" s="1"/>
  <c r="N183" i="20"/>
  <c r="T183" i="20" s="1"/>
  <c r="N185" i="20"/>
  <c r="T185" i="20" s="1"/>
  <c r="M185" i="20"/>
  <c r="R185" i="20"/>
  <c r="P185" i="20"/>
  <c r="U185" i="20" s="1"/>
  <c r="M186" i="20"/>
  <c r="M202" i="20"/>
  <c r="R202" i="20"/>
  <c r="Q202" i="20"/>
  <c r="P202" i="20"/>
  <c r="U202" i="20" s="1"/>
  <c r="N202" i="20"/>
  <c r="T202" i="20" s="1"/>
  <c r="W220" i="20"/>
  <c r="X220" i="20" s="1"/>
  <c r="M234" i="20"/>
  <c r="R234" i="20"/>
  <c r="Q234" i="20"/>
  <c r="P234" i="20"/>
  <c r="U234" i="20" s="1"/>
  <c r="N234" i="20"/>
  <c r="T234" i="20" s="1"/>
  <c r="O115" i="20"/>
  <c r="S115" i="20" s="1"/>
  <c r="M116" i="20"/>
  <c r="O119" i="20"/>
  <c r="S119" i="20" s="1"/>
  <c r="M120" i="20"/>
  <c r="O123" i="20"/>
  <c r="S123" i="20" s="1"/>
  <c r="M124" i="20"/>
  <c r="Q126" i="20"/>
  <c r="O127" i="20"/>
  <c r="S127" i="20" s="1"/>
  <c r="M128" i="20"/>
  <c r="Q130" i="20"/>
  <c r="O131" i="20"/>
  <c r="S131" i="20" s="1"/>
  <c r="M132" i="20"/>
  <c r="Q134" i="20"/>
  <c r="O135" i="20"/>
  <c r="S135" i="20" s="1"/>
  <c r="M136" i="20"/>
  <c r="Q138" i="20"/>
  <c r="O139" i="20"/>
  <c r="S139" i="20" s="1"/>
  <c r="M140" i="20"/>
  <c r="Q142" i="20"/>
  <c r="O143" i="20"/>
  <c r="S143" i="20" s="1"/>
  <c r="M144" i="20"/>
  <c r="R150" i="20"/>
  <c r="R151" i="20"/>
  <c r="Q152" i="20"/>
  <c r="O154" i="20"/>
  <c r="S154" i="20" s="1"/>
  <c r="P155" i="20"/>
  <c r="U155" i="20" s="1"/>
  <c r="O156" i="20"/>
  <c r="S156" i="20" s="1"/>
  <c r="N157" i="20"/>
  <c r="T157" i="20" s="1"/>
  <c r="V157" i="20" s="1"/>
  <c r="M158" i="20"/>
  <c r="M159" i="20"/>
  <c r="M160" i="20"/>
  <c r="M164" i="20"/>
  <c r="O166" i="20"/>
  <c r="S166" i="20" s="1"/>
  <c r="O169" i="20"/>
  <c r="S169" i="20" s="1"/>
  <c r="R174" i="20"/>
  <c r="P174" i="20"/>
  <c r="U174" i="20" s="1"/>
  <c r="O174" i="20"/>
  <c r="S174" i="20" s="1"/>
  <c r="M182" i="20"/>
  <c r="V197" i="20"/>
  <c r="M222" i="20"/>
  <c r="R222" i="20"/>
  <c r="Q222" i="20"/>
  <c r="P222" i="20"/>
  <c r="U222" i="20" s="1"/>
  <c r="N222" i="20"/>
  <c r="T222" i="20" s="1"/>
  <c r="W229" i="20"/>
  <c r="N267" i="20"/>
  <c r="T267" i="20" s="1"/>
  <c r="M267" i="20"/>
  <c r="R267" i="20"/>
  <c r="Q267" i="20"/>
  <c r="P267" i="20"/>
  <c r="U267" i="20" s="1"/>
  <c r="O267" i="20"/>
  <c r="S267" i="20" s="1"/>
  <c r="W278" i="20"/>
  <c r="V278" i="20"/>
  <c r="P115" i="20"/>
  <c r="U115" i="20" s="1"/>
  <c r="N116" i="20"/>
  <c r="T116" i="20" s="1"/>
  <c r="W116" i="20" s="1"/>
  <c r="P119" i="20"/>
  <c r="U119" i="20" s="1"/>
  <c r="N120" i="20"/>
  <c r="T120" i="20" s="1"/>
  <c r="V120" i="20" s="1"/>
  <c r="P123" i="20"/>
  <c r="U123" i="20" s="1"/>
  <c r="N124" i="20"/>
  <c r="T124" i="20" s="1"/>
  <c r="W124" i="20" s="1"/>
  <c r="P127" i="20"/>
  <c r="U127" i="20" s="1"/>
  <c r="N128" i="20"/>
  <c r="T128" i="20" s="1"/>
  <c r="W128" i="20" s="1"/>
  <c r="P131" i="20"/>
  <c r="U131" i="20" s="1"/>
  <c r="N132" i="20"/>
  <c r="T132" i="20" s="1"/>
  <c r="W132" i="20" s="1"/>
  <c r="P135" i="20"/>
  <c r="U135" i="20" s="1"/>
  <c r="N136" i="20"/>
  <c r="T136" i="20" s="1"/>
  <c r="V136" i="20" s="1"/>
  <c r="P139" i="20"/>
  <c r="U139" i="20" s="1"/>
  <c r="N140" i="20"/>
  <c r="T140" i="20" s="1"/>
  <c r="W140" i="20" s="1"/>
  <c r="P143" i="20"/>
  <c r="U143" i="20" s="1"/>
  <c r="N144" i="20"/>
  <c r="T144" i="20" s="1"/>
  <c r="W144" i="20" s="1"/>
  <c r="Q154" i="20"/>
  <c r="Q155" i="20"/>
  <c r="P156" i="20"/>
  <c r="U156" i="20" s="1"/>
  <c r="O157" i="20"/>
  <c r="S157" i="20" s="1"/>
  <c r="N158" i="20"/>
  <c r="T158" i="20" s="1"/>
  <c r="W158" i="20" s="1"/>
  <c r="O159" i="20"/>
  <c r="S159" i="20" s="1"/>
  <c r="N160" i="20"/>
  <c r="T160" i="20" s="1"/>
  <c r="V160" i="20" s="1"/>
  <c r="N164" i="20"/>
  <c r="T164" i="20" s="1"/>
  <c r="W164" i="20" s="1"/>
  <c r="N165" i="20"/>
  <c r="T165" i="20" s="1"/>
  <c r="R165" i="20"/>
  <c r="P165" i="20"/>
  <c r="U165" i="20" s="1"/>
  <c r="X176" i="20"/>
  <c r="R178" i="20"/>
  <c r="P178" i="20"/>
  <c r="U178" i="20" s="1"/>
  <c r="O178" i="20"/>
  <c r="S178" i="20" s="1"/>
  <c r="R186" i="20"/>
  <c r="P186" i="20"/>
  <c r="U186" i="20" s="1"/>
  <c r="N186" i="20"/>
  <c r="T186" i="20" s="1"/>
  <c r="Q186" i="20"/>
  <c r="M190" i="20"/>
  <c r="R190" i="20"/>
  <c r="Q190" i="20"/>
  <c r="P190" i="20"/>
  <c r="U190" i="20" s="1"/>
  <c r="N190" i="20"/>
  <c r="T190" i="20" s="1"/>
  <c r="W196" i="20"/>
  <c r="X196" i="20" s="1"/>
  <c r="M210" i="20"/>
  <c r="R210" i="20"/>
  <c r="Q210" i="20"/>
  <c r="P210" i="20"/>
  <c r="U210" i="20" s="1"/>
  <c r="N210" i="20"/>
  <c r="T210" i="20" s="1"/>
  <c r="X224" i="20"/>
  <c r="W228" i="20"/>
  <c r="X228" i="20" s="1"/>
  <c r="X229" i="20"/>
  <c r="W257" i="20"/>
  <c r="X257" i="20" s="1"/>
  <c r="V257" i="20"/>
  <c r="O116" i="20"/>
  <c r="S116" i="20" s="1"/>
  <c r="O120" i="20"/>
  <c r="S120" i="20" s="1"/>
  <c r="O124" i="20"/>
  <c r="S124" i="20" s="1"/>
  <c r="O128" i="20"/>
  <c r="S128" i="20" s="1"/>
  <c r="O132" i="20"/>
  <c r="S132" i="20" s="1"/>
  <c r="O136" i="20"/>
  <c r="S136" i="20" s="1"/>
  <c r="O140" i="20"/>
  <c r="S140" i="20" s="1"/>
  <c r="O144" i="20"/>
  <c r="S144" i="20" s="1"/>
  <c r="O158" i="20"/>
  <c r="S158" i="20" s="1"/>
  <c r="P159" i="20"/>
  <c r="U159" i="20" s="1"/>
  <c r="O160" i="20"/>
  <c r="S160" i="20" s="1"/>
  <c r="O164" i="20"/>
  <c r="S164" i="20" s="1"/>
  <c r="N169" i="20"/>
  <c r="T169" i="20" s="1"/>
  <c r="V169" i="20" s="1"/>
  <c r="M169" i="20"/>
  <c r="R169" i="20"/>
  <c r="Q169" i="20"/>
  <c r="R182" i="20"/>
  <c r="P182" i="20"/>
  <c r="U182" i="20" s="1"/>
  <c r="O182" i="20"/>
  <c r="S182" i="20" s="1"/>
  <c r="X192" i="20"/>
  <c r="M198" i="20"/>
  <c r="R198" i="20"/>
  <c r="Q198" i="20"/>
  <c r="P198" i="20"/>
  <c r="U198" i="20" s="1"/>
  <c r="N198" i="20"/>
  <c r="T198" i="20" s="1"/>
  <c r="X212" i="20"/>
  <c r="W216" i="20"/>
  <c r="X216" i="20" s="1"/>
  <c r="M230" i="20"/>
  <c r="R230" i="20"/>
  <c r="Q230" i="20"/>
  <c r="P230" i="20"/>
  <c r="U230" i="20" s="1"/>
  <c r="N230" i="20"/>
  <c r="T230" i="20" s="1"/>
  <c r="O145" i="20"/>
  <c r="S145" i="20" s="1"/>
  <c r="N146" i="20"/>
  <c r="T146" i="20" s="1"/>
  <c r="W146" i="20" s="1"/>
  <c r="X146" i="20" s="1"/>
  <c r="O147" i="20"/>
  <c r="S147" i="20" s="1"/>
  <c r="M149" i="20"/>
  <c r="Q157" i="20"/>
  <c r="Q158" i="20"/>
  <c r="Q159" i="20"/>
  <c r="O161" i="20"/>
  <c r="S161" i="20" s="1"/>
  <c r="N162" i="20"/>
  <c r="T162" i="20" s="1"/>
  <c r="W162" i="20" s="1"/>
  <c r="X162" i="20" s="1"/>
  <c r="R163" i="20"/>
  <c r="N163" i="20"/>
  <c r="T163" i="20" s="1"/>
  <c r="P163" i="20"/>
  <c r="U163" i="20" s="1"/>
  <c r="Q164" i="20"/>
  <c r="O171" i="20"/>
  <c r="S171" i="20" s="1"/>
  <c r="P173" i="20"/>
  <c r="U173" i="20" s="1"/>
  <c r="M175" i="20"/>
  <c r="O177" i="20"/>
  <c r="S177" i="20" s="1"/>
  <c r="Q182" i="20"/>
  <c r="R187" i="20"/>
  <c r="Q187" i="20"/>
  <c r="P187" i="20"/>
  <c r="U187" i="20" s="1"/>
  <c r="N187" i="20"/>
  <c r="T187" i="20" s="1"/>
  <c r="O194" i="20"/>
  <c r="S194" i="20" s="1"/>
  <c r="X200" i="20"/>
  <c r="W204" i="20"/>
  <c r="X204" i="20" s="1"/>
  <c r="M218" i="20"/>
  <c r="R218" i="20"/>
  <c r="Q218" i="20"/>
  <c r="P218" i="20"/>
  <c r="U218" i="20" s="1"/>
  <c r="N218" i="20"/>
  <c r="T218" i="20" s="1"/>
  <c r="W225" i="20"/>
  <c r="X225" i="20" s="1"/>
  <c r="O226" i="20"/>
  <c r="S226" i="20" s="1"/>
  <c r="X232" i="20"/>
  <c r="N263" i="20"/>
  <c r="T263" i="20" s="1"/>
  <c r="M263" i="20"/>
  <c r="R263" i="20"/>
  <c r="Q263" i="20"/>
  <c r="P263" i="20"/>
  <c r="U263" i="20" s="1"/>
  <c r="O263" i="20"/>
  <c r="S263" i="20" s="1"/>
  <c r="P189" i="20"/>
  <c r="U189" i="20" s="1"/>
  <c r="P193" i="20"/>
  <c r="U193" i="20" s="1"/>
  <c r="W274" i="20"/>
  <c r="X274" i="20" s="1"/>
  <c r="V274" i="20"/>
  <c r="R189" i="20"/>
  <c r="N191" i="20"/>
  <c r="T191" i="20" s="1"/>
  <c r="R193" i="20"/>
  <c r="N195" i="20"/>
  <c r="T195" i="20" s="1"/>
  <c r="R197" i="20"/>
  <c r="N199" i="20"/>
  <c r="T199" i="20" s="1"/>
  <c r="R201" i="20"/>
  <c r="N203" i="20"/>
  <c r="T203" i="20" s="1"/>
  <c r="R205" i="20"/>
  <c r="N207" i="20"/>
  <c r="T207" i="20" s="1"/>
  <c r="R209" i="20"/>
  <c r="N211" i="20"/>
  <c r="T211" i="20" s="1"/>
  <c r="R213" i="20"/>
  <c r="N215" i="20"/>
  <c r="T215" i="20" s="1"/>
  <c r="R217" i="20"/>
  <c r="N219" i="20"/>
  <c r="T219" i="20" s="1"/>
  <c r="R221" i="20"/>
  <c r="N223" i="20"/>
  <c r="T223" i="20" s="1"/>
  <c r="R225" i="20"/>
  <c r="N227" i="20"/>
  <c r="T227" i="20" s="1"/>
  <c r="R229" i="20"/>
  <c r="N231" i="20"/>
  <c r="T231" i="20" s="1"/>
  <c r="R233" i="20"/>
  <c r="N235" i="20"/>
  <c r="T235" i="20" s="1"/>
  <c r="M236" i="20"/>
  <c r="N247" i="20"/>
  <c r="T247" i="20" s="1"/>
  <c r="N251" i="20"/>
  <c r="T251" i="20" s="1"/>
  <c r="V251" i="20" s="1"/>
  <c r="M251" i="20"/>
  <c r="R251" i="20"/>
  <c r="Q251" i="20"/>
  <c r="V254" i="20"/>
  <c r="W261" i="20"/>
  <c r="X261" i="20" s="1"/>
  <c r="V261" i="20"/>
  <c r="W265" i="20"/>
  <c r="X265" i="20" s="1"/>
  <c r="V265" i="20"/>
  <c r="N271" i="20"/>
  <c r="T271" i="20" s="1"/>
  <c r="M271" i="20"/>
  <c r="R271" i="20"/>
  <c r="Q271" i="20"/>
  <c r="P271" i="20"/>
  <c r="U271" i="20" s="1"/>
  <c r="X278" i="20"/>
  <c r="W289" i="20"/>
  <c r="X289" i="20" s="1"/>
  <c r="V289" i="20"/>
  <c r="W304" i="20"/>
  <c r="X304" i="20" s="1"/>
  <c r="R326" i="20"/>
  <c r="P326" i="20"/>
  <c r="U326" i="20" s="1"/>
  <c r="N326" i="20"/>
  <c r="T326" i="20" s="1"/>
  <c r="M326" i="20"/>
  <c r="Q326" i="20"/>
  <c r="O326" i="20"/>
  <c r="S326" i="20" s="1"/>
  <c r="O191" i="20"/>
  <c r="S191" i="20" s="1"/>
  <c r="O195" i="20"/>
  <c r="S195" i="20" s="1"/>
  <c r="O199" i="20"/>
  <c r="S199" i="20" s="1"/>
  <c r="O203" i="20"/>
  <c r="S203" i="20" s="1"/>
  <c r="O207" i="20"/>
  <c r="S207" i="20" s="1"/>
  <c r="O211" i="20"/>
  <c r="S211" i="20" s="1"/>
  <c r="O215" i="20"/>
  <c r="S215" i="20" s="1"/>
  <c r="O219" i="20"/>
  <c r="S219" i="20" s="1"/>
  <c r="O223" i="20"/>
  <c r="S223" i="20" s="1"/>
  <c r="O227" i="20"/>
  <c r="S227" i="20" s="1"/>
  <c r="O231" i="20"/>
  <c r="S231" i="20" s="1"/>
  <c r="O235" i="20"/>
  <c r="S235" i="20" s="1"/>
  <c r="N236" i="20"/>
  <c r="T236" i="20" s="1"/>
  <c r="V236" i="20" s="1"/>
  <c r="O247" i="20"/>
  <c r="S247" i="20" s="1"/>
  <c r="Q248" i="20"/>
  <c r="P248" i="20"/>
  <c r="U248" i="20" s="1"/>
  <c r="O248" i="20"/>
  <c r="S248" i="20" s="1"/>
  <c r="N255" i="20"/>
  <c r="T255" i="20" s="1"/>
  <c r="M255" i="20"/>
  <c r="R255" i="20"/>
  <c r="P255" i="20"/>
  <c r="U255" i="20" s="1"/>
  <c r="W269" i="20"/>
  <c r="X269" i="20" s="1"/>
  <c r="V269" i="20"/>
  <c r="N275" i="20"/>
  <c r="T275" i="20" s="1"/>
  <c r="M275" i="20"/>
  <c r="R275" i="20"/>
  <c r="Q275" i="20"/>
  <c r="P275" i="20"/>
  <c r="U275" i="20" s="1"/>
  <c r="V292" i="20"/>
  <c r="P191" i="20"/>
  <c r="U191" i="20" s="1"/>
  <c r="V192" i="20"/>
  <c r="P195" i="20"/>
  <c r="U195" i="20" s="1"/>
  <c r="V196" i="20"/>
  <c r="P199" i="20"/>
  <c r="U199" i="20" s="1"/>
  <c r="V200" i="20"/>
  <c r="P203" i="20"/>
  <c r="U203" i="20" s="1"/>
  <c r="V204" i="20"/>
  <c r="P207" i="20"/>
  <c r="U207" i="20" s="1"/>
  <c r="V208" i="20"/>
  <c r="P211" i="20"/>
  <c r="U211" i="20" s="1"/>
  <c r="V212" i="20"/>
  <c r="P215" i="20"/>
  <c r="U215" i="20" s="1"/>
  <c r="V216" i="20"/>
  <c r="P219" i="20"/>
  <c r="U219" i="20" s="1"/>
  <c r="V220" i="20"/>
  <c r="P223" i="20"/>
  <c r="U223" i="20" s="1"/>
  <c r="V224" i="20"/>
  <c r="P227" i="20"/>
  <c r="U227" i="20" s="1"/>
  <c r="V228" i="20"/>
  <c r="P231" i="20"/>
  <c r="U231" i="20" s="1"/>
  <c r="V232" i="20"/>
  <c r="P235" i="20"/>
  <c r="U235" i="20" s="1"/>
  <c r="O236" i="20"/>
  <c r="S236" i="20" s="1"/>
  <c r="P237" i="20"/>
  <c r="U237" i="20" s="1"/>
  <c r="O238" i="20"/>
  <c r="S238" i="20" s="1"/>
  <c r="P246" i="20"/>
  <c r="U246" i="20" s="1"/>
  <c r="P247" i="20"/>
  <c r="U247" i="20" s="1"/>
  <c r="R248" i="20"/>
  <c r="W273" i="20"/>
  <c r="X273" i="20" s="1"/>
  <c r="V273" i="20"/>
  <c r="N279" i="20"/>
  <c r="T279" i="20" s="1"/>
  <c r="M279" i="20"/>
  <c r="R279" i="20"/>
  <c r="Q279" i="20"/>
  <c r="P279" i="20"/>
  <c r="U279" i="20" s="1"/>
  <c r="W285" i="20"/>
  <c r="X285" i="20" s="1"/>
  <c r="V285" i="20"/>
  <c r="W308" i="20"/>
  <c r="X308" i="20" s="1"/>
  <c r="O168" i="20"/>
  <c r="S168" i="20" s="1"/>
  <c r="O172" i="20"/>
  <c r="S172" i="20" s="1"/>
  <c r="O176" i="20"/>
  <c r="S176" i="20" s="1"/>
  <c r="O180" i="20"/>
  <c r="S180" i="20" s="1"/>
  <c r="O184" i="20"/>
  <c r="S184" i="20" s="1"/>
  <c r="O188" i="20"/>
  <c r="S188" i="20" s="1"/>
  <c r="M189" i="20"/>
  <c r="Q191" i="20"/>
  <c r="M193" i="20"/>
  <c r="Q195" i="20"/>
  <c r="M197" i="20"/>
  <c r="Q199" i="20"/>
  <c r="M201" i="20"/>
  <c r="Q203" i="20"/>
  <c r="M205" i="20"/>
  <c r="Q207" i="20"/>
  <c r="M209" i="20"/>
  <c r="Q211" i="20"/>
  <c r="M213" i="20"/>
  <c r="Q215" i="20"/>
  <c r="M217" i="20"/>
  <c r="Q219" i="20"/>
  <c r="M221" i="20"/>
  <c r="Q223" i="20"/>
  <c r="M225" i="20"/>
  <c r="Q227" i="20"/>
  <c r="M229" i="20"/>
  <c r="Q231" i="20"/>
  <c r="M233" i="20"/>
  <c r="Q235" i="20"/>
  <c r="Q236" i="20"/>
  <c r="Q237" i="20"/>
  <c r="P238" i="20"/>
  <c r="U238" i="20" s="1"/>
  <c r="O239" i="20"/>
  <c r="S239" i="20" s="1"/>
  <c r="N240" i="20"/>
  <c r="T240" i="20" s="1"/>
  <c r="W240" i="20" s="1"/>
  <c r="X240" i="20" s="1"/>
  <c r="O241" i="20"/>
  <c r="S241" i="20" s="1"/>
  <c r="N242" i="20"/>
  <c r="T242" i="20" s="1"/>
  <c r="W242" i="20" s="1"/>
  <c r="X242" i="20" s="1"/>
  <c r="M243" i="20"/>
  <c r="M244" i="20"/>
  <c r="Q247" i="20"/>
  <c r="Q256" i="20"/>
  <c r="P256" i="20"/>
  <c r="U256" i="20" s="1"/>
  <c r="N256" i="20"/>
  <c r="T256" i="20" s="1"/>
  <c r="R256" i="20"/>
  <c r="W277" i="20"/>
  <c r="X277" i="20" s="1"/>
  <c r="V277" i="20"/>
  <c r="Q284" i="20"/>
  <c r="N284" i="20"/>
  <c r="T284" i="20" s="1"/>
  <c r="M284" i="20"/>
  <c r="R284" i="20"/>
  <c r="P284" i="20"/>
  <c r="U284" i="20" s="1"/>
  <c r="W296" i="20"/>
  <c r="X296" i="20" s="1"/>
  <c r="N189" i="20"/>
  <c r="T189" i="20" s="1"/>
  <c r="N193" i="20"/>
  <c r="T193" i="20" s="1"/>
  <c r="N197" i="20"/>
  <c r="T197" i="20" s="1"/>
  <c r="W197" i="20" s="1"/>
  <c r="X197" i="20" s="1"/>
  <c r="N201" i="20"/>
  <c r="T201" i="20" s="1"/>
  <c r="W201" i="20" s="1"/>
  <c r="X201" i="20" s="1"/>
  <c r="N205" i="20"/>
  <c r="T205" i="20" s="1"/>
  <c r="W205" i="20" s="1"/>
  <c r="X205" i="20" s="1"/>
  <c r="N209" i="20"/>
  <c r="T209" i="20" s="1"/>
  <c r="W209" i="20" s="1"/>
  <c r="X209" i="20" s="1"/>
  <c r="N213" i="20"/>
  <c r="T213" i="20" s="1"/>
  <c r="V213" i="20" s="1"/>
  <c r="N217" i="20"/>
  <c r="T217" i="20" s="1"/>
  <c r="W217" i="20" s="1"/>
  <c r="X217" i="20" s="1"/>
  <c r="N221" i="20"/>
  <c r="T221" i="20" s="1"/>
  <c r="V221" i="20" s="1"/>
  <c r="N225" i="20"/>
  <c r="T225" i="20" s="1"/>
  <c r="V225" i="20" s="1"/>
  <c r="N229" i="20"/>
  <c r="T229" i="20" s="1"/>
  <c r="V229" i="20" s="1"/>
  <c r="N233" i="20"/>
  <c r="T233" i="20" s="1"/>
  <c r="W233" i="20" s="1"/>
  <c r="X233" i="20" s="1"/>
  <c r="R236" i="20"/>
  <c r="R237" i="20"/>
  <c r="O240" i="20"/>
  <c r="S240" i="20" s="1"/>
  <c r="P241" i="20"/>
  <c r="U241" i="20" s="1"/>
  <c r="N243" i="20"/>
  <c r="T243" i="20" s="1"/>
  <c r="W243" i="20" s="1"/>
  <c r="X243" i="20" s="1"/>
  <c r="R246" i="20"/>
  <c r="Q252" i="20"/>
  <c r="P252" i="20"/>
  <c r="U252" i="20" s="1"/>
  <c r="O252" i="20"/>
  <c r="S252" i="20" s="1"/>
  <c r="W262" i="20"/>
  <c r="X262" i="20" s="1"/>
  <c r="V262" i="20"/>
  <c r="W266" i="20"/>
  <c r="X266" i="20" s="1"/>
  <c r="V266" i="20"/>
  <c r="O243" i="20"/>
  <c r="S243" i="20" s="1"/>
  <c r="Q244" i="20"/>
  <c r="P244" i="20"/>
  <c r="U244" i="20" s="1"/>
  <c r="O244" i="20"/>
  <c r="S244" i="20" s="1"/>
  <c r="W270" i="20"/>
  <c r="X270" i="20" s="1"/>
  <c r="V270" i="20"/>
  <c r="X290" i="20"/>
  <c r="N260" i="20"/>
  <c r="T260" i="20" s="1"/>
  <c r="N264" i="20"/>
  <c r="T264" i="20" s="1"/>
  <c r="P283" i="20"/>
  <c r="U283" i="20" s="1"/>
  <c r="M307" i="20"/>
  <c r="Q307" i="20"/>
  <c r="P307" i="20"/>
  <c r="U307" i="20" s="1"/>
  <c r="N316" i="20"/>
  <c r="T316" i="20" s="1"/>
  <c r="R316" i="20"/>
  <c r="P316" i="20"/>
  <c r="U316" i="20" s="1"/>
  <c r="M316" i="20"/>
  <c r="R317" i="20"/>
  <c r="P317" i="20"/>
  <c r="U317" i="20" s="1"/>
  <c r="N317" i="20"/>
  <c r="T317" i="20" s="1"/>
  <c r="O317" i="20"/>
  <c r="S317" i="20" s="1"/>
  <c r="M317" i="20"/>
  <c r="R318" i="20"/>
  <c r="P318" i="20"/>
  <c r="U318" i="20" s="1"/>
  <c r="N318" i="20"/>
  <c r="T318" i="20" s="1"/>
  <c r="M318" i="20"/>
  <c r="P319" i="20"/>
  <c r="U319" i="20" s="1"/>
  <c r="N319" i="20"/>
  <c r="T319" i="20" s="1"/>
  <c r="R319" i="20"/>
  <c r="O319" i="20"/>
  <c r="S319" i="20" s="1"/>
  <c r="M319" i="20"/>
  <c r="N320" i="20"/>
  <c r="T320" i="20" s="1"/>
  <c r="R320" i="20"/>
  <c r="P320" i="20"/>
  <c r="U320" i="20" s="1"/>
  <c r="M320" i="20"/>
  <c r="R321" i="20"/>
  <c r="P321" i="20"/>
  <c r="U321" i="20" s="1"/>
  <c r="N321" i="20"/>
  <c r="T321" i="20" s="1"/>
  <c r="O321" i="20"/>
  <c r="S321" i="20" s="1"/>
  <c r="M321" i="20"/>
  <c r="R322" i="20"/>
  <c r="P322" i="20"/>
  <c r="U322" i="20" s="1"/>
  <c r="N322" i="20"/>
  <c r="T322" i="20" s="1"/>
  <c r="M322" i="20"/>
  <c r="P323" i="20"/>
  <c r="U323" i="20" s="1"/>
  <c r="N323" i="20"/>
  <c r="T323" i="20" s="1"/>
  <c r="R323" i="20"/>
  <c r="O323" i="20"/>
  <c r="S323" i="20" s="1"/>
  <c r="M323" i="20"/>
  <c r="N324" i="20"/>
  <c r="T324" i="20" s="1"/>
  <c r="R324" i="20"/>
  <c r="P324" i="20"/>
  <c r="U324" i="20" s="1"/>
  <c r="M324" i="20"/>
  <c r="W343" i="20"/>
  <c r="X343" i="20" s="1"/>
  <c r="O260" i="20"/>
  <c r="S260" i="20" s="1"/>
  <c r="O264" i="20"/>
  <c r="S264" i="20" s="1"/>
  <c r="O268" i="20"/>
  <c r="S268" i="20" s="1"/>
  <c r="O272" i="20"/>
  <c r="S272" i="20" s="1"/>
  <c r="O276" i="20"/>
  <c r="S276" i="20" s="1"/>
  <c r="O280" i="20"/>
  <c r="S280" i="20" s="1"/>
  <c r="W282" i="20"/>
  <c r="X282" i="20" s="1"/>
  <c r="Q283" i="20"/>
  <c r="M291" i="20"/>
  <c r="Q291" i="20"/>
  <c r="P291" i="20"/>
  <c r="U291" i="20" s="1"/>
  <c r="M295" i="20"/>
  <c r="Q295" i="20"/>
  <c r="P295" i="20"/>
  <c r="U295" i="20" s="1"/>
  <c r="M299" i="20"/>
  <c r="Q299" i="20"/>
  <c r="P299" i="20"/>
  <c r="U299" i="20" s="1"/>
  <c r="M303" i="20"/>
  <c r="Q303" i="20"/>
  <c r="P303" i="20"/>
  <c r="U303" i="20" s="1"/>
  <c r="R307" i="20"/>
  <c r="N312" i="20"/>
  <c r="T312" i="20" s="1"/>
  <c r="V312" i="20" s="1"/>
  <c r="R312" i="20"/>
  <c r="O312" i="20"/>
  <c r="S312" i="20" s="1"/>
  <c r="Q312" i="20"/>
  <c r="N245" i="20"/>
  <c r="T245" i="20" s="1"/>
  <c r="V245" i="20" s="1"/>
  <c r="N249" i="20"/>
  <c r="T249" i="20" s="1"/>
  <c r="W249" i="20" s="1"/>
  <c r="X249" i="20" s="1"/>
  <c r="N253" i="20"/>
  <c r="T253" i="20" s="1"/>
  <c r="W253" i="20" s="1"/>
  <c r="X253" i="20" s="1"/>
  <c r="P260" i="20"/>
  <c r="U260" i="20" s="1"/>
  <c r="P264" i="20"/>
  <c r="U264" i="20" s="1"/>
  <c r="P268" i="20"/>
  <c r="U268" i="20" s="1"/>
  <c r="P272" i="20"/>
  <c r="U272" i="20" s="1"/>
  <c r="P276" i="20"/>
  <c r="U276" i="20" s="1"/>
  <c r="P280" i="20"/>
  <c r="U280" i="20" s="1"/>
  <c r="R283" i="20"/>
  <c r="M288" i="20"/>
  <c r="R291" i="20"/>
  <c r="R295" i="20"/>
  <c r="R299" i="20"/>
  <c r="M250" i="20"/>
  <c r="M254" i="20"/>
  <c r="M258" i="20"/>
  <c r="M262" i="20"/>
  <c r="M266" i="20"/>
  <c r="M270" i="20"/>
  <c r="M274" i="20"/>
  <c r="M278" i="20"/>
  <c r="R280" i="20"/>
  <c r="N287" i="20"/>
  <c r="T287" i="20" s="1"/>
  <c r="N288" i="20"/>
  <c r="T288" i="20" s="1"/>
  <c r="W290" i="20"/>
  <c r="W294" i="20"/>
  <c r="X294" i="20" s="1"/>
  <c r="W298" i="20"/>
  <c r="X298" i="20" s="1"/>
  <c r="W302" i="20"/>
  <c r="X302" i="20" s="1"/>
  <c r="O288" i="20"/>
  <c r="S288" i="20" s="1"/>
  <c r="W309" i="20"/>
  <c r="X309" i="20" s="1"/>
  <c r="O250" i="20"/>
  <c r="O254" i="20"/>
  <c r="S254" i="20" s="1"/>
  <c r="O258" i="20"/>
  <c r="P287" i="20"/>
  <c r="U287" i="20" s="1"/>
  <c r="P288" i="20"/>
  <c r="U288" i="20" s="1"/>
  <c r="W293" i="20"/>
  <c r="X293" i="20" s="1"/>
  <c r="W297" i="20"/>
  <c r="X297" i="20" s="1"/>
  <c r="W301" i="20"/>
  <c r="X301" i="20" s="1"/>
  <c r="N283" i="20"/>
  <c r="T283" i="20" s="1"/>
  <c r="W286" i="20"/>
  <c r="X286" i="20" s="1"/>
  <c r="R288" i="20"/>
  <c r="N307" i="20"/>
  <c r="T307" i="20" s="1"/>
  <c r="P311" i="20"/>
  <c r="U311" i="20" s="1"/>
  <c r="N311" i="20"/>
  <c r="T311" i="20" s="1"/>
  <c r="Q311" i="20"/>
  <c r="R314" i="20"/>
  <c r="N314" i="20"/>
  <c r="T314" i="20" s="1"/>
  <c r="V314" i="20" s="1"/>
  <c r="Q314" i="20"/>
  <c r="O314" i="20"/>
  <c r="S314" i="20" s="1"/>
  <c r="M314" i="20"/>
  <c r="O316" i="20"/>
  <c r="S316" i="20" s="1"/>
  <c r="Q317" i="20"/>
  <c r="O318" i="20"/>
  <c r="S318" i="20" s="1"/>
  <c r="Q319" i="20"/>
  <c r="O320" i="20"/>
  <c r="S320" i="20" s="1"/>
  <c r="Q321" i="20"/>
  <c r="O322" i="20"/>
  <c r="S322" i="20" s="1"/>
  <c r="Q323" i="20"/>
  <c r="O324" i="20"/>
  <c r="S324" i="20" s="1"/>
  <c r="N328" i="20"/>
  <c r="T328" i="20" s="1"/>
  <c r="R328" i="20"/>
  <c r="P328" i="20"/>
  <c r="U328" i="20" s="1"/>
  <c r="Q328" i="20"/>
  <c r="R330" i="20"/>
  <c r="P330" i="20"/>
  <c r="U330" i="20" s="1"/>
  <c r="N330" i="20"/>
  <c r="T330" i="20" s="1"/>
  <c r="Q330" i="20"/>
  <c r="N332" i="20"/>
  <c r="T332" i="20" s="1"/>
  <c r="R332" i="20"/>
  <c r="P332" i="20"/>
  <c r="U332" i="20" s="1"/>
  <c r="Q332" i="20"/>
  <c r="R334" i="20"/>
  <c r="P334" i="20"/>
  <c r="U334" i="20" s="1"/>
  <c r="N334" i="20"/>
  <c r="T334" i="20" s="1"/>
  <c r="Q334" i="20"/>
  <c r="N336" i="20"/>
  <c r="T336" i="20" s="1"/>
  <c r="R336" i="20"/>
  <c r="P336" i="20"/>
  <c r="U336" i="20" s="1"/>
  <c r="Q336" i="20"/>
  <c r="R338" i="20"/>
  <c r="P338" i="20"/>
  <c r="U338" i="20" s="1"/>
  <c r="N338" i="20"/>
  <c r="T338" i="20" s="1"/>
  <c r="Q338" i="20"/>
  <c r="N340" i="20"/>
  <c r="T340" i="20" s="1"/>
  <c r="R340" i="20"/>
  <c r="P340" i="20"/>
  <c r="U340" i="20" s="1"/>
  <c r="Q340" i="20"/>
  <c r="R342" i="20"/>
  <c r="P342" i="20"/>
  <c r="U342" i="20" s="1"/>
  <c r="N342" i="20"/>
  <c r="T342" i="20" s="1"/>
  <c r="Q342" i="20"/>
  <c r="R346" i="20"/>
  <c r="Q346" i="20"/>
  <c r="P346" i="20"/>
  <c r="U346" i="20" s="1"/>
  <c r="N346" i="20"/>
  <c r="T346" i="20" s="1"/>
  <c r="M346" i="20"/>
  <c r="O292" i="20"/>
  <c r="S292" i="20" s="1"/>
  <c r="O296" i="20"/>
  <c r="S296" i="20" s="1"/>
  <c r="O300" i="20"/>
  <c r="S300" i="20" s="1"/>
  <c r="O304" i="20"/>
  <c r="S304" i="20" s="1"/>
  <c r="O308" i="20"/>
  <c r="S308" i="20" s="1"/>
  <c r="P315" i="20"/>
  <c r="U315" i="20" s="1"/>
  <c r="R315" i="20"/>
  <c r="O315" i="20"/>
  <c r="S315" i="20" s="1"/>
  <c r="M325" i="20"/>
  <c r="M327" i="20"/>
  <c r="M329" i="20"/>
  <c r="M331" i="20"/>
  <c r="M333" i="20"/>
  <c r="M335" i="20"/>
  <c r="M337" i="20"/>
  <c r="M339" i="20"/>
  <c r="P348" i="20"/>
  <c r="U348" i="20" s="1"/>
  <c r="N348" i="20"/>
  <c r="T348" i="20" s="1"/>
  <c r="R348" i="20"/>
  <c r="O348" i="20"/>
  <c r="S348" i="20" s="1"/>
  <c r="M348" i="20"/>
  <c r="V354" i="20"/>
  <c r="R358" i="20"/>
  <c r="P358" i="20"/>
  <c r="U358" i="20" s="1"/>
  <c r="N358" i="20"/>
  <c r="T358" i="20" s="1"/>
  <c r="O358" i="20"/>
  <c r="S358" i="20" s="1"/>
  <c r="M358" i="20"/>
  <c r="M282" i="20"/>
  <c r="M286" i="20"/>
  <c r="M290" i="20"/>
  <c r="M294" i="20"/>
  <c r="M298" i="20"/>
  <c r="M302" i="20"/>
  <c r="O305" i="20"/>
  <c r="S305" i="20" s="1"/>
  <c r="M306" i="20"/>
  <c r="M310" i="20"/>
  <c r="M313" i="20"/>
  <c r="Q315" i="20"/>
  <c r="R351" i="20"/>
  <c r="P351" i="20"/>
  <c r="U351" i="20" s="1"/>
  <c r="Q351" i="20"/>
  <c r="N351" i="20"/>
  <c r="T351" i="20" s="1"/>
  <c r="M351" i="20"/>
  <c r="W354" i="20"/>
  <c r="N357" i="20"/>
  <c r="T357" i="20" s="1"/>
  <c r="R357" i="20"/>
  <c r="P357" i="20"/>
  <c r="U357" i="20" s="1"/>
  <c r="O357" i="20"/>
  <c r="S357" i="20" s="1"/>
  <c r="M357" i="20"/>
  <c r="R325" i="20"/>
  <c r="P325" i="20"/>
  <c r="U325" i="20" s="1"/>
  <c r="N325" i="20"/>
  <c r="T325" i="20" s="1"/>
  <c r="Q325" i="20"/>
  <c r="P327" i="20"/>
  <c r="U327" i="20" s="1"/>
  <c r="N327" i="20"/>
  <c r="T327" i="20" s="1"/>
  <c r="R327" i="20"/>
  <c r="Q327" i="20"/>
  <c r="R329" i="20"/>
  <c r="P329" i="20"/>
  <c r="U329" i="20" s="1"/>
  <c r="N329" i="20"/>
  <c r="T329" i="20" s="1"/>
  <c r="Q329" i="20"/>
  <c r="P331" i="20"/>
  <c r="U331" i="20" s="1"/>
  <c r="N331" i="20"/>
  <c r="T331" i="20" s="1"/>
  <c r="R331" i="20"/>
  <c r="Q331" i="20"/>
  <c r="R333" i="20"/>
  <c r="P333" i="20"/>
  <c r="U333" i="20" s="1"/>
  <c r="N333" i="20"/>
  <c r="T333" i="20" s="1"/>
  <c r="Q333" i="20"/>
  <c r="P335" i="20"/>
  <c r="U335" i="20" s="1"/>
  <c r="N335" i="20"/>
  <c r="T335" i="20" s="1"/>
  <c r="R335" i="20"/>
  <c r="Q335" i="20"/>
  <c r="R337" i="20"/>
  <c r="P337" i="20"/>
  <c r="U337" i="20" s="1"/>
  <c r="N337" i="20"/>
  <c r="T337" i="20" s="1"/>
  <c r="Q337" i="20"/>
  <c r="P339" i="20"/>
  <c r="U339" i="20" s="1"/>
  <c r="N339" i="20"/>
  <c r="T339" i="20" s="1"/>
  <c r="R339" i="20"/>
  <c r="Q339" i="20"/>
  <c r="R341" i="20"/>
  <c r="P341" i="20"/>
  <c r="U341" i="20" s="1"/>
  <c r="N341" i="20"/>
  <c r="T341" i="20" s="1"/>
  <c r="Q341" i="20"/>
  <c r="R354" i="20"/>
  <c r="N354" i="20"/>
  <c r="T354" i="20" s="1"/>
  <c r="Q354" i="20"/>
  <c r="X354" i="20" s="1"/>
  <c r="O354" i="20"/>
  <c r="S354" i="20" s="1"/>
  <c r="M354" i="20"/>
  <c r="P356" i="20"/>
  <c r="U356" i="20" s="1"/>
  <c r="N356" i="20"/>
  <c r="T356" i="20" s="1"/>
  <c r="R356" i="20"/>
  <c r="O356" i="20"/>
  <c r="S356" i="20" s="1"/>
  <c r="M356" i="20"/>
  <c r="O310" i="20"/>
  <c r="S310" i="20" s="1"/>
  <c r="O313" i="20"/>
  <c r="S313" i="20" s="1"/>
  <c r="M328" i="20"/>
  <c r="M330" i="20"/>
  <c r="M332" i="20"/>
  <c r="M334" i="20"/>
  <c r="M336" i="20"/>
  <c r="M338" i="20"/>
  <c r="M340" i="20"/>
  <c r="M342" i="20"/>
  <c r="N344" i="20"/>
  <c r="T344" i="20" s="1"/>
  <c r="M344" i="20"/>
  <c r="R344" i="20"/>
  <c r="Q344" i="20"/>
  <c r="P344" i="20"/>
  <c r="U344" i="20" s="1"/>
  <c r="O346" i="20"/>
  <c r="S346" i="20" s="1"/>
  <c r="R343" i="20"/>
  <c r="N345" i="20"/>
  <c r="T345" i="20" s="1"/>
  <c r="N349" i="20"/>
  <c r="T349" i="20" s="1"/>
  <c r="P349" i="20"/>
  <c r="U349" i="20" s="1"/>
  <c r="Q349" i="20"/>
  <c r="X406" i="20"/>
  <c r="O345" i="20"/>
  <c r="S345" i="20" s="1"/>
  <c r="P352" i="20"/>
  <c r="U352" i="20" s="1"/>
  <c r="N352" i="20"/>
  <c r="T352" i="20" s="1"/>
  <c r="R352" i="20"/>
  <c r="Q352" i="20"/>
  <c r="R355" i="20"/>
  <c r="P355" i="20"/>
  <c r="U355" i="20" s="1"/>
  <c r="O355" i="20"/>
  <c r="S355" i="20" s="1"/>
  <c r="M359" i="20"/>
  <c r="M361" i="20"/>
  <c r="M363" i="20"/>
  <c r="M365" i="20"/>
  <c r="M367" i="20"/>
  <c r="M369" i="20"/>
  <c r="M371" i="20"/>
  <c r="M373" i="20"/>
  <c r="R388" i="20"/>
  <c r="P388" i="20"/>
  <c r="U388" i="20" s="1"/>
  <c r="N388" i="20"/>
  <c r="T388" i="20" s="1"/>
  <c r="M388" i="20"/>
  <c r="O388" i="20"/>
  <c r="S388" i="20" s="1"/>
  <c r="P345" i="20"/>
  <c r="U345" i="20" s="1"/>
  <c r="Q355" i="20"/>
  <c r="R359" i="20"/>
  <c r="P359" i="20"/>
  <c r="U359" i="20" s="1"/>
  <c r="N359" i="20"/>
  <c r="T359" i="20" s="1"/>
  <c r="Q359" i="20"/>
  <c r="N361" i="20"/>
  <c r="T361" i="20" s="1"/>
  <c r="R361" i="20"/>
  <c r="P361" i="20"/>
  <c r="U361" i="20" s="1"/>
  <c r="Q361" i="20"/>
  <c r="R363" i="20"/>
  <c r="P363" i="20"/>
  <c r="U363" i="20" s="1"/>
  <c r="N363" i="20"/>
  <c r="T363" i="20" s="1"/>
  <c r="Q363" i="20"/>
  <c r="N365" i="20"/>
  <c r="T365" i="20" s="1"/>
  <c r="R365" i="20"/>
  <c r="P365" i="20"/>
  <c r="U365" i="20" s="1"/>
  <c r="Q365" i="20"/>
  <c r="R367" i="20"/>
  <c r="P367" i="20"/>
  <c r="U367" i="20" s="1"/>
  <c r="N367" i="20"/>
  <c r="T367" i="20" s="1"/>
  <c r="Q367" i="20"/>
  <c r="N369" i="20"/>
  <c r="T369" i="20" s="1"/>
  <c r="R369" i="20"/>
  <c r="P369" i="20"/>
  <c r="U369" i="20" s="1"/>
  <c r="Q369" i="20"/>
  <c r="R371" i="20"/>
  <c r="P371" i="20"/>
  <c r="U371" i="20" s="1"/>
  <c r="N371" i="20"/>
  <c r="T371" i="20" s="1"/>
  <c r="Q371" i="20"/>
  <c r="N373" i="20"/>
  <c r="T373" i="20" s="1"/>
  <c r="R373" i="20"/>
  <c r="P373" i="20"/>
  <c r="U373" i="20" s="1"/>
  <c r="Q373" i="20"/>
  <c r="N343" i="20"/>
  <c r="T343" i="20" s="1"/>
  <c r="V343" i="20" s="1"/>
  <c r="R347" i="20"/>
  <c r="P347" i="20"/>
  <c r="U347" i="20" s="1"/>
  <c r="O347" i="20"/>
  <c r="S347" i="20" s="1"/>
  <c r="Q376" i="20"/>
  <c r="P376" i="20"/>
  <c r="U376" i="20" s="1"/>
  <c r="N376" i="20"/>
  <c r="T376" i="20" s="1"/>
  <c r="M376" i="20"/>
  <c r="R376" i="20"/>
  <c r="O343" i="20"/>
  <c r="S343" i="20" s="1"/>
  <c r="R350" i="20"/>
  <c r="N350" i="20"/>
  <c r="T350" i="20" s="1"/>
  <c r="P350" i="20"/>
  <c r="U350" i="20" s="1"/>
  <c r="M360" i="20"/>
  <c r="M362" i="20"/>
  <c r="M364" i="20"/>
  <c r="M366" i="20"/>
  <c r="M368" i="20"/>
  <c r="M370" i="20"/>
  <c r="M372" i="20"/>
  <c r="M374" i="20"/>
  <c r="M349" i="20"/>
  <c r="Q350" i="20"/>
  <c r="N353" i="20"/>
  <c r="T353" i="20" s="1"/>
  <c r="P353" i="20"/>
  <c r="U353" i="20" s="1"/>
  <c r="Q353" i="20"/>
  <c r="M378" i="20"/>
  <c r="R378" i="20"/>
  <c r="Q378" i="20"/>
  <c r="P378" i="20"/>
  <c r="U378" i="20" s="1"/>
  <c r="N378" i="20"/>
  <c r="T378" i="20" s="1"/>
  <c r="P360" i="20"/>
  <c r="U360" i="20" s="1"/>
  <c r="N360" i="20"/>
  <c r="T360" i="20" s="1"/>
  <c r="R360" i="20"/>
  <c r="Q360" i="20"/>
  <c r="R362" i="20"/>
  <c r="P362" i="20"/>
  <c r="U362" i="20" s="1"/>
  <c r="N362" i="20"/>
  <c r="T362" i="20" s="1"/>
  <c r="Q362" i="20"/>
  <c r="P364" i="20"/>
  <c r="U364" i="20" s="1"/>
  <c r="N364" i="20"/>
  <c r="T364" i="20" s="1"/>
  <c r="R364" i="20"/>
  <c r="Q364" i="20"/>
  <c r="R366" i="20"/>
  <c r="P366" i="20"/>
  <c r="U366" i="20" s="1"/>
  <c r="N366" i="20"/>
  <c r="T366" i="20" s="1"/>
  <c r="Q366" i="20"/>
  <c r="P368" i="20"/>
  <c r="U368" i="20" s="1"/>
  <c r="N368" i="20"/>
  <c r="T368" i="20" s="1"/>
  <c r="R368" i="20"/>
  <c r="Q368" i="20"/>
  <c r="R370" i="20"/>
  <c r="P370" i="20"/>
  <c r="U370" i="20" s="1"/>
  <c r="N370" i="20"/>
  <c r="T370" i="20" s="1"/>
  <c r="Q370" i="20"/>
  <c r="P372" i="20"/>
  <c r="U372" i="20" s="1"/>
  <c r="N372" i="20"/>
  <c r="T372" i="20" s="1"/>
  <c r="R372" i="20"/>
  <c r="Q372" i="20"/>
  <c r="R374" i="20"/>
  <c r="P374" i="20"/>
  <c r="U374" i="20" s="1"/>
  <c r="N374" i="20"/>
  <c r="T374" i="20" s="1"/>
  <c r="Q374" i="20"/>
  <c r="Q388" i="20"/>
  <c r="W406" i="20"/>
  <c r="V410" i="20"/>
  <c r="P377" i="20"/>
  <c r="U377" i="20" s="1"/>
  <c r="M379" i="20"/>
  <c r="P385" i="20"/>
  <c r="U385" i="20" s="1"/>
  <c r="N385" i="20"/>
  <c r="T385" i="20" s="1"/>
  <c r="Q385" i="20"/>
  <c r="Q395" i="20"/>
  <c r="W418" i="20"/>
  <c r="X418" i="20" s="1"/>
  <c r="R391" i="20"/>
  <c r="P391" i="20"/>
  <c r="U391" i="20" s="1"/>
  <c r="O391" i="20"/>
  <c r="S391" i="20" s="1"/>
  <c r="N394" i="20"/>
  <c r="T394" i="20" s="1"/>
  <c r="R394" i="20"/>
  <c r="P394" i="20"/>
  <c r="U394" i="20" s="1"/>
  <c r="P397" i="20"/>
  <c r="U397" i="20" s="1"/>
  <c r="N397" i="20"/>
  <c r="T397" i="20" s="1"/>
  <c r="Q397" i="20"/>
  <c r="R397" i="20"/>
  <c r="R399" i="20"/>
  <c r="P399" i="20"/>
  <c r="U399" i="20" s="1"/>
  <c r="M399" i="20"/>
  <c r="Q399" i="20"/>
  <c r="P401" i="20"/>
  <c r="U401" i="20" s="1"/>
  <c r="N401" i="20"/>
  <c r="T401" i="20" s="1"/>
  <c r="Q401" i="20"/>
  <c r="R401" i="20"/>
  <c r="R403" i="20"/>
  <c r="P403" i="20"/>
  <c r="U403" i="20" s="1"/>
  <c r="M403" i="20"/>
  <c r="Q403" i="20"/>
  <c r="P405" i="20"/>
  <c r="U405" i="20" s="1"/>
  <c r="N405" i="20"/>
  <c r="T405" i="20" s="1"/>
  <c r="Q405" i="20"/>
  <c r="R405" i="20"/>
  <c r="W463" i="20"/>
  <c r="X463" i="20" s="1"/>
  <c r="N375" i="20"/>
  <c r="T375" i="20" s="1"/>
  <c r="R377" i="20"/>
  <c r="O379" i="20"/>
  <c r="S379" i="20" s="1"/>
  <c r="N380" i="20"/>
  <c r="T380" i="20" s="1"/>
  <c r="O381" i="20"/>
  <c r="S381" i="20" s="1"/>
  <c r="N382" i="20"/>
  <c r="T382" i="20" s="1"/>
  <c r="Q391" i="20"/>
  <c r="Q394" i="20"/>
  <c r="P409" i="20"/>
  <c r="U409" i="20" s="1"/>
  <c r="N409" i="20"/>
  <c r="T409" i="20" s="1"/>
  <c r="M409" i="20"/>
  <c r="Q409" i="20"/>
  <c r="P431" i="20"/>
  <c r="U431" i="20" s="1"/>
  <c r="N431" i="20"/>
  <c r="T431" i="20" s="1"/>
  <c r="M431" i="20"/>
  <c r="R431" i="20"/>
  <c r="O431" i="20"/>
  <c r="S431" i="20" s="1"/>
  <c r="V456" i="20"/>
  <c r="O375" i="20"/>
  <c r="S375" i="20" s="1"/>
  <c r="O380" i="20"/>
  <c r="S380" i="20" s="1"/>
  <c r="P381" i="20"/>
  <c r="U381" i="20" s="1"/>
  <c r="O382" i="20"/>
  <c r="S382" i="20" s="1"/>
  <c r="R384" i="20"/>
  <c r="P384" i="20"/>
  <c r="U384" i="20" s="1"/>
  <c r="N384" i="20"/>
  <c r="T384" i="20" s="1"/>
  <c r="Q384" i="20"/>
  <c r="M386" i="20"/>
  <c r="R387" i="20"/>
  <c r="P387" i="20"/>
  <c r="U387" i="20" s="1"/>
  <c r="O387" i="20"/>
  <c r="S387" i="20" s="1"/>
  <c r="N390" i="20"/>
  <c r="T390" i="20" s="1"/>
  <c r="R390" i="20"/>
  <c r="P390" i="20"/>
  <c r="U390" i="20" s="1"/>
  <c r="M396" i="20"/>
  <c r="M400" i="20"/>
  <c r="M404" i="20"/>
  <c r="P375" i="20"/>
  <c r="U375" i="20" s="1"/>
  <c r="Q379" i="20"/>
  <c r="Q380" i="20"/>
  <c r="Q381" i="20"/>
  <c r="P382" i="20"/>
  <c r="U382" i="20" s="1"/>
  <c r="R383" i="20"/>
  <c r="P383" i="20"/>
  <c r="U383" i="20" s="1"/>
  <c r="O383" i="20"/>
  <c r="S383" i="20" s="1"/>
  <c r="Q387" i="20"/>
  <c r="Q390" i="20"/>
  <c r="P393" i="20"/>
  <c r="U393" i="20" s="1"/>
  <c r="N393" i="20"/>
  <c r="T393" i="20" s="1"/>
  <c r="Q393" i="20"/>
  <c r="V421" i="20"/>
  <c r="N386" i="20"/>
  <c r="T386" i="20" s="1"/>
  <c r="R386" i="20"/>
  <c r="P386" i="20"/>
  <c r="U386" i="20" s="1"/>
  <c r="R396" i="20"/>
  <c r="P396" i="20"/>
  <c r="U396" i="20" s="1"/>
  <c r="N396" i="20"/>
  <c r="T396" i="20" s="1"/>
  <c r="Q396" i="20"/>
  <c r="R400" i="20"/>
  <c r="P400" i="20"/>
  <c r="U400" i="20" s="1"/>
  <c r="N400" i="20"/>
  <c r="T400" i="20" s="1"/>
  <c r="Q400" i="20"/>
  <c r="R404" i="20"/>
  <c r="P404" i="20"/>
  <c r="U404" i="20" s="1"/>
  <c r="N404" i="20"/>
  <c r="T404" i="20" s="1"/>
  <c r="Q404" i="20"/>
  <c r="P426" i="20"/>
  <c r="U426" i="20" s="1"/>
  <c r="N426" i="20"/>
  <c r="T426" i="20" s="1"/>
  <c r="M426" i="20"/>
  <c r="R426" i="20"/>
  <c r="O426" i="20"/>
  <c r="S426" i="20" s="1"/>
  <c r="N377" i="20"/>
  <c r="T377" i="20" s="1"/>
  <c r="M385" i="20"/>
  <c r="Q386" i="20"/>
  <c r="P389" i="20"/>
  <c r="U389" i="20" s="1"/>
  <c r="N389" i="20"/>
  <c r="T389" i="20" s="1"/>
  <c r="Q389" i="20"/>
  <c r="V476" i="20"/>
  <c r="W476" i="20"/>
  <c r="M391" i="20"/>
  <c r="R392" i="20"/>
  <c r="P392" i="20"/>
  <c r="U392" i="20" s="1"/>
  <c r="N392" i="20"/>
  <c r="T392" i="20" s="1"/>
  <c r="Q392" i="20"/>
  <c r="M394" i="20"/>
  <c r="R395" i="20"/>
  <c r="P395" i="20"/>
  <c r="U395" i="20" s="1"/>
  <c r="O395" i="20"/>
  <c r="S395" i="20" s="1"/>
  <c r="M397" i="20"/>
  <c r="N399" i="20"/>
  <c r="T399" i="20" s="1"/>
  <c r="M401" i="20"/>
  <c r="W402" i="20"/>
  <c r="X402" i="20" s="1"/>
  <c r="N403" i="20"/>
  <c r="T403" i="20" s="1"/>
  <c r="M405" i="20"/>
  <c r="O398" i="20"/>
  <c r="S398" i="20" s="1"/>
  <c r="O402" i="20"/>
  <c r="S402" i="20" s="1"/>
  <c r="O406" i="20"/>
  <c r="S406" i="20" s="1"/>
  <c r="M407" i="20"/>
  <c r="O410" i="20"/>
  <c r="S410" i="20" s="1"/>
  <c r="M411" i="20"/>
  <c r="Q413" i="20"/>
  <c r="O414" i="20"/>
  <c r="S414" i="20" s="1"/>
  <c r="M415" i="20"/>
  <c r="Q417" i="20"/>
  <c r="O418" i="20"/>
  <c r="S418" i="20" s="1"/>
  <c r="M419" i="20"/>
  <c r="Q421" i="20"/>
  <c r="O422" i="20"/>
  <c r="S422" i="20" s="1"/>
  <c r="M423" i="20"/>
  <c r="M424" i="20"/>
  <c r="Q428" i="20"/>
  <c r="R435" i="20"/>
  <c r="R438" i="20"/>
  <c r="P438" i="20"/>
  <c r="U438" i="20" s="1"/>
  <c r="N438" i="20"/>
  <c r="T438" i="20" s="1"/>
  <c r="Q438" i="20"/>
  <c r="N452" i="20"/>
  <c r="T452" i="20" s="1"/>
  <c r="M452" i="20"/>
  <c r="R452" i="20"/>
  <c r="Q452" i="20"/>
  <c r="N468" i="20"/>
  <c r="T468" i="20" s="1"/>
  <c r="W468" i="20" s="1"/>
  <c r="M468" i="20"/>
  <c r="R468" i="20"/>
  <c r="Q468" i="20"/>
  <c r="O407" i="20"/>
  <c r="S407" i="20" s="1"/>
  <c r="O411" i="20"/>
  <c r="S411" i="20" s="1"/>
  <c r="O415" i="20"/>
  <c r="S415" i="20" s="1"/>
  <c r="O419" i="20"/>
  <c r="S419" i="20" s="1"/>
  <c r="O423" i="20"/>
  <c r="S423" i="20" s="1"/>
  <c r="O424" i="20"/>
  <c r="S424" i="20" s="1"/>
  <c r="R425" i="20"/>
  <c r="P425" i="20"/>
  <c r="U425" i="20" s="1"/>
  <c r="O425" i="20"/>
  <c r="S425" i="20" s="1"/>
  <c r="R434" i="20"/>
  <c r="P434" i="20"/>
  <c r="U434" i="20" s="1"/>
  <c r="N434" i="20"/>
  <c r="T434" i="20" s="1"/>
  <c r="Q434" i="20"/>
  <c r="R437" i="20"/>
  <c r="P437" i="20"/>
  <c r="U437" i="20" s="1"/>
  <c r="O437" i="20"/>
  <c r="S437" i="20" s="1"/>
  <c r="N440" i="20"/>
  <c r="T440" i="20" s="1"/>
  <c r="R440" i="20"/>
  <c r="Q440" i="20"/>
  <c r="P440" i="20"/>
  <c r="U440" i="20" s="1"/>
  <c r="N448" i="20"/>
  <c r="T448" i="20" s="1"/>
  <c r="V448" i="20" s="1"/>
  <c r="M448" i="20"/>
  <c r="R448" i="20"/>
  <c r="Q448" i="20"/>
  <c r="N464" i="20"/>
  <c r="T464" i="20" s="1"/>
  <c r="W464" i="20" s="1"/>
  <c r="M464" i="20"/>
  <c r="R464" i="20"/>
  <c r="Q464" i="20"/>
  <c r="V475" i="20"/>
  <c r="N476" i="20"/>
  <c r="T476" i="20" s="1"/>
  <c r="M476" i="20"/>
  <c r="R476" i="20"/>
  <c r="Q476" i="20"/>
  <c r="R398" i="20"/>
  <c r="R402" i="20"/>
  <c r="R406" i="20"/>
  <c r="P407" i="20"/>
  <c r="U407" i="20" s="1"/>
  <c r="N408" i="20"/>
  <c r="T408" i="20" s="1"/>
  <c r="R410" i="20"/>
  <c r="P411" i="20"/>
  <c r="U411" i="20" s="1"/>
  <c r="N412" i="20"/>
  <c r="T412" i="20" s="1"/>
  <c r="R414" i="20"/>
  <c r="P415" i="20"/>
  <c r="U415" i="20" s="1"/>
  <c r="N416" i="20"/>
  <c r="T416" i="20" s="1"/>
  <c r="R418" i="20"/>
  <c r="P419" i="20"/>
  <c r="U419" i="20" s="1"/>
  <c r="N420" i="20"/>
  <c r="T420" i="20" s="1"/>
  <c r="P423" i="20"/>
  <c r="U423" i="20" s="1"/>
  <c r="P424" i="20"/>
  <c r="U424" i="20" s="1"/>
  <c r="Q425" i="20"/>
  <c r="Q437" i="20"/>
  <c r="W459" i="20"/>
  <c r="X459" i="20" s="1"/>
  <c r="V460" i="20"/>
  <c r="Q407" i="20"/>
  <c r="O408" i="20"/>
  <c r="S408" i="20" s="1"/>
  <c r="Q411" i="20"/>
  <c r="O412" i="20"/>
  <c r="S412" i="20" s="1"/>
  <c r="M413" i="20"/>
  <c r="Q415" i="20"/>
  <c r="O416" i="20"/>
  <c r="S416" i="20" s="1"/>
  <c r="M417" i="20"/>
  <c r="Q419" i="20"/>
  <c r="O420" i="20"/>
  <c r="S420" i="20" s="1"/>
  <c r="M421" i="20"/>
  <c r="Q423" i="20"/>
  <c r="Q424" i="20"/>
  <c r="M428" i="20"/>
  <c r="M429" i="20"/>
  <c r="R430" i="20"/>
  <c r="P430" i="20"/>
  <c r="U430" i="20" s="1"/>
  <c r="N430" i="20"/>
  <c r="T430" i="20" s="1"/>
  <c r="Q430" i="20"/>
  <c r="M432" i="20"/>
  <c r="R433" i="20"/>
  <c r="P433" i="20"/>
  <c r="U433" i="20" s="1"/>
  <c r="O433" i="20"/>
  <c r="S433" i="20" s="1"/>
  <c r="N436" i="20"/>
  <c r="T436" i="20" s="1"/>
  <c r="R436" i="20"/>
  <c r="P436" i="20"/>
  <c r="U436" i="20" s="1"/>
  <c r="N444" i="20"/>
  <c r="T444" i="20" s="1"/>
  <c r="V444" i="20" s="1"/>
  <c r="M444" i="20"/>
  <c r="R444" i="20"/>
  <c r="Q444" i="20"/>
  <c r="X444" i="20" s="1"/>
  <c r="W444" i="20"/>
  <c r="O456" i="20"/>
  <c r="S456" i="20" s="1"/>
  <c r="N460" i="20"/>
  <c r="T460" i="20" s="1"/>
  <c r="M460" i="20"/>
  <c r="R460" i="20"/>
  <c r="Q460" i="20"/>
  <c r="X460" i="20" s="1"/>
  <c r="W460" i="20"/>
  <c r="O472" i="20"/>
  <c r="S472" i="20" s="1"/>
  <c r="P408" i="20"/>
  <c r="U408" i="20" s="1"/>
  <c r="P412" i="20"/>
  <c r="U412" i="20" s="1"/>
  <c r="N413" i="20"/>
  <c r="T413" i="20" s="1"/>
  <c r="W413" i="20" s="1"/>
  <c r="P416" i="20"/>
  <c r="U416" i="20" s="1"/>
  <c r="N417" i="20"/>
  <c r="T417" i="20" s="1"/>
  <c r="W417" i="20" s="1"/>
  <c r="P420" i="20"/>
  <c r="U420" i="20" s="1"/>
  <c r="N421" i="20"/>
  <c r="T421" i="20" s="1"/>
  <c r="W421" i="20" s="1"/>
  <c r="M427" i="20"/>
  <c r="N428" i="20"/>
  <c r="T428" i="20" s="1"/>
  <c r="Q433" i="20"/>
  <c r="Q436" i="20"/>
  <c r="P439" i="20"/>
  <c r="U439" i="20" s="1"/>
  <c r="N439" i="20"/>
  <c r="T439" i="20" s="1"/>
  <c r="Q439" i="20"/>
  <c r="V471" i="20"/>
  <c r="O413" i="20"/>
  <c r="S413" i="20" s="1"/>
  <c r="O417" i="20"/>
  <c r="S417" i="20" s="1"/>
  <c r="O421" i="20"/>
  <c r="S421" i="20" s="1"/>
  <c r="O428" i="20"/>
  <c r="S428" i="20" s="1"/>
  <c r="R429" i="20"/>
  <c r="P429" i="20"/>
  <c r="U429" i="20" s="1"/>
  <c r="O429" i="20"/>
  <c r="S429" i="20" s="1"/>
  <c r="N432" i="20"/>
  <c r="T432" i="20" s="1"/>
  <c r="R432" i="20"/>
  <c r="P432" i="20"/>
  <c r="U432" i="20" s="1"/>
  <c r="N456" i="20"/>
  <c r="T456" i="20" s="1"/>
  <c r="W456" i="20" s="1"/>
  <c r="M456" i="20"/>
  <c r="R456" i="20"/>
  <c r="Q456" i="20"/>
  <c r="N472" i="20"/>
  <c r="T472" i="20" s="1"/>
  <c r="V472" i="20" s="1"/>
  <c r="M472" i="20"/>
  <c r="R472" i="20"/>
  <c r="Q472" i="20"/>
  <c r="P427" i="20"/>
  <c r="U427" i="20" s="1"/>
  <c r="P428" i="20"/>
  <c r="U428" i="20" s="1"/>
  <c r="Q429" i="20"/>
  <c r="Q432" i="20"/>
  <c r="P435" i="20"/>
  <c r="U435" i="20" s="1"/>
  <c r="N435" i="20"/>
  <c r="T435" i="20" s="1"/>
  <c r="Q435" i="20"/>
  <c r="P452" i="20"/>
  <c r="U452" i="20" s="1"/>
  <c r="O441" i="20"/>
  <c r="S441" i="20" s="1"/>
  <c r="M442" i="20"/>
  <c r="O445" i="20"/>
  <c r="S445" i="20" s="1"/>
  <c r="M446" i="20"/>
  <c r="O449" i="20"/>
  <c r="S449" i="20" s="1"/>
  <c r="M450" i="20"/>
  <c r="O453" i="20"/>
  <c r="S453" i="20" s="1"/>
  <c r="M454" i="20"/>
  <c r="O457" i="20"/>
  <c r="S457" i="20" s="1"/>
  <c r="M458" i="20"/>
  <c r="O461" i="20"/>
  <c r="S461" i="20" s="1"/>
  <c r="M462" i="20"/>
  <c r="O465" i="20"/>
  <c r="S465" i="20" s="1"/>
  <c r="M466" i="20"/>
  <c r="O469" i="20"/>
  <c r="S469" i="20" s="1"/>
  <c r="M470" i="20"/>
  <c r="O473" i="20"/>
  <c r="S473" i="20" s="1"/>
  <c r="M474" i="20"/>
  <c r="O477" i="20"/>
  <c r="S477" i="20" s="1"/>
  <c r="P441" i="20"/>
  <c r="U441" i="20" s="1"/>
  <c r="N442" i="20"/>
  <c r="T442" i="20" s="1"/>
  <c r="P445" i="20"/>
  <c r="U445" i="20" s="1"/>
  <c r="N446" i="20"/>
  <c r="T446" i="20" s="1"/>
  <c r="P449" i="20"/>
  <c r="U449" i="20" s="1"/>
  <c r="N450" i="20"/>
  <c r="T450" i="20" s="1"/>
  <c r="P453" i="20"/>
  <c r="U453" i="20" s="1"/>
  <c r="N454" i="20"/>
  <c r="T454" i="20" s="1"/>
  <c r="P457" i="20"/>
  <c r="U457" i="20" s="1"/>
  <c r="N458" i="20"/>
  <c r="T458" i="20" s="1"/>
  <c r="P461" i="20"/>
  <c r="U461" i="20" s="1"/>
  <c r="N462" i="20"/>
  <c r="T462" i="20" s="1"/>
  <c r="P465" i="20"/>
  <c r="U465" i="20" s="1"/>
  <c r="N466" i="20"/>
  <c r="T466" i="20" s="1"/>
  <c r="P469" i="20"/>
  <c r="U469" i="20" s="1"/>
  <c r="N470" i="20"/>
  <c r="T470" i="20" s="1"/>
  <c r="P473" i="20"/>
  <c r="U473" i="20" s="1"/>
  <c r="N474" i="20"/>
  <c r="T474" i="20" s="1"/>
  <c r="P477" i="20"/>
  <c r="U477" i="20" s="1"/>
  <c r="O442" i="20"/>
  <c r="S442" i="20" s="1"/>
  <c r="M443" i="20"/>
  <c r="O446" i="20"/>
  <c r="S446" i="20" s="1"/>
  <c r="O450" i="20"/>
  <c r="S450" i="20" s="1"/>
  <c r="O454" i="20"/>
  <c r="S454" i="20" s="1"/>
  <c r="O458" i="20"/>
  <c r="S458" i="20" s="1"/>
  <c r="O462" i="20"/>
  <c r="S462" i="20" s="1"/>
  <c r="O466" i="20"/>
  <c r="S466" i="20" s="1"/>
  <c r="O470" i="20"/>
  <c r="S470" i="20" s="1"/>
  <c r="Q473" i="20"/>
  <c r="O474" i="20"/>
  <c r="S474" i="20" s="1"/>
  <c r="M475" i="20"/>
  <c r="Q477" i="20"/>
  <c r="O478" i="20"/>
  <c r="S478" i="20" s="1"/>
  <c r="M479" i="20"/>
  <c r="P442" i="20"/>
  <c r="U442" i="20" s="1"/>
  <c r="N443" i="20"/>
  <c r="T443" i="20" s="1"/>
  <c r="W443" i="20" s="1"/>
  <c r="X443" i="20" s="1"/>
  <c r="P446" i="20"/>
  <c r="U446" i="20" s="1"/>
  <c r="N447" i="20"/>
  <c r="T447" i="20" s="1"/>
  <c r="V447" i="20" s="1"/>
  <c r="P450" i="20"/>
  <c r="U450" i="20" s="1"/>
  <c r="N451" i="20"/>
  <c r="T451" i="20" s="1"/>
  <c r="W451" i="20" s="1"/>
  <c r="X451" i="20" s="1"/>
  <c r="P454" i="20"/>
  <c r="U454" i="20" s="1"/>
  <c r="N455" i="20"/>
  <c r="T455" i="20" s="1"/>
  <c r="W455" i="20" s="1"/>
  <c r="X455" i="20" s="1"/>
  <c r="P458" i="20"/>
  <c r="U458" i="20" s="1"/>
  <c r="N459" i="20"/>
  <c r="T459" i="20" s="1"/>
  <c r="V459" i="20" s="1"/>
  <c r="P462" i="20"/>
  <c r="U462" i="20" s="1"/>
  <c r="N463" i="20"/>
  <c r="T463" i="20" s="1"/>
  <c r="V463" i="20" s="1"/>
  <c r="P466" i="20"/>
  <c r="U466" i="20" s="1"/>
  <c r="N467" i="20"/>
  <c r="T467" i="20" s="1"/>
  <c r="W467" i="20" s="1"/>
  <c r="X467" i="20" s="1"/>
  <c r="P470" i="20"/>
  <c r="U470" i="20" s="1"/>
  <c r="N471" i="20"/>
  <c r="T471" i="20" s="1"/>
  <c r="W471" i="20" s="1"/>
  <c r="X471" i="20" s="1"/>
  <c r="P474" i="20"/>
  <c r="U474" i="20" s="1"/>
  <c r="N475" i="20"/>
  <c r="T475" i="20" s="1"/>
  <c r="W475" i="20" s="1"/>
  <c r="X475" i="20" s="1"/>
  <c r="P478" i="20"/>
  <c r="U478" i="20" s="1"/>
  <c r="N479" i="20"/>
  <c r="T479" i="20" s="1"/>
  <c r="W479" i="20" s="1"/>
  <c r="X479" i="20" s="1"/>
  <c r="O443" i="20"/>
  <c r="S443" i="20" s="1"/>
  <c r="Q446" i="20"/>
  <c r="O447" i="20"/>
  <c r="S447" i="20" s="1"/>
  <c r="Q450" i="20"/>
  <c r="O451" i="20"/>
  <c r="S451" i="20" s="1"/>
  <c r="Q454" i="20"/>
  <c r="O455" i="20"/>
  <c r="S455" i="20" s="1"/>
  <c r="Q458" i="20"/>
  <c r="O459" i="20"/>
  <c r="S459" i="20" s="1"/>
  <c r="Q462" i="20"/>
  <c r="O463" i="20"/>
  <c r="S463" i="20" s="1"/>
  <c r="Q466" i="20"/>
  <c r="O467" i="20"/>
  <c r="S467" i="20" s="1"/>
  <c r="Q470" i="20"/>
  <c r="O471" i="20"/>
  <c r="S471" i="20" s="1"/>
  <c r="Q474" i="20"/>
  <c r="O475" i="20"/>
  <c r="S475" i="20" s="1"/>
  <c r="Q478" i="20"/>
  <c r="O479" i="20"/>
  <c r="S479" i="20" s="1"/>
  <c r="M321" i="17"/>
  <c r="R321" i="17"/>
  <c r="Q321" i="17"/>
  <c r="M324" i="17"/>
  <c r="R324" i="17"/>
  <c r="Q324" i="17"/>
  <c r="M466" i="17"/>
  <c r="R466" i="17"/>
  <c r="Q466" i="17"/>
  <c r="M259" i="17"/>
  <c r="R259" i="17"/>
  <c r="Q259" i="17"/>
  <c r="M461" i="17"/>
  <c r="R461" i="17"/>
  <c r="Q461" i="17"/>
  <c r="M166" i="17"/>
  <c r="Q166" i="17"/>
  <c r="R166" i="17"/>
  <c r="M411" i="17"/>
  <c r="Q411" i="17"/>
  <c r="R411" i="17"/>
  <c r="M244" i="17"/>
  <c r="Q244" i="17"/>
  <c r="R244" i="17"/>
  <c r="M249" i="17"/>
  <c r="Q249" i="17"/>
  <c r="R249" i="17"/>
  <c r="M446" i="17"/>
  <c r="Q446" i="17"/>
  <c r="R446" i="17"/>
  <c r="M312" i="17"/>
  <c r="Q312" i="17"/>
  <c r="R312" i="17"/>
  <c r="M52" i="17"/>
  <c r="Q52" i="17"/>
  <c r="R52" i="17"/>
  <c r="M251" i="17"/>
  <c r="Q251" i="17"/>
  <c r="R251" i="17"/>
  <c r="M163" i="17"/>
  <c r="Q163" i="17"/>
  <c r="R163" i="17"/>
  <c r="M433" i="17"/>
  <c r="Q433" i="17"/>
  <c r="R433" i="17"/>
  <c r="M468" i="17"/>
  <c r="R468" i="17"/>
  <c r="Q468" i="17"/>
  <c r="M338" i="17"/>
  <c r="R338" i="17"/>
  <c r="Q338" i="17"/>
  <c r="M174" i="17"/>
  <c r="R174" i="17"/>
  <c r="Q174" i="17"/>
  <c r="M444" i="17"/>
  <c r="R444" i="17"/>
  <c r="Q444" i="17"/>
  <c r="M448" i="17"/>
  <c r="R448" i="17"/>
  <c r="Q448" i="17"/>
  <c r="M218" i="17"/>
  <c r="R218" i="17"/>
  <c r="Q218" i="17"/>
  <c r="M21" i="17"/>
  <c r="Q21" i="17"/>
  <c r="R21" i="17"/>
  <c r="M103" i="17"/>
  <c r="R103" i="17"/>
  <c r="Q103" i="17"/>
  <c r="M348" i="17"/>
  <c r="R348" i="17"/>
  <c r="Q348" i="17"/>
  <c r="M22" i="17"/>
  <c r="R22" i="17"/>
  <c r="Q22" i="17"/>
  <c r="M15" i="17"/>
  <c r="Q15" i="17"/>
  <c r="R15" i="17"/>
  <c r="M329" i="17"/>
  <c r="R329" i="17"/>
  <c r="Q329" i="17"/>
  <c r="M425" i="17"/>
  <c r="R425" i="17"/>
  <c r="Q425" i="17"/>
  <c r="M44" i="17"/>
  <c r="R44" i="17"/>
  <c r="Q44" i="17"/>
  <c r="M86" i="17"/>
  <c r="R86" i="17"/>
  <c r="Q86" i="17"/>
  <c r="M306" i="17"/>
  <c r="R306" i="17"/>
  <c r="Q306" i="17"/>
  <c r="M93" i="17"/>
  <c r="R93" i="17"/>
  <c r="Q93" i="17"/>
  <c r="M58" i="17"/>
  <c r="R58" i="17"/>
  <c r="Q58" i="17"/>
  <c r="M314" i="17"/>
  <c r="R314" i="17"/>
  <c r="Q314" i="17"/>
  <c r="M291" i="17"/>
  <c r="R291" i="17"/>
  <c r="Q291" i="17"/>
  <c r="M33" i="17"/>
  <c r="R33" i="17"/>
  <c r="Q33" i="17"/>
  <c r="M178" i="17"/>
  <c r="R178" i="17"/>
  <c r="Q178" i="17"/>
  <c r="M301" i="17"/>
  <c r="R301" i="17"/>
  <c r="Q301" i="17"/>
  <c r="M257" i="17"/>
  <c r="R257" i="17"/>
  <c r="Q257" i="17"/>
  <c r="M11" i="17"/>
  <c r="R11" i="17"/>
  <c r="Q11" i="17"/>
  <c r="M70" i="17"/>
  <c r="R70" i="17"/>
  <c r="Q70" i="17"/>
  <c r="M267" i="17"/>
  <c r="R267" i="17"/>
  <c r="Q267" i="17"/>
  <c r="M250" i="17"/>
  <c r="R250" i="17"/>
  <c r="Q250" i="17"/>
  <c r="M92" i="17"/>
  <c r="R92" i="17"/>
  <c r="Q92" i="17"/>
  <c r="M63" i="17"/>
  <c r="R63" i="17"/>
  <c r="Q63" i="17"/>
  <c r="M304" i="17"/>
  <c r="R304" i="17"/>
  <c r="Q304" i="17"/>
  <c r="M270" i="17"/>
  <c r="R270" i="17"/>
  <c r="Q270" i="17"/>
  <c r="M112" i="17"/>
  <c r="R112" i="17"/>
  <c r="Q112" i="17"/>
  <c r="M238" i="17"/>
  <c r="R238" i="17"/>
  <c r="Q238" i="17"/>
  <c r="M206" i="17"/>
  <c r="R206" i="17"/>
  <c r="Q206" i="17"/>
  <c r="M192" i="17"/>
  <c r="R192" i="17"/>
  <c r="Q192" i="17"/>
  <c r="M271" i="17"/>
  <c r="R271" i="17"/>
  <c r="Q271" i="17"/>
  <c r="M253" i="17"/>
  <c r="R253" i="17"/>
  <c r="Q253" i="17"/>
  <c r="M432" i="17"/>
  <c r="R432" i="17"/>
  <c r="Q432" i="17"/>
  <c r="M67" i="17"/>
  <c r="R67" i="17"/>
  <c r="Q67" i="17"/>
  <c r="M474" i="17"/>
  <c r="R474" i="17"/>
  <c r="Q474" i="17"/>
  <c r="M83" i="17"/>
  <c r="R83" i="17"/>
  <c r="Q83" i="17"/>
  <c r="M307" i="17"/>
  <c r="R307" i="17"/>
  <c r="Q307" i="17"/>
  <c r="M205" i="17"/>
  <c r="R205" i="17"/>
  <c r="Q205" i="17"/>
  <c r="M407" i="17"/>
  <c r="R407" i="17"/>
  <c r="Q407" i="17"/>
  <c r="M85" i="17"/>
  <c r="R85" i="17"/>
  <c r="Q85" i="17"/>
  <c r="M318" i="17"/>
  <c r="R318" i="17"/>
  <c r="Q318" i="17"/>
  <c r="M242" i="17"/>
  <c r="R242" i="17"/>
  <c r="Q242" i="17"/>
  <c r="M409" i="17"/>
  <c r="R409" i="17"/>
  <c r="Q409" i="17"/>
  <c r="M68" i="17"/>
  <c r="R68" i="17"/>
  <c r="Q68" i="17"/>
  <c r="M170" i="17"/>
  <c r="R170" i="17"/>
  <c r="Q170" i="17"/>
  <c r="M38" i="17"/>
  <c r="R38" i="17"/>
  <c r="Q38" i="17"/>
  <c r="M78" i="17"/>
  <c r="R78" i="17"/>
  <c r="Q78" i="17"/>
  <c r="M173" i="17"/>
  <c r="R173" i="17"/>
  <c r="Q173" i="17"/>
  <c r="M386" i="17"/>
  <c r="R386" i="17"/>
  <c r="Q386" i="17"/>
  <c r="M399" i="17"/>
  <c r="R399" i="17"/>
  <c r="Q399" i="17"/>
  <c r="M336" i="17"/>
  <c r="R336" i="17"/>
  <c r="Q336" i="17"/>
  <c r="M357" i="17"/>
  <c r="R357" i="17"/>
  <c r="Q357" i="17"/>
  <c r="M475" i="17"/>
  <c r="R475" i="17"/>
  <c r="Q475" i="17"/>
  <c r="M95" i="17"/>
  <c r="R95" i="17"/>
  <c r="Q95" i="17"/>
  <c r="M471" i="17"/>
  <c r="Q471" i="17"/>
  <c r="R471" i="17"/>
  <c r="M465" i="17"/>
  <c r="Q465" i="17"/>
  <c r="R465" i="17"/>
  <c r="M454" i="17"/>
  <c r="Q454" i="17"/>
  <c r="R454" i="17"/>
  <c r="M275" i="17"/>
  <c r="Q275" i="17"/>
  <c r="R275" i="17"/>
  <c r="M28" i="17"/>
  <c r="Q28" i="17"/>
  <c r="R28" i="17"/>
  <c r="M225" i="17"/>
  <c r="R225" i="17"/>
  <c r="Q225" i="17"/>
  <c r="M208" i="17"/>
  <c r="R208" i="17"/>
  <c r="Q208" i="17"/>
  <c r="M96" i="17"/>
  <c r="R96" i="17"/>
  <c r="Q96" i="17"/>
  <c r="M142" i="17"/>
  <c r="R142" i="17"/>
  <c r="Q142" i="17"/>
  <c r="M437" i="17"/>
  <c r="R437" i="17"/>
  <c r="Q437" i="17"/>
  <c r="M237" i="17"/>
  <c r="R237" i="17"/>
  <c r="Q237" i="17"/>
  <c r="N319" i="17"/>
  <c r="T319" i="17" s="1"/>
  <c r="R319" i="17"/>
  <c r="Q319" i="17"/>
  <c r="M57" i="17"/>
  <c r="Q57" i="17"/>
  <c r="R57" i="17"/>
  <c r="M327" i="17"/>
  <c r="Q327" i="17"/>
  <c r="R327" i="17"/>
  <c r="M383" i="17"/>
  <c r="Q383" i="17"/>
  <c r="R383" i="17"/>
  <c r="M295" i="17"/>
  <c r="R295" i="17"/>
  <c r="Q295" i="17"/>
  <c r="M154" i="17"/>
  <c r="Q154" i="17"/>
  <c r="R154" i="17"/>
  <c r="M316" i="17"/>
  <c r="Q316" i="17"/>
  <c r="R316" i="17"/>
  <c r="N320" i="17"/>
  <c r="T320" i="17" s="1"/>
  <c r="Q320" i="17"/>
  <c r="R320" i="17"/>
  <c r="M300" i="17"/>
  <c r="R300" i="17"/>
  <c r="Q300" i="17"/>
  <c r="M146" i="17"/>
  <c r="R146" i="17"/>
  <c r="Q146" i="17"/>
  <c r="M195" i="17"/>
  <c r="R195" i="17"/>
  <c r="Q195" i="17"/>
  <c r="M333" i="17"/>
  <c r="R333" i="17"/>
  <c r="Q333" i="17"/>
  <c r="M214" i="17"/>
  <c r="R214" i="17"/>
  <c r="Q214" i="17"/>
  <c r="M5" i="17"/>
  <c r="R5" i="17"/>
  <c r="Q5" i="17"/>
  <c r="M345" i="17"/>
  <c r="R345" i="17"/>
  <c r="Q345" i="17"/>
  <c r="M416" i="17"/>
  <c r="R416" i="17"/>
  <c r="Q416" i="17"/>
  <c r="M442" i="17"/>
  <c r="R442" i="17"/>
  <c r="Q442" i="17"/>
  <c r="M445" i="17"/>
  <c r="Q445" i="17"/>
  <c r="R445" i="17"/>
  <c r="M20" i="17"/>
  <c r="Q20" i="17"/>
  <c r="R20" i="17"/>
  <c r="M315" i="17"/>
  <c r="Q315" i="17"/>
  <c r="R315" i="17"/>
  <c r="M245" i="17"/>
  <c r="Q245" i="17"/>
  <c r="R245" i="17"/>
  <c r="M424" i="17"/>
  <c r="Q424" i="17"/>
  <c r="R424" i="17"/>
  <c r="M43" i="17"/>
  <c r="Q43" i="17"/>
  <c r="R43" i="17"/>
  <c r="M328" i="17"/>
  <c r="Q328" i="17"/>
  <c r="R328" i="17"/>
  <c r="M13" i="17"/>
  <c r="Q13" i="17"/>
  <c r="R13" i="17"/>
  <c r="M276" i="17"/>
  <c r="Q276" i="17"/>
  <c r="R276" i="17"/>
  <c r="M272" i="17"/>
  <c r="Q272" i="17"/>
  <c r="R272" i="17"/>
  <c r="M12" i="17"/>
  <c r="R12" i="17"/>
  <c r="Q12" i="17"/>
  <c r="M164" i="17"/>
  <c r="R164" i="17"/>
  <c r="Q164" i="17"/>
  <c r="M260" i="17"/>
  <c r="R260" i="17"/>
  <c r="Q260" i="17"/>
  <c r="M80" i="17"/>
  <c r="R80" i="17"/>
  <c r="Q80" i="17"/>
  <c r="M353" i="17"/>
  <c r="R353" i="17"/>
  <c r="Q353" i="17"/>
  <c r="M261" i="17"/>
  <c r="R261" i="17"/>
  <c r="Q261" i="17"/>
  <c r="M207" i="17"/>
  <c r="R207" i="17"/>
  <c r="Q207" i="17"/>
  <c r="M71" i="17"/>
  <c r="R71" i="17"/>
  <c r="Q71" i="17"/>
  <c r="M323" i="17"/>
  <c r="R323" i="17"/>
  <c r="Q323" i="17"/>
  <c r="M183" i="17"/>
  <c r="R183" i="17"/>
  <c r="Q183" i="17"/>
  <c r="M64" i="17"/>
  <c r="R64" i="17"/>
  <c r="Q64" i="17"/>
  <c r="M450" i="17"/>
  <c r="R450" i="17"/>
  <c r="Q450" i="17"/>
  <c r="M232" i="17"/>
  <c r="R232" i="17"/>
  <c r="Q232" i="17"/>
  <c r="M81" i="17"/>
  <c r="Q81" i="17"/>
  <c r="R81" i="17"/>
  <c r="M455" i="17"/>
  <c r="Q455" i="17"/>
  <c r="R455" i="17"/>
  <c r="M4" i="17"/>
  <c r="Q4" i="17"/>
  <c r="R4" i="17"/>
  <c r="M302" i="17"/>
  <c r="Q302" i="17"/>
  <c r="R302" i="17"/>
  <c r="M127" i="17"/>
  <c r="Q127" i="17"/>
  <c r="R127" i="17"/>
  <c r="M358" i="17"/>
  <c r="Q358" i="17"/>
  <c r="R358" i="17"/>
  <c r="M427" i="17"/>
  <c r="Q427" i="17"/>
  <c r="R427" i="17"/>
  <c r="M354" i="17"/>
  <c r="Q354" i="17"/>
  <c r="R354" i="17"/>
  <c r="M159" i="17"/>
  <c r="Q159" i="17"/>
  <c r="R159" i="17"/>
  <c r="M88" i="17"/>
  <c r="Q88" i="17"/>
  <c r="R88" i="17"/>
  <c r="M198" i="17"/>
  <c r="Q198" i="17"/>
  <c r="R198" i="17"/>
  <c r="M149" i="17"/>
  <c r="Q149" i="17"/>
  <c r="R149" i="17"/>
  <c r="M165" i="17"/>
  <c r="Q165" i="17"/>
  <c r="R165" i="17"/>
  <c r="M268" i="17"/>
  <c r="Q268" i="17"/>
  <c r="R268" i="17"/>
  <c r="M395" i="17"/>
  <c r="Q395" i="17"/>
  <c r="R395" i="17"/>
  <c r="M385" i="17"/>
  <c r="R385" i="17"/>
  <c r="M187" i="17"/>
  <c r="R187" i="17"/>
  <c r="M369" i="17"/>
  <c r="R369" i="17"/>
  <c r="M254" i="17"/>
  <c r="R254" i="17"/>
  <c r="M162" i="17"/>
  <c r="R162" i="17"/>
  <c r="M188" i="17"/>
  <c r="R188" i="17"/>
  <c r="M34" i="17"/>
  <c r="R34" i="17"/>
  <c r="M420" i="17"/>
  <c r="R420" i="17"/>
  <c r="M135" i="17"/>
  <c r="R135" i="17"/>
  <c r="M326" i="17"/>
  <c r="R326" i="17"/>
  <c r="M113" i="17"/>
  <c r="R113" i="17"/>
  <c r="M30" i="17"/>
  <c r="R30" i="17"/>
  <c r="M193" i="17"/>
  <c r="R193" i="17"/>
  <c r="M453" i="17"/>
  <c r="R453" i="17"/>
  <c r="M143" i="17"/>
  <c r="R143" i="17"/>
  <c r="M234" i="17"/>
  <c r="R234" i="17"/>
  <c r="M125" i="17"/>
  <c r="R125" i="17"/>
  <c r="M215" i="17"/>
  <c r="R215" i="17"/>
  <c r="M363" i="17"/>
  <c r="R363" i="17"/>
  <c r="M84" i="17"/>
  <c r="R84" i="17"/>
  <c r="M343" i="17"/>
  <c r="R343" i="17"/>
  <c r="M180" i="17"/>
  <c r="R180" i="17"/>
  <c r="M370" i="17"/>
  <c r="R370" i="17"/>
  <c r="M194" i="17"/>
  <c r="R194" i="17"/>
  <c r="M240" i="17"/>
  <c r="R240" i="17"/>
  <c r="M308" i="17"/>
  <c r="R308" i="17"/>
  <c r="M19" i="17"/>
  <c r="R19" i="17"/>
  <c r="M120" i="17"/>
  <c r="R120" i="17"/>
  <c r="M243" i="17"/>
  <c r="R243" i="17"/>
  <c r="M102" i="17"/>
  <c r="R102" i="17"/>
  <c r="M400" i="17"/>
  <c r="R400" i="17"/>
  <c r="M79" i="17"/>
  <c r="R79" i="17"/>
  <c r="M91" i="17"/>
  <c r="R91" i="17"/>
  <c r="M231" i="17"/>
  <c r="R231" i="17"/>
  <c r="O32" i="17"/>
  <c r="S32" i="17" s="1"/>
  <c r="P400" i="17"/>
  <c r="U400" i="17" s="1"/>
  <c r="P370" i="17"/>
  <c r="U370" i="17" s="1"/>
  <c r="P143" i="17"/>
  <c r="U143" i="17" s="1"/>
  <c r="P34" i="17"/>
  <c r="U34" i="17" s="1"/>
  <c r="P268" i="17"/>
  <c r="U268" i="17" s="1"/>
  <c r="P358" i="17"/>
  <c r="U358" i="17" s="1"/>
  <c r="Q266" i="17"/>
  <c r="Q32" i="17"/>
  <c r="Q460" i="17"/>
  <c r="Q9" i="17"/>
  <c r="Q223" i="17"/>
  <c r="Q69" i="17"/>
  <c r="Q181" i="17"/>
  <c r="Q137" i="17"/>
  <c r="Q303" i="17"/>
  <c r="Q100" i="17"/>
  <c r="Q25" i="17"/>
  <c r="Q274" i="17"/>
  <c r="Q247" i="17"/>
  <c r="Q145" i="17"/>
  <c r="Q339" i="17"/>
  <c r="Q110" i="17"/>
  <c r="Q464" i="17"/>
  <c r="Q342" i="17"/>
  <c r="Q109" i="17"/>
  <c r="Q362" i="17"/>
  <c r="Q293" i="17"/>
  <c r="Q191" i="17"/>
  <c r="Q279" i="17"/>
  <c r="Q278" i="17"/>
  <c r="Q350" i="17"/>
  <c r="Q472" i="17"/>
  <c r="Q107" i="17"/>
  <c r="Q141" i="17"/>
  <c r="Q94" i="17"/>
  <c r="Q47" i="17"/>
  <c r="Q211" i="17"/>
  <c r="Q90" i="17"/>
  <c r="Q228" i="17"/>
  <c r="Q396" i="17"/>
  <c r="R460" i="17"/>
  <c r="R181" i="17"/>
  <c r="R25" i="17"/>
  <c r="R339" i="17"/>
  <c r="R109" i="17"/>
  <c r="R279" i="17"/>
  <c r="R107" i="17"/>
  <c r="R211" i="17"/>
  <c r="R462" i="17"/>
  <c r="R186" i="17"/>
  <c r="R451" i="17"/>
  <c r="R394" i="17"/>
  <c r="O100" i="17"/>
  <c r="S100" i="17" s="1"/>
  <c r="P102" i="17"/>
  <c r="U102" i="17" s="1"/>
  <c r="P180" i="17"/>
  <c r="U180" i="17" s="1"/>
  <c r="P453" i="17"/>
  <c r="U453" i="17" s="1"/>
  <c r="P188" i="17"/>
  <c r="U188" i="17" s="1"/>
  <c r="P165" i="17"/>
  <c r="U165" i="17" s="1"/>
  <c r="P127" i="17"/>
  <c r="U127" i="17" s="1"/>
  <c r="Q231" i="17"/>
  <c r="Q91" i="17"/>
  <c r="Q79" i="17"/>
  <c r="Q400" i="17"/>
  <c r="Q102" i="17"/>
  <c r="Q243" i="17"/>
  <c r="Q120" i="17"/>
  <c r="Q19" i="17"/>
  <c r="Q308" i="17"/>
  <c r="Q240" i="17"/>
  <c r="Q194" i="17"/>
  <c r="Q370" i="17"/>
  <c r="Q180" i="17"/>
  <c r="Q343" i="17"/>
  <c r="Q84" i="17"/>
  <c r="Q363" i="17"/>
  <c r="Q215" i="17"/>
  <c r="Q125" i="17"/>
  <c r="Q234" i="17"/>
  <c r="Q143" i="17"/>
  <c r="Q453" i="17"/>
  <c r="Q193" i="17"/>
  <c r="Q30" i="17"/>
  <c r="Q113" i="17"/>
  <c r="Q326" i="17"/>
  <c r="Q135" i="17"/>
  <c r="Q420" i="17"/>
  <c r="Q34" i="17"/>
  <c r="Q188" i="17"/>
  <c r="Q162" i="17"/>
  <c r="Q254" i="17"/>
  <c r="Q369" i="17"/>
  <c r="Q187" i="17"/>
  <c r="Q385" i="17"/>
  <c r="Q419" i="17"/>
  <c r="Q89" i="17"/>
  <c r="Q337" i="17"/>
  <c r="Q40" i="17"/>
  <c r="Q344" i="17"/>
  <c r="Q175" i="17"/>
  <c r="Q313" i="17"/>
  <c r="R62" i="17"/>
  <c r="R248" i="17"/>
  <c r="R351" i="17"/>
  <c r="R99" i="17"/>
  <c r="R49" i="17"/>
  <c r="R8" i="17"/>
  <c r="R55" i="17"/>
  <c r="R45" i="17"/>
  <c r="R419" i="17"/>
  <c r="R337" i="17"/>
  <c r="R344" i="17"/>
  <c r="R313" i="17"/>
  <c r="M6" i="17"/>
  <c r="R6" i="17"/>
  <c r="Q6" i="17"/>
  <c r="M23" i="17"/>
  <c r="R23" i="17"/>
  <c r="Q23" i="17"/>
  <c r="M375" i="17"/>
  <c r="R375" i="17"/>
  <c r="Q375" i="17"/>
  <c r="M360" i="17"/>
  <c r="R360" i="17"/>
  <c r="Q360" i="17"/>
  <c r="M287" i="17"/>
  <c r="R287" i="17"/>
  <c r="Q287" i="17"/>
  <c r="M288" i="17"/>
  <c r="R288" i="17"/>
  <c r="Q288" i="17"/>
  <c r="M434" i="17"/>
  <c r="R434" i="17"/>
  <c r="Q434" i="17"/>
  <c r="M418" i="17"/>
  <c r="R418" i="17"/>
  <c r="Q418" i="17"/>
  <c r="M16" i="17"/>
  <c r="R16" i="17"/>
  <c r="Q16" i="17"/>
  <c r="M221" i="17"/>
  <c r="R221" i="17"/>
  <c r="Q221" i="17"/>
  <c r="M285" i="17"/>
  <c r="R285" i="17"/>
  <c r="Q285" i="17"/>
  <c r="M334" i="17"/>
  <c r="R334" i="17"/>
  <c r="Q334" i="17"/>
  <c r="M436" i="17"/>
  <c r="R436" i="17"/>
  <c r="Q436" i="17"/>
  <c r="M413" i="17"/>
  <c r="R413" i="17"/>
  <c r="Q413" i="17"/>
  <c r="M246" i="17"/>
  <c r="R246" i="17"/>
  <c r="Q246" i="17"/>
  <c r="M106" i="17"/>
  <c r="R106" i="17"/>
  <c r="Q106" i="17"/>
  <c r="M66" i="17"/>
  <c r="R66" i="17"/>
  <c r="M346" i="17"/>
  <c r="R346" i="17"/>
  <c r="M134" i="17"/>
  <c r="R134" i="17"/>
  <c r="M216" i="17"/>
  <c r="R216" i="17"/>
  <c r="M457" i="17"/>
  <c r="R457" i="17"/>
  <c r="M330" i="17"/>
  <c r="R330" i="17"/>
  <c r="M398" i="17"/>
  <c r="R398" i="17"/>
  <c r="M379" i="17"/>
  <c r="R379" i="17"/>
  <c r="M422" i="17"/>
  <c r="R422" i="17"/>
  <c r="M169" i="17"/>
  <c r="R169" i="17"/>
  <c r="M176" i="17"/>
  <c r="R176" i="17"/>
  <c r="M356" i="17"/>
  <c r="R356" i="17"/>
  <c r="M447" i="17"/>
  <c r="R447" i="17"/>
  <c r="M97" i="17"/>
  <c r="R97" i="17"/>
  <c r="M478" i="17"/>
  <c r="R478" i="17"/>
  <c r="M479" i="17"/>
  <c r="R479" i="17"/>
  <c r="M203" i="17"/>
  <c r="R203" i="17"/>
  <c r="M144" i="17"/>
  <c r="R144" i="17"/>
  <c r="M459" i="17"/>
  <c r="R459" i="17"/>
  <c r="M213" i="17"/>
  <c r="R213" i="17"/>
  <c r="M235" i="17"/>
  <c r="R235" i="17"/>
  <c r="M111" i="17"/>
  <c r="R111" i="17"/>
  <c r="M151" i="17"/>
  <c r="R151" i="17"/>
  <c r="M50" i="17"/>
  <c r="R50" i="17"/>
  <c r="M440" i="17"/>
  <c r="R440" i="17"/>
  <c r="M157" i="17"/>
  <c r="R157" i="17"/>
  <c r="M332" i="17"/>
  <c r="R332" i="17"/>
  <c r="M352" i="17"/>
  <c r="R352" i="17"/>
  <c r="M197" i="17"/>
  <c r="R197" i="17"/>
  <c r="M236" i="17"/>
  <c r="R236" i="17"/>
  <c r="M401" i="17"/>
  <c r="R401" i="17"/>
  <c r="M138" i="17"/>
  <c r="R138" i="17"/>
  <c r="M449" i="17"/>
  <c r="R449" i="17"/>
  <c r="M122" i="17"/>
  <c r="R122" i="17"/>
  <c r="O342" i="17"/>
  <c r="S342" i="17" s="1"/>
  <c r="P243" i="17"/>
  <c r="U243" i="17" s="1"/>
  <c r="P343" i="17"/>
  <c r="U343" i="17" s="1"/>
  <c r="P193" i="17"/>
  <c r="U193" i="17" s="1"/>
  <c r="P162" i="17"/>
  <c r="U162" i="17" s="1"/>
  <c r="P149" i="17"/>
  <c r="U149" i="17" s="1"/>
  <c r="R9" i="17"/>
  <c r="R137" i="17"/>
  <c r="R274" i="17"/>
  <c r="R110" i="17"/>
  <c r="R362" i="17"/>
  <c r="R278" i="17"/>
  <c r="R141" i="17"/>
  <c r="R90" i="17"/>
  <c r="R452" i="17"/>
  <c r="R263" i="17"/>
  <c r="R39" i="17"/>
  <c r="R414" i="17"/>
  <c r="M392" i="17"/>
  <c r="R392" i="17"/>
  <c r="M382" i="17"/>
  <c r="R382" i="17"/>
  <c r="O472" i="17"/>
  <c r="S472" i="17" s="1"/>
  <c r="P120" i="17"/>
  <c r="U120" i="17" s="1"/>
  <c r="P84" i="17"/>
  <c r="U84" i="17" s="1"/>
  <c r="P30" i="17"/>
  <c r="U30" i="17" s="1"/>
  <c r="P254" i="17"/>
  <c r="U254" i="17" s="1"/>
  <c r="P198" i="17"/>
  <c r="U198" i="17" s="1"/>
  <c r="Q452" i="17"/>
  <c r="Q54" i="17"/>
  <c r="Q263" i="17"/>
  <c r="Q121" i="17"/>
  <c r="Q39" i="17"/>
  <c r="Q220" i="17"/>
  <c r="Q414" i="17"/>
  <c r="Q2" i="17"/>
  <c r="R374" i="17"/>
  <c r="R410" i="17"/>
  <c r="R241" i="17"/>
  <c r="R118" i="17"/>
  <c r="R185" i="17"/>
  <c r="R417" i="17"/>
  <c r="R473" i="17"/>
  <c r="R361" i="17"/>
  <c r="R229" i="17"/>
  <c r="R155" i="17"/>
  <c r="R76" i="17"/>
  <c r="R258" i="17"/>
  <c r="R393" i="17"/>
  <c r="M431" i="17"/>
  <c r="Q431" i="17"/>
  <c r="R431" i="17"/>
  <c r="M262" i="17"/>
  <c r="Q262" i="17"/>
  <c r="R262" i="17"/>
  <c r="M286" i="17"/>
  <c r="Q286" i="17"/>
  <c r="R286" i="17"/>
  <c r="M219" i="17"/>
  <c r="Q219" i="17"/>
  <c r="R219" i="17"/>
  <c r="M438" i="17"/>
  <c r="Q438" i="17"/>
  <c r="R438" i="17"/>
  <c r="M252" i="17"/>
  <c r="Q252" i="17"/>
  <c r="R252" i="17"/>
  <c r="M82" i="17"/>
  <c r="Q82" i="17"/>
  <c r="R82" i="17"/>
  <c r="M210" i="17"/>
  <c r="Q210" i="17"/>
  <c r="R210" i="17"/>
  <c r="M65" i="17"/>
  <c r="Q65" i="17"/>
  <c r="R65" i="17"/>
  <c r="M365" i="17"/>
  <c r="Q365" i="17"/>
  <c r="R365" i="17"/>
  <c r="M277" i="17"/>
  <c r="Q277" i="17"/>
  <c r="R277" i="17"/>
  <c r="M281" i="17"/>
  <c r="Q281" i="17"/>
  <c r="R281" i="17"/>
  <c r="M435" i="17"/>
  <c r="Q435" i="17"/>
  <c r="R435" i="17"/>
  <c r="M296" i="17"/>
  <c r="Q296" i="17"/>
  <c r="R296" i="17"/>
  <c r="M415" i="17"/>
  <c r="Q415" i="17"/>
  <c r="R415" i="17"/>
  <c r="M167" i="17"/>
  <c r="Q167" i="17"/>
  <c r="R167" i="17"/>
  <c r="M412" i="17"/>
  <c r="Q412" i="17"/>
  <c r="R412" i="17"/>
  <c r="M199" i="17"/>
  <c r="Q199" i="17"/>
  <c r="R199" i="17"/>
  <c r="M368" i="17"/>
  <c r="Q368" i="17"/>
  <c r="R368" i="17"/>
  <c r="M227" i="17"/>
  <c r="Q227" i="17"/>
  <c r="R227" i="17"/>
  <c r="M403" i="17"/>
  <c r="R403" i="17"/>
  <c r="M139" i="17"/>
  <c r="R139" i="17"/>
  <c r="M233" i="17"/>
  <c r="R233" i="17"/>
  <c r="M355" i="17"/>
  <c r="R355" i="17"/>
  <c r="M239" i="17"/>
  <c r="R239" i="17"/>
  <c r="M376" i="17"/>
  <c r="R376" i="17"/>
  <c r="M428" i="17"/>
  <c r="R428" i="17"/>
  <c r="M347" i="17"/>
  <c r="R347" i="17"/>
  <c r="M26" i="17"/>
  <c r="R26" i="17"/>
  <c r="M184" i="17"/>
  <c r="R184" i="17"/>
  <c r="M74" i="17"/>
  <c r="R74" i="17"/>
  <c r="M48" i="17"/>
  <c r="R48" i="17"/>
  <c r="M31" i="17"/>
  <c r="R31" i="17"/>
  <c r="M202" i="17"/>
  <c r="R202" i="17"/>
  <c r="M98" i="17"/>
  <c r="R98" i="17"/>
  <c r="M463" i="17"/>
  <c r="R463" i="17"/>
  <c r="M269" i="17"/>
  <c r="R269" i="17"/>
  <c r="M126" i="17"/>
  <c r="R126" i="17"/>
  <c r="M388" i="17"/>
  <c r="R388" i="17"/>
  <c r="M46" i="17"/>
  <c r="R46" i="17"/>
  <c r="M404" i="17"/>
  <c r="R404" i="17"/>
  <c r="M131" i="17"/>
  <c r="R131" i="17"/>
  <c r="M230" i="17"/>
  <c r="R230" i="17"/>
  <c r="M439" i="17"/>
  <c r="R439" i="17"/>
  <c r="M152" i="17"/>
  <c r="R152" i="17"/>
  <c r="M317" i="17"/>
  <c r="R317" i="17"/>
  <c r="M153" i="17"/>
  <c r="R153" i="17"/>
  <c r="M391" i="17"/>
  <c r="R391" i="17"/>
  <c r="M190" i="17"/>
  <c r="R190" i="17"/>
  <c r="M77" i="17"/>
  <c r="R77" i="17"/>
  <c r="M443" i="17"/>
  <c r="R443" i="17"/>
  <c r="M299" i="17"/>
  <c r="R299" i="17"/>
  <c r="M177" i="17"/>
  <c r="R177" i="17"/>
  <c r="M10" i="17"/>
  <c r="R10" i="17"/>
  <c r="M359" i="17"/>
  <c r="R359" i="17"/>
  <c r="O396" i="17"/>
  <c r="S396" i="17" s="1"/>
  <c r="P19" i="17"/>
  <c r="U19" i="17" s="1"/>
  <c r="P363" i="17"/>
  <c r="U363" i="17" s="1"/>
  <c r="P113" i="17"/>
  <c r="U113" i="17" s="1"/>
  <c r="P369" i="17"/>
  <c r="U369" i="17" s="1"/>
  <c r="P88" i="17"/>
  <c r="U88" i="17" s="1"/>
  <c r="Q374" i="17"/>
  <c r="Q42" i="17"/>
  <c r="Q405" i="17"/>
  <c r="Q62" i="17"/>
  <c r="Q410" i="17"/>
  <c r="Q101" i="17"/>
  <c r="Q294" i="17"/>
  <c r="Q248" i="17"/>
  <c r="Q241" i="17"/>
  <c r="Q119" i="17"/>
  <c r="Q136" i="17"/>
  <c r="Q351" i="17"/>
  <c r="Q118" i="17"/>
  <c r="Q204" i="17"/>
  <c r="Q41" i="17"/>
  <c r="Q99" i="17"/>
  <c r="Q185" i="17"/>
  <c r="Q322" i="17"/>
  <c r="Q60" i="17"/>
  <c r="Q49" i="17"/>
  <c r="Q417" i="17"/>
  <c r="Q387" i="17"/>
  <c r="Q426" i="17"/>
  <c r="Q8" i="17"/>
  <c r="Q473" i="17"/>
  <c r="Q255" i="17"/>
  <c r="Q421" i="17"/>
  <c r="Q55" i="17"/>
  <c r="Q361" i="17"/>
  <c r="Q179" i="17"/>
  <c r="Q7" i="17"/>
  <c r="Q45" i="17"/>
  <c r="Q229" i="17"/>
  <c r="Q290" i="17"/>
  <c r="Q168" i="17"/>
  <c r="R266" i="17"/>
  <c r="R223" i="17"/>
  <c r="R303" i="17"/>
  <c r="R247" i="17"/>
  <c r="R464" i="17"/>
  <c r="R293" i="17"/>
  <c r="R350" i="17"/>
  <c r="R94" i="17"/>
  <c r="R228" i="17"/>
  <c r="R133" i="17"/>
  <c r="R105" i="17"/>
  <c r="R24" i="17"/>
  <c r="R371" i="17"/>
  <c r="P231" i="17"/>
  <c r="U231" i="17" s="1"/>
  <c r="P308" i="17"/>
  <c r="U308" i="17" s="1"/>
  <c r="P215" i="17"/>
  <c r="U215" i="17" s="1"/>
  <c r="P326" i="17"/>
  <c r="U326" i="17" s="1"/>
  <c r="P187" i="17"/>
  <c r="U187" i="17" s="1"/>
  <c r="P159" i="17"/>
  <c r="U159" i="17" s="1"/>
  <c r="Q359" i="17"/>
  <c r="Q10" i="17"/>
  <c r="Q177" i="17"/>
  <c r="Q299" i="17"/>
  <c r="Q443" i="17"/>
  <c r="Q77" i="17"/>
  <c r="Q190" i="17"/>
  <c r="Q391" i="17"/>
  <c r="Q153" i="17"/>
  <c r="Q317" i="17"/>
  <c r="Q152" i="17"/>
  <c r="Q439" i="17"/>
  <c r="Q230" i="17"/>
  <c r="Q131" i="17"/>
  <c r="Q404" i="17"/>
  <c r="Q46" i="17"/>
  <c r="Q388" i="17"/>
  <c r="Q126" i="17"/>
  <c r="Q269" i="17"/>
  <c r="Q463" i="17"/>
  <c r="Q98" i="17"/>
  <c r="Q202" i="17"/>
  <c r="Q31" i="17"/>
  <c r="Q48" i="17"/>
  <c r="Q74" i="17"/>
  <c r="Q184" i="17"/>
  <c r="Q26" i="17"/>
  <c r="Q347" i="17"/>
  <c r="Q428" i="17"/>
  <c r="Q376" i="17"/>
  <c r="Q239" i="17"/>
  <c r="Q355" i="17"/>
  <c r="Q233" i="17"/>
  <c r="Q139" i="17"/>
  <c r="Q403" i="17"/>
  <c r="Q155" i="17"/>
  <c r="Q298" i="17"/>
  <c r="Q76" i="17"/>
  <c r="Q108" i="17"/>
  <c r="Q258" i="17"/>
  <c r="Q456" i="17"/>
  <c r="Q393" i="17"/>
  <c r="R42" i="17"/>
  <c r="R101" i="17"/>
  <c r="R119" i="17"/>
  <c r="R204" i="17"/>
  <c r="R322" i="17"/>
  <c r="R387" i="17"/>
  <c r="R255" i="17"/>
  <c r="R179" i="17"/>
  <c r="R290" i="17"/>
  <c r="R89" i="17"/>
  <c r="R40" i="17"/>
  <c r="R175" i="17"/>
  <c r="M147" i="17"/>
  <c r="Q147" i="17"/>
  <c r="R147" i="17"/>
  <c r="M29" i="17"/>
  <c r="Q29" i="17"/>
  <c r="R29" i="17"/>
  <c r="M3" i="17"/>
  <c r="Q3" i="17"/>
  <c r="R3" i="17"/>
  <c r="M477" i="17"/>
  <c r="Q477" i="17"/>
  <c r="R477" i="17"/>
  <c r="M280" i="17"/>
  <c r="Q280" i="17"/>
  <c r="R280" i="17"/>
  <c r="M226" i="17"/>
  <c r="Q226" i="17"/>
  <c r="R226" i="17"/>
  <c r="M123" i="17"/>
  <c r="Q123" i="17"/>
  <c r="R123" i="17"/>
  <c r="M441" i="17"/>
  <c r="Q441" i="17"/>
  <c r="R441" i="17"/>
  <c r="M18" i="17"/>
  <c r="Q18" i="17"/>
  <c r="R18" i="17"/>
  <c r="M310" i="17"/>
  <c r="Q310" i="17"/>
  <c r="R310" i="17"/>
  <c r="M283" i="17"/>
  <c r="Q283" i="17"/>
  <c r="R283" i="17"/>
  <c r="M53" i="17"/>
  <c r="Q53" i="17"/>
  <c r="R53" i="17"/>
  <c r="M325" i="17"/>
  <c r="Q325" i="17"/>
  <c r="R325" i="17"/>
  <c r="M160" i="17"/>
  <c r="Q160" i="17"/>
  <c r="R160" i="17"/>
  <c r="M335" i="17"/>
  <c r="Q335" i="17"/>
  <c r="R335" i="17"/>
  <c r="M384" i="17"/>
  <c r="R384" i="17"/>
  <c r="M161" i="17"/>
  <c r="R161" i="17"/>
  <c r="M381" i="17"/>
  <c r="R381" i="17"/>
  <c r="M116" i="17"/>
  <c r="R116" i="17"/>
  <c r="M140" i="17"/>
  <c r="R140" i="17"/>
  <c r="M378" i="17"/>
  <c r="R378" i="17"/>
  <c r="M72" i="17"/>
  <c r="R72" i="17"/>
  <c r="M458" i="17"/>
  <c r="R458" i="17"/>
  <c r="M264" i="17"/>
  <c r="R264" i="17"/>
  <c r="M130" i="17"/>
  <c r="R130" i="17"/>
  <c r="M292" i="17"/>
  <c r="R292" i="17"/>
  <c r="M282" i="17"/>
  <c r="R282" i="17"/>
  <c r="M212" i="17"/>
  <c r="R212" i="17"/>
  <c r="M423" i="17"/>
  <c r="R423" i="17"/>
  <c r="M56" i="17"/>
  <c r="R56" i="17"/>
  <c r="M377" i="17"/>
  <c r="R377" i="17"/>
  <c r="M469" i="17"/>
  <c r="R469" i="17"/>
  <c r="M373" i="17"/>
  <c r="R373" i="17"/>
  <c r="M156" i="17"/>
  <c r="R156" i="17"/>
  <c r="M311" i="17"/>
  <c r="R311" i="17"/>
  <c r="M172" i="17"/>
  <c r="R172" i="17"/>
  <c r="M73" i="17"/>
  <c r="R73" i="17"/>
  <c r="M340" i="17"/>
  <c r="R340" i="17"/>
  <c r="M297" i="17"/>
  <c r="R297" i="17"/>
  <c r="M27" i="17"/>
  <c r="R27" i="17"/>
  <c r="M470" i="17"/>
  <c r="R470" i="17"/>
  <c r="M408" i="17"/>
  <c r="R408" i="17"/>
  <c r="M189" i="17"/>
  <c r="R189" i="17"/>
  <c r="M115" i="17"/>
  <c r="R115" i="17"/>
  <c r="M37" i="17"/>
  <c r="R37" i="17"/>
  <c r="M380" i="17"/>
  <c r="R380" i="17"/>
  <c r="M364" i="17"/>
  <c r="R364" i="17"/>
  <c r="M132" i="17"/>
  <c r="R132" i="17"/>
  <c r="M224" i="17"/>
  <c r="R224" i="17"/>
  <c r="M430" i="17"/>
  <c r="R430" i="17"/>
  <c r="P91" i="17"/>
  <c r="U91" i="17" s="1"/>
  <c r="P240" i="17"/>
  <c r="U240" i="17" s="1"/>
  <c r="P125" i="17"/>
  <c r="U125" i="17" s="1"/>
  <c r="P135" i="17"/>
  <c r="U135" i="17" s="1"/>
  <c r="P385" i="17"/>
  <c r="U385" i="17" s="1"/>
  <c r="P354" i="17"/>
  <c r="U354" i="17" s="1"/>
  <c r="R32" i="17"/>
  <c r="R69" i="17"/>
  <c r="R100" i="17"/>
  <c r="R145" i="17"/>
  <c r="R342" i="17"/>
  <c r="R191" i="17"/>
  <c r="R472" i="17"/>
  <c r="R47" i="17"/>
  <c r="R396" i="17"/>
  <c r="R54" i="17"/>
  <c r="R121" i="17"/>
  <c r="R220" i="17"/>
  <c r="R2" i="17"/>
  <c r="M148" i="17"/>
  <c r="R148" i="17"/>
  <c r="M104" i="17"/>
  <c r="R104" i="17"/>
  <c r="M196" i="17"/>
  <c r="R196" i="17"/>
  <c r="M402" i="17"/>
  <c r="R402" i="17"/>
  <c r="M87" i="17"/>
  <c r="R87" i="17"/>
  <c r="M467" i="17"/>
  <c r="R467" i="17"/>
  <c r="M406" i="17"/>
  <c r="R406" i="17"/>
  <c r="M171" i="17"/>
  <c r="R171" i="17"/>
  <c r="M366" i="17"/>
  <c r="R366" i="17"/>
  <c r="M14" i="17"/>
  <c r="R14" i="17"/>
  <c r="M367" i="17"/>
  <c r="R367" i="17"/>
  <c r="M289" i="17"/>
  <c r="R289" i="17"/>
  <c r="M372" i="17"/>
  <c r="R372" i="17"/>
  <c r="M397" i="17"/>
  <c r="R397" i="17"/>
  <c r="M124" i="17"/>
  <c r="R124" i="17"/>
  <c r="M341" i="17"/>
  <c r="R341" i="17"/>
  <c r="M200" i="17"/>
  <c r="R200" i="17"/>
  <c r="M117" i="17"/>
  <c r="R117" i="17"/>
  <c r="M349" i="17"/>
  <c r="R349" i="17"/>
  <c r="M128" i="17"/>
  <c r="R128" i="17"/>
  <c r="M201" i="17"/>
  <c r="R201" i="17"/>
  <c r="M273" i="17"/>
  <c r="R273" i="17"/>
  <c r="M17" i="17"/>
  <c r="R17" i="17"/>
  <c r="M59" i="17"/>
  <c r="R59" i="17"/>
  <c r="M256" i="17"/>
  <c r="R256" i="17"/>
  <c r="M265" i="17"/>
  <c r="R265" i="17"/>
  <c r="M114" i="17"/>
  <c r="R114" i="17"/>
  <c r="M284" i="17"/>
  <c r="R284" i="17"/>
  <c r="M75" i="17"/>
  <c r="R75" i="17"/>
  <c r="M331" i="17"/>
  <c r="R331" i="17"/>
  <c r="M305" i="17"/>
  <c r="R305" i="17"/>
  <c r="M150" i="17"/>
  <c r="R150" i="17"/>
  <c r="M35" i="17"/>
  <c r="R35" i="17"/>
  <c r="M222" i="17"/>
  <c r="R222" i="17"/>
  <c r="M36" i="17"/>
  <c r="R36" i="17"/>
  <c r="M389" i="17"/>
  <c r="R389" i="17"/>
  <c r="M129" i="17"/>
  <c r="R129" i="17"/>
  <c r="M390" i="17"/>
  <c r="R390" i="17"/>
  <c r="M158" i="17"/>
  <c r="R158" i="17"/>
  <c r="M51" i="17"/>
  <c r="R51" i="17"/>
  <c r="M209" i="17"/>
  <c r="R209" i="17"/>
  <c r="M182" i="17"/>
  <c r="R182" i="17"/>
  <c r="M61" i="17"/>
  <c r="R61" i="17"/>
  <c r="M429" i="17"/>
  <c r="R429" i="17"/>
  <c r="M309" i="17"/>
  <c r="R309" i="17"/>
  <c r="M476" i="17"/>
  <c r="R476" i="17"/>
  <c r="M217" i="17"/>
  <c r="R217" i="17"/>
  <c r="P79" i="17"/>
  <c r="U79" i="17" s="1"/>
  <c r="P194" i="17"/>
  <c r="U194" i="17" s="1"/>
  <c r="P234" i="17"/>
  <c r="U234" i="17" s="1"/>
  <c r="P420" i="17"/>
  <c r="U420" i="17" s="1"/>
  <c r="P395" i="17"/>
  <c r="U395" i="17" s="1"/>
  <c r="P427" i="17"/>
  <c r="U427" i="17" s="1"/>
  <c r="Q122" i="17"/>
  <c r="Q449" i="17"/>
  <c r="Q138" i="17"/>
  <c r="Q401" i="17"/>
  <c r="Q236" i="17"/>
  <c r="Q197" i="17"/>
  <c r="Q352" i="17"/>
  <c r="Q332" i="17"/>
  <c r="Q157" i="17"/>
  <c r="Q440" i="17"/>
  <c r="Q50" i="17"/>
  <c r="Q151" i="17"/>
  <c r="Q111" i="17"/>
  <c r="Q235" i="17"/>
  <c r="Q213" i="17"/>
  <c r="Q459" i="17"/>
  <c r="Q144" i="17"/>
  <c r="Q203" i="17"/>
  <c r="Q479" i="17"/>
  <c r="Q478" i="17"/>
  <c r="Q97" i="17"/>
  <c r="Q447" i="17"/>
  <c r="Q356" i="17"/>
  <c r="Q176" i="17"/>
  <c r="Q169" i="17"/>
  <c r="Q422" i="17"/>
  <c r="Q379" i="17"/>
  <c r="Q398" i="17"/>
  <c r="Q330" i="17"/>
  <c r="Q457" i="17"/>
  <c r="Q216" i="17"/>
  <c r="Q134" i="17"/>
  <c r="Q346" i="17"/>
  <c r="Q66" i="17"/>
  <c r="Q462" i="17"/>
  <c r="Q133" i="17"/>
  <c r="Q186" i="17"/>
  <c r="Q105" i="17"/>
  <c r="Q451" i="17"/>
  <c r="Q24" i="17"/>
  <c r="Q394" i="17"/>
  <c r="Q371" i="17"/>
  <c r="R405" i="17"/>
  <c r="R294" i="17"/>
  <c r="R136" i="17"/>
  <c r="R41" i="17"/>
  <c r="R60" i="17"/>
  <c r="R426" i="17"/>
  <c r="R421" i="17"/>
  <c r="R7" i="17"/>
  <c r="R168" i="17"/>
  <c r="R298" i="17"/>
  <c r="R108" i="17"/>
  <c r="R456" i="17"/>
  <c r="O266" i="17"/>
  <c r="S266" i="17" s="1"/>
  <c r="O303" i="17"/>
  <c r="S303" i="17" s="1"/>
  <c r="O464" i="17"/>
  <c r="S464" i="17" s="1"/>
  <c r="O350" i="17"/>
  <c r="S350" i="17" s="1"/>
  <c r="O228" i="17"/>
  <c r="S228" i="17" s="1"/>
  <c r="P266" i="17"/>
  <c r="U266" i="17" s="1"/>
  <c r="P32" i="17"/>
  <c r="U32" i="17" s="1"/>
  <c r="V32" i="17" s="1"/>
  <c r="P460" i="17"/>
  <c r="U460" i="17" s="1"/>
  <c r="P9" i="17"/>
  <c r="U9" i="17" s="1"/>
  <c r="P223" i="17"/>
  <c r="U223" i="17" s="1"/>
  <c r="P69" i="17"/>
  <c r="U69" i="17" s="1"/>
  <c r="P181" i="17"/>
  <c r="U181" i="17" s="1"/>
  <c r="P137" i="17"/>
  <c r="U137" i="17" s="1"/>
  <c r="P303" i="17"/>
  <c r="U303" i="17" s="1"/>
  <c r="P100" i="17"/>
  <c r="U100" i="17" s="1"/>
  <c r="V100" i="17" s="1"/>
  <c r="P25" i="17"/>
  <c r="U25" i="17" s="1"/>
  <c r="P274" i="17"/>
  <c r="U274" i="17" s="1"/>
  <c r="P247" i="17"/>
  <c r="U247" i="17" s="1"/>
  <c r="P145" i="17"/>
  <c r="U145" i="17" s="1"/>
  <c r="P339" i="17"/>
  <c r="U339" i="17" s="1"/>
  <c r="P110" i="17"/>
  <c r="U110" i="17" s="1"/>
  <c r="P464" i="17"/>
  <c r="U464" i="17" s="1"/>
  <c r="P342" i="17"/>
  <c r="U342" i="17" s="1"/>
  <c r="V342" i="17" s="1"/>
  <c r="P109" i="17"/>
  <c r="U109" i="17" s="1"/>
  <c r="P362" i="17"/>
  <c r="U362" i="17" s="1"/>
  <c r="P293" i="17"/>
  <c r="U293" i="17" s="1"/>
  <c r="P191" i="17"/>
  <c r="U191" i="17" s="1"/>
  <c r="P279" i="17"/>
  <c r="U279" i="17" s="1"/>
  <c r="P278" i="17"/>
  <c r="U278" i="17" s="1"/>
  <c r="P350" i="17"/>
  <c r="U350" i="17" s="1"/>
  <c r="P472" i="17"/>
  <c r="U472" i="17" s="1"/>
  <c r="P107" i="17"/>
  <c r="U107" i="17" s="1"/>
  <c r="P141" i="17"/>
  <c r="U141" i="17" s="1"/>
  <c r="P94" i="17"/>
  <c r="U94" i="17" s="1"/>
  <c r="P47" i="17"/>
  <c r="U47" i="17" s="1"/>
  <c r="P211" i="17"/>
  <c r="U211" i="17" s="1"/>
  <c r="P90" i="17"/>
  <c r="U90" i="17" s="1"/>
  <c r="P228" i="17"/>
  <c r="U228" i="17" s="1"/>
  <c r="P396" i="17"/>
  <c r="U396" i="17" s="1"/>
  <c r="V396" i="17" s="1"/>
  <c r="P462" i="17"/>
  <c r="U462" i="17" s="1"/>
  <c r="P452" i="17"/>
  <c r="U452" i="17" s="1"/>
  <c r="P133" i="17"/>
  <c r="U133" i="17" s="1"/>
  <c r="P54" i="17"/>
  <c r="U54" i="17" s="1"/>
  <c r="P186" i="17"/>
  <c r="U186" i="17" s="1"/>
  <c r="P263" i="17"/>
  <c r="U263" i="17" s="1"/>
  <c r="P105" i="17"/>
  <c r="U105" i="17" s="1"/>
  <c r="P121" i="17"/>
  <c r="U121" i="17" s="1"/>
  <c r="P451" i="17"/>
  <c r="U451" i="17" s="1"/>
  <c r="P39" i="17"/>
  <c r="U39" i="17" s="1"/>
  <c r="P24" i="17"/>
  <c r="U24" i="17" s="1"/>
  <c r="P220" i="17"/>
  <c r="U220" i="17" s="1"/>
  <c r="P394" i="17"/>
  <c r="U394" i="17" s="1"/>
  <c r="P414" i="17"/>
  <c r="U414" i="17" s="1"/>
  <c r="P371" i="17"/>
  <c r="U371" i="17" s="1"/>
  <c r="P2" i="17"/>
  <c r="U2" i="17" s="1"/>
  <c r="P320" i="17"/>
  <c r="U320" i="17" s="1"/>
  <c r="P316" i="17"/>
  <c r="U316" i="17" s="1"/>
  <c r="P154" i="17"/>
  <c r="U154" i="17" s="1"/>
  <c r="P295" i="17"/>
  <c r="U295" i="17" s="1"/>
  <c r="P383" i="17"/>
  <c r="U383" i="17" s="1"/>
  <c r="P327" i="17"/>
  <c r="U327" i="17" s="1"/>
  <c r="P57" i="17"/>
  <c r="U57" i="17" s="1"/>
  <c r="P319" i="17"/>
  <c r="U319" i="17" s="1"/>
  <c r="P237" i="17"/>
  <c r="U237" i="17" s="1"/>
  <c r="P302" i="17"/>
  <c r="U302" i="17" s="1"/>
  <c r="P4" i="17"/>
  <c r="U4" i="17" s="1"/>
  <c r="P455" i="17"/>
  <c r="U455" i="17" s="1"/>
  <c r="P81" i="17"/>
  <c r="U81" i="17" s="1"/>
  <c r="P433" i="17"/>
  <c r="U433" i="17" s="1"/>
  <c r="P163" i="17"/>
  <c r="U163" i="17" s="1"/>
  <c r="P251" i="17"/>
  <c r="U251" i="17" s="1"/>
  <c r="P52" i="17"/>
  <c r="U52" i="17" s="1"/>
  <c r="P312" i="17"/>
  <c r="U312" i="17" s="1"/>
  <c r="P446" i="17"/>
  <c r="U446" i="17" s="1"/>
  <c r="P249" i="17"/>
  <c r="U249" i="17" s="1"/>
  <c r="P244" i="17"/>
  <c r="U244" i="17" s="1"/>
  <c r="P411" i="17"/>
  <c r="U411" i="17" s="1"/>
  <c r="P166" i="17"/>
  <c r="U166" i="17" s="1"/>
  <c r="O460" i="17"/>
  <c r="S460" i="17" s="1"/>
  <c r="O25" i="17"/>
  <c r="S25" i="17" s="1"/>
  <c r="O109" i="17"/>
  <c r="S109" i="17" s="1"/>
  <c r="O107" i="17"/>
  <c r="S107" i="17" s="1"/>
  <c r="P382" i="17"/>
  <c r="U382" i="17" s="1"/>
  <c r="P392" i="17"/>
  <c r="U392" i="17" s="1"/>
  <c r="P173" i="17"/>
  <c r="U173" i="17" s="1"/>
  <c r="P78" i="17"/>
  <c r="U78" i="17" s="1"/>
  <c r="P38" i="17"/>
  <c r="U38" i="17" s="1"/>
  <c r="P170" i="17"/>
  <c r="U170" i="17" s="1"/>
  <c r="P68" i="17"/>
  <c r="U68" i="17" s="1"/>
  <c r="P409" i="17"/>
  <c r="U409" i="17" s="1"/>
  <c r="P242" i="17"/>
  <c r="U242" i="17" s="1"/>
  <c r="P318" i="17"/>
  <c r="U318" i="17" s="1"/>
  <c r="P85" i="17"/>
  <c r="U85" i="17" s="1"/>
  <c r="P407" i="17"/>
  <c r="U407" i="17" s="1"/>
  <c r="P95" i="17"/>
  <c r="U95" i="17" s="1"/>
  <c r="P205" i="17"/>
  <c r="U205" i="17" s="1"/>
  <c r="P307" i="17"/>
  <c r="U307" i="17" s="1"/>
  <c r="P437" i="17"/>
  <c r="U437" i="17" s="1"/>
  <c r="P475" i="17"/>
  <c r="U475" i="17" s="1"/>
  <c r="P357" i="17"/>
  <c r="U357" i="17" s="1"/>
  <c r="P83" i="17"/>
  <c r="U83" i="17" s="1"/>
  <c r="P474" i="17"/>
  <c r="U474" i="17" s="1"/>
  <c r="P336" i="17"/>
  <c r="U336" i="17" s="1"/>
  <c r="P142" i="17"/>
  <c r="U142" i="17" s="1"/>
  <c r="P67" i="17"/>
  <c r="U67" i="17" s="1"/>
  <c r="P399" i="17"/>
  <c r="U399" i="17" s="1"/>
  <c r="P96" i="17"/>
  <c r="U96" i="17" s="1"/>
  <c r="P442" i="17"/>
  <c r="U442" i="17" s="1"/>
  <c r="P432" i="17"/>
  <c r="U432" i="17" s="1"/>
  <c r="P386" i="17"/>
  <c r="U386" i="17" s="1"/>
  <c r="P416" i="17"/>
  <c r="U416" i="17" s="1"/>
  <c r="P33" i="17"/>
  <c r="U33" i="17" s="1"/>
  <c r="P291" i="17"/>
  <c r="U291" i="17" s="1"/>
  <c r="P314" i="17"/>
  <c r="U314" i="17" s="1"/>
  <c r="P338" i="17"/>
  <c r="U338" i="17" s="1"/>
  <c r="P345" i="17"/>
  <c r="U345" i="17" s="1"/>
  <c r="P468" i="17"/>
  <c r="U468" i="17" s="1"/>
  <c r="P58" i="17"/>
  <c r="U58" i="17" s="1"/>
  <c r="P253" i="17"/>
  <c r="U253" i="17" s="1"/>
  <c r="P271" i="17"/>
  <c r="U271" i="17" s="1"/>
  <c r="P5" i="17"/>
  <c r="U5" i="17" s="1"/>
  <c r="P260" i="17"/>
  <c r="U260" i="17" s="1"/>
  <c r="P461" i="17"/>
  <c r="U461" i="17" s="1"/>
  <c r="P259" i="17"/>
  <c r="U259" i="17" s="1"/>
  <c r="P466" i="17"/>
  <c r="U466" i="17" s="1"/>
  <c r="P214" i="17"/>
  <c r="U214" i="17" s="1"/>
  <c r="P333" i="17"/>
  <c r="U333" i="17" s="1"/>
  <c r="P208" i="17"/>
  <c r="U208" i="17" s="1"/>
  <c r="P192" i="17"/>
  <c r="U192" i="17" s="1"/>
  <c r="P164" i="17"/>
  <c r="U164" i="17" s="1"/>
  <c r="P324" i="17"/>
  <c r="U324" i="17" s="1"/>
  <c r="P195" i="17"/>
  <c r="U195" i="17" s="1"/>
  <c r="P321" i="17"/>
  <c r="U321" i="17" s="1"/>
  <c r="P93" i="17"/>
  <c r="U93" i="17" s="1"/>
  <c r="P306" i="17"/>
  <c r="U306" i="17" s="1"/>
  <c r="P12" i="17"/>
  <c r="U12" i="17" s="1"/>
  <c r="P206" i="17"/>
  <c r="U206" i="17" s="1"/>
  <c r="P238" i="17"/>
  <c r="U238" i="17" s="1"/>
  <c r="P86" i="17"/>
  <c r="U86" i="17" s="1"/>
  <c r="P146" i="17"/>
  <c r="U146" i="17" s="1"/>
  <c r="P300" i="17"/>
  <c r="U300" i="17" s="1"/>
  <c r="P225" i="17"/>
  <c r="U225" i="17" s="1"/>
  <c r="M107" i="17"/>
  <c r="O9" i="17"/>
  <c r="S9" i="17" s="1"/>
  <c r="O274" i="17"/>
  <c r="S274" i="17" s="1"/>
  <c r="O362" i="17"/>
  <c r="S362" i="17" s="1"/>
  <c r="O141" i="17"/>
  <c r="S141" i="17" s="1"/>
  <c r="P430" i="17"/>
  <c r="U430" i="17" s="1"/>
  <c r="P224" i="17"/>
  <c r="U224" i="17" s="1"/>
  <c r="P132" i="17"/>
  <c r="U132" i="17" s="1"/>
  <c r="P364" i="17"/>
  <c r="U364" i="17" s="1"/>
  <c r="P380" i="17"/>
  <c r="U380" i="17" s="1"/>
  <c r="P37" i="17"/>
  <c r="U37" i="17" s="1"/>
  <c r="P115" i="17"/>
  <c r="U115" i="17" s="1"/>
  <c r="P189" i="17"/>
  <c r="U189" i="17" s="1"/>
  <c r="P408" i="17"/>
  <c r="U408" i="17" s="1"/>
  <c r="P470" i="17"/>
  <c r="U470" i="17" s="1"/>
  <c r="P27" i="17"/>
  <c r="U27" i="17" s="1"/>
  <c r="P297" i="17"/>
  <c r="U297" i="17" s="1"/>
  <c r="P340" i="17"/>
  <c r="U340" i="17" s="1"/>
  <c r="P73" i="17"/>
  <c r="U73" i="17" s="1"/>
  <c r="P172" i="17"/>
  <c r="U172" i="17" s="1"/>
  <c r="P311" i="17"/>
  <c r="U311" i="17" s="1"/>
  <c r="P156" i="17"/>
  <c r="U156" i="17" s="1"/>
  <c r="P373" i="17"/>
  <c r="U373" i="17" s="1"/>
  <c r="P469" i="17"/>
  <c r="U469" i="17" s="1"/>
  <c r="P377" i="17"/>
  <c r="U377" i="17" s="1"/>
  <c r="P56" i="17"/>
  <c r="U56" i="17" s="1"/>
  <c r="P423" i="17"/>
  <c r="U423" i="17" s="1"/>
  <c r="P212" i="17"/>
  <c r="U212" i="17" s="1"/>
  <c r="P282" i="17"/>
  <c r="U282" i="17" s="1"/>
  <c r="P292" i="17"/>
  <c r="U292" i="17" s="1"/>
  <c r="P130" i="17"/>
  <c r="U130" i="17" s="1"/>
  <c r="P264" i="17"/>
  <c r="U264" i="17" s="1"/>
  <c r="P458" i="17"/>
  <c r="U458" i="17" s="1"/>
  <c r="P72" i="17"/>
  <c r="U72" i="17" s="1"/>
  <c r="P378" i="17"/>
  <c r="U378" i="17" s="1"/>
  <c r="P140" i="17"/>
  <c r="U140" i="17" s="1"/>
  <c r="P116" i="17"/>
  <c r="U116" i="17" s="1"/>
  <c r="P381" i="17"/>
  <c r="U381" i="17" s="1"/>
  <c r="P161" i="17"/>
  <c r="U161" i="17" s="1"/>
  <c r="P384" i="17"/>
  <c r="U384" i="17" s="1"/>
  <c r="P335" i="17"/>
  <c r="U335" i="17" s="1"/>
  <c r="P160" i="17"/>
  <c r="U160" i="17" s="1"/>
  <c r="P325" i="17"/>
  <c r="U325" i="17" s="1"/>
  <c r="P53" i="17"/>
  <c r="U53" i="17" s="1"/>
  <c r="P283" i="17"/>
  <c r="U283" i="17" s="1"/>
  <c r="P310" i="17"/>
  <c r="U310" i="17" s="1"/>
  <c r="P18" i="17"/>
  <c r="U18" i="17" s="1"/>
  <c r="P441" i="17"/>
  <c r="U441" i="17" s="1"/>
  <c r="P123" i="17"/>
  <c r="U123" i="17" s="1"/>
  <c r="P226" i="17"/>
  <c r="U226" i="17" s="1"/>
  <c r="P280" i="17"/>
  <c r="U280" i="17" s="1"/>
  <c r="P477" i="17"/>
  <c r="U477" i="17" s="1"/>
  <c r="P3" i="17"/>
  <c r="U3" i="17" s="1"/>
  <c r="P29" i="17"/>
  <c r="U29" i="17" s="1"/>
  <c r="P147" i="17"/>
  <c r="U147" i="17" s="1"/>
  <c r="P272" i="17"/>
  <c r="U272" i="17" s="1"/>
  <c r="P276" i="17"/>
  <c r="U276" i="17" s="1"/>
  <c r="P13" i="17"/>
  <c r="U13" i="17" s="1"/>
  <c r="P328" i="17"/>
  <c r="U328" i="17" s="1"/>
  <c r="P43" i="17"/>
  <c r="U43" i="17" s="1"/>
  <c r="P424" i="17"/>
  <c r="U424" i="17" s="1"/>
  <c r="P245" i="17"/>
  <c r="U245" i="17" s="1"/>
  <c r="P315" i="17"/>
  <c r="U315" i="17" s="1"/>
  <c r="P20" i="17"/>
  <c r="U20" i="17" s="1"/>
  <c r="P445" i="17"/>
  <c r="U445" i="17" s="1"/>
  <c r="N102" i="17"/>
  <c r="T102" i="17" s="1"/>
  <c r="O223" i="17"/>
  <c r="S223" i="17" s="1"/>
  <c r="O247" i="17"/>
  <c r="S247" i="17" s="1"/>
  <c r="O293" i="17"/>
  <c r="S293" i="17" s="1"/>
  <c r="O94" i="17"/>
  <c r="S94" i="17" s="1"/>
  <c r="P374" i="17"/>
  <c r="U374" i="17" s="1"/>
  <c r="P42" i="17"/>
  <c r="U42" i="17" s="1"/>
  <c r="P405" i="17"/>
  <c r="U405" i="17" s="1"/>
  <c r="P62" i="17"/>
  <c r="U62" i="17" s="1"/>
  <c r="P410" i="17"/>
  <c r="U410" i="17" s="1"/>
  <c r="P101" i="17"/>
  <c r="U101" i="17" s="1"/>
  <c r="P294" i="17"/>
  <c r="U294" i="17" s="1"/>
  <c r="P248" i="17"/>
  <c r="U248" i="17" s="1"/>
  <c r="P241" i="17"/>
  <c r="U241" i="17" s="1"/>
  <c r="P119" i="17"/>
  <c r="U119" i="17" s="1"/>
  <c r="P136" i="17"/>
  <c r="U136" i="17" s="1"/>
  <c r="P351" i="17"/>
  <c r="U351" i="17" s="1"/>
  <c r="P118" i="17"/>
  <c r="U118" i="17" s="1"/>
  <c r="P204" i="17"/>
  <c r="U204" i="17" s="1"/>
  <c r="P41" i="17"/>
  <c r="U41" i="17" s="1"/>
  <c r="P99" i="17"/>
  <c r="U99" i="17" s="1"/>
  <c r="P185" i="17"/>
  <c r="U185" i="17" s="1"/>
  <c r="P322" i="17"/>
  <c r="U322" i="17" s="1"/>
  <c r="P60" i="17"/>
  <c r="U60" i="17" s="1"/>
  <c r="P49" i="17"/>
  <c r="U49" i="17" s="1"/>
  <c r="P417" i="17"/>
  <c r="U417" i="17" s="1"/>
  <c r="P387" i="17"/>
  <c r="U387" i="17" s="1"/>
  <c r="P426" i="17"/>
  <c r="U426" i="17" s="1"/>
  <c r="P8" i="17"/>
  <c r="U8" i="17" s="1"/>
  <c r="P473" i="17"/>
  <c r="U473" i="17" s="1"/>
  <c r="P255" i="17"/>
  <c r="U255" i="17" s="1"/>
  <c r="P421" i="17"/>
  <c r="U421" i="17" s="1"/>
  <c r="P55" i="17"/>
  <c r="U55" i="17" s="1"/>
  <c r="P361" i="17"/>
  <c r="U361" i="17" s="1"/>
  <c r="P179" i="17"/>
  <c r="U179" i="17" s="1"/>
  <c r="P7" i="17"/>
  <c r="U7" i="17" s="1"/>
  <c r="P45" i="17"/>
  <c r="U45" i="17" s="1"/>
  <c r="P229" i="17"/>
  <c r="U229" i="17" s="1"/>
  <c r="P290" i="17"/>
  <c r="U290" i="17" s="1"/>
  <c r="P168" i="17"/>
  <c r="U168" i="17" s="1"/>
  <c r="P419" i="17"/>
  <c r="U419" i="17" s="1"/>
  <c r="P155" i="17"/>
  <c r="U155" i="17" s="1"/>
  <c r="P89" i="17"/>
  <c r="U89" i="17" s="1"/>
  <c r="P298" i="17"/>
  <c r="U298" i="17" s="1"/>
  <c r="P337" i="17"/>
  <c r="U337" i="17" s="1"/>
  <c r="P76" i="17"/>
  <c r="U76" i="17" s="1"/>
  <c r="P40" i="17"/>
  <c r="U40" i="17" s="1"/>
  <c r="P108" i="17"/>
  <c r="U108" i="17" s="1"/>
  <c r="P344" i="17"/>
  <c r="U344" i="17" s="1"/>
  <c r="P258" i="17"/>
  <c r="U258" i="17" s="1"/>
  <c r="P175" i="17"/>
  <c r="U175" i="17" s="1"/>
  <c r="P456" i="17"/>
  <c r="U456" i="17" s="1"/>
  <c r="P313" i="17"/>
  <c r="U313" i="17" s="1"/>
  <c r="P393" i="17"/>
  <c r="U393" i="17" s="1"/>
  <c r="P44" i="17"/>
  <c r="U44" i="17" s="1"/>
  <c r="P425" i="17"/>
  <c r="U425" i="17" s="1"/>
  <c r="P329" i="17"/>
  <c r="U329" i="17" s="1"/>
  <c r="P15" i="17"/>
  <c r="U15" i="17" s="1"/>
  <c r="P22" i="17"/>
  <c r="U22" i="17" s="1"/>
  <c r="P348" i="17"/>
  <c r="U348" i="17" s="1"/>
  <c r="P103" i="17"/>
  <c r="U103" i="17" s="1"/>
  <c r="P21" i="17"/>
  <c r="U21" i="17" s="1"/>
  <c r="P218" i="17"/>
  <c r="U218" i="17" s="1"/>
  <c r="P448" i="17"/>
  <c r="U448" i="17" s="1"/>
  <c r="P444" i="17"/>
  <c r="U444" i="17" s="1"/>
  <c r="N180" i="17"/>
  <c r="T180" i="17" s="1"/>
  <c r="O69" i="17"/>
  <c r="S69" i="17" s="1"/>
  <c r="O145" i="17"/>
  <c r="S145" i="17" s="1"/>
  <c r="O191" i="17"/>
  <c r="S191" i="17" s="1"/>
  <c r="O47" i="17"/>
  <c r="S47" i="17" s="1"/>
  <c r="P359" i="17"/>
  <c r="U359" i="17" s="1"/>
  <c r="P10" i="17"/>
  <c r="U10" i="17" s="1"/>
  <c r="P177" i="17"/>
  <c r="U177" i="17" s="1"/>
  <c r="P299" i="17"/>
  <c r="U299" i="17" s="1"/>
  <c r="P443" i="17"/>
  <c r="U443" i="17" s="1"/>
  <c r="P77" i="17"/>
  <c r="U77" i="17" s="1"/>
  <c r="P190" i="17"/>
  <c r="U190" i="17" s="1"/>
  <c r="P391" i="17"/>
  <c r="U391" i="17" s="1"/>
  <c r="P153" i="17"/>
  <c r="U153" i="17" s="1"/>
  <c r="P317" i="17"/>
  <c r="U317" i="17" s="1"/>
  <c r="P152" i="17"/>
  <c r="U152" i="17" s="1"/>
  <c r="P439" i="17"/>
  <c r="U439" i="17" s="1"/>
  <c r="P230" i="17"/>
  <c r="U230" i="17" s="1"/>
  <c r="P131" i="17"/>
  <c r="U131" i="17" s="1"/>
  <c r="P404" i="17"/>
  <c r="U404" i="17" s="1"/>
  <c r="P46" i="17"/>
  <c r="U46" i="17" s="1"/>
  <c r="P388" i="17"/>
  <c r="U388" i="17" s="1"/>
  <c r="P126" i="17"/>
  <c r="U126" i="17" s="1"/>
  <c r="P269" i="17"/>
  <c r="U269" i="17" s="1"/>
  <c r="P463" i="17"/>
  <c r="U463" i="17" s="1"/>
  <c r="P98" i="17"/>
  <c r="U98" i="17" s="1"/>
  <c r="P202" i="17"/>
  <c r="U202" i="17" s="1"/>
  <c r="P31" i="17"/>
  <c r="U31" i="17" s="1"/>
  <c r="P48" i="17"/>
  <c r="U48" i="17" s="1"/>
  <c r="P74" i="17"/>
  <c r="U74" i="17" s="1"/>
  <c r="P184" i="17"/>
  <c r="U184" i="17" s="1"/>
  <c r="P26" i="17"/>
  <c r="U26" i="17" s="1"/>
  <c r="P347" i="17"/>
  <c r="U347" i="17" s="1"/>
  <c r="P428" i="17"/>
  <c r="U428" i="17" s="1"/>
  <c r="P376" i="17"/>
  <c r="U376" i="17" s="1"/>
  <c r="P239" i="17"/>
  <c r="U239" i="17" s="1"/>
  <c r="P355" i="17"/>
  <c r="U355" i="17" s="1"/>
  <c r="P233" i="17"/>
  <c r="U233" i="17" s="1"/>
  <c r="P139" i="17"/>
  <c r="U139" i="17" s="1"/>
  <c r="P403" i="17"/>
  <c r="U403" i="17" s="1"/>
  <c r="P227" i="17"/>
  <c r="U227" i="17" s="1"/>
  <c r="P368" i="17"/>
  <c r="U368" i="17" s="1"/>
  <c r="P199" i="17"/>
  <c r="U199" i="17" s="1"/>
  <c r="P412" i="17"/>
  <c r="U412" i="17" s="1"/>
  <c r="P167" i="17"/>
  <c r="U167" i="17" s="1"/>
  <c r="P415" i="17"/>
  <c r="U415" i="17" s="1"/>
  <c r="P296" i="17"/>
  <c r="U296" i="17" s="1"/>
  <c r="P435" i="17"/>
  <c r="U435" i="17" s="1"/>
  <c r="P281" i="17"/>
  <c r="U281" i="17" s="1"/>
  <c r="P277" i="17"/>
  <c r="U277" i="17" s="1"/>
  <c r="P365" i="17"/>
  <c r="U365" i="17" s="1"/>
  <c r="P65" i="17"/>
  <c r="U65" i="17" s="1"/>
  <c r="P210" i="17"/>
  <c r="U210" i="17" s="1"/>
  <c r="P82" i="17"/>
  <c r="U82" i="17" s="1"/>
  <c r="P252" i="17"/>
  <c r="U252" i="17" s="1"/>
  <c r="P438" i="17"/>
  <c r="U438" i="17" s="1"/>
  <c r="P219" i="17"/>
  <c r="U219" i="17" s="1"/>
  <c r="P286" i="17"/>
  <c r="U286" i="17" s="1"/>
  <c r="P262" i="17"/>
  <c r="U262" i="17" s="1"/>
  <c r="P431" i="17"/>
  <c r="U431" i="17" s="1"/>
  <c r="P28" i="17"/>
  <c r="U28" i="17" s="1"/>
  <c r="P275" i="17"/>
  <c r="U275" i="17" s="1"/>
  <c r="P454" i="17"/>
  <c r="U454" i="17" s="1"/>
  <c r="P465" i="17"/>
  <c r="U465" i="17" s="1"/>
  <c r="P471" i="17"/>
  <c r="U471" i="17" s="1"/>
  <c r="N453" i="17"/>
  <c r="T453" i="17" s="1"/>
  <c r="O181" i="17"/>
  <c r="S181" i="17" s="1"/>
  <c r="O339" i="17"/>
  <c r="S339" i="17" s="1"/>
  <c r="O279" i="17"/>
  <c r="S279" i="17" s="1"/>
  <c r="O211" i="17"/>
  <c r="S211" i="17" s="1"/>
  <c r="P217" i="17"/>
  <c r="U217" i="17" s="1"/>
  <c r="P476" i="17"/>
  <c r="U476" i="17" s="1"/>
  <c r="P309" i="17"/>
  <c r="U309" i="17" s="1"/>
  <c r="P429" i="17"/>
  <c r="U429" i="17" s="1"/>
  <c r="P61" i="17"/>
  <c r="U61" i="17" s="1"/>
  <c r="P182" i="17"/>
  <c r="U182" i="17" s="1"/>
  <c r="P209" i="17"/>
  <c r="U209" i="17" s="1"/>
  <c r="P51" i="17"/>
  <c r="U51" i="17" s="1"/>
  <c r="P158" i="17"/>
  <c r="U158" i="17" s="1"/>
  <c r="P390" i="17"/>
  <c r="U390" i="17" s="1"/>
  <c r="P129" i="17"/>
  <c r="U129" i="17" s="1"/>
  <c r="P389" i="17"/>
  <c r="U389" i="17" s="1"/>
  <c r="P36" i="17"/>
  <c r="U36" i="17" s="1"/>
  <c r="P222" i="17"/>
  <c r="U222" i="17" s="1"/>
  <c r="P35" i="17"/>
  <c r="U35" i="17" s="1"/>
  <c r="P150" i="17"/>
  <c r="U150" i="17" s="1"/>
  <c r="P305" i="17"/>
  <c r="U305" i="17" s="1"/>
  <c r="P331" i="17"/>
  <c r="U331" i="17" s="1"/>
  <c r="P75" i="17"/>
  <c r="U75" i="17" s="1"/>
  <c r="P284" i="17"/>
  <c r="U284" i="17" s="1"/>
  <c r="P114" i="17"/>
  <c r="U114" i="17" s="1"/>
  <c r="P265" i="17"/>
  <c r="U265" i="17" s="1"/>
  <c r="P256" i="17"/>
  <c r="U256" i="17" s="1"/>
  <c r="P59" i="17"/>
  <c r="U59" i="17" s="1"/>
  <c r="P17" i="17"/>
  <c r="U17" i="17" s="1"/>
  <c r="P273" i="17"/>
  <c r="U273" i="17" s="1"/>
  <c r="P201" i="17"/>
  <c r="U201" i="17" s="1"/>
  <c r="P128" i="17"/>
  <c r="U128" i="17" s="1"/>
  <c r="P349" i="17"/>
  <c r="U349" i="17" s="1"/>
  <c r="P117" i="17"/>
  <c r="U117" i="17" s="1"/>
  <c r="P200" i="17"/>
  <c r="U200" i="17" s="1"/>
  <c r="P341" i="17"/>
  <c r="U341" i="17" s="1"/>
  <c r="P124" i="17"/>
  <c r="U124" i="17" s="1"/>
  <c r="P397" i="17"/>
  <c r="U397" i="17" s="1"/>
  <c r="P372" i="17"/>
  <c r="U372" i="17" s="1"/>
  <c r="P289" i="17"/>
  <c r="U289" i="17" s="1"/>
  <c r="P367" i="17"/>
  <c r="U367" i="17" s="1"/>
  <c r="P14" i="17"/>
  <c r="U14" i="17" s="1"/>
  <c r="P366" i="17"/>
  <c r="U366" i="17" s="1"/>
  <c r="P171" i="17"/>
  <c r="U171" i="17" s="1"/>
  <c r="P406" i="17"/>
  <c r="U406" i="17" s="1"/>
  <c r="P467" i="17"/>
  <c r="U467" i="17" s="1"/>
  <c r="P87" i="17"/>
  <c r="U87" i="17" s="1"/>
  <c r="P402" i="17"/>
  <c r="U402" i="17" s="1"/>
  <c r="P196" i="17"/>
  <c r="U196" i="17" s="1"/>
  <c r="P104" i="17"/>
  <c r="U104" i="17" s="1"/>
  <c r="P148" i="17"/>
  <c r="U148" i="17" s="1"/>
  <c r="P232" i="17"/>
  <c r="U232" i="17" s="1"/>
  <c r="P450" i="17"/>
  <c r="U450" i="17" s="1"/>
  <c r="P64" i="17"/>
  <c r="U64" i="17" s="1"/>
  <c r="P183" i="17"/>
  <c r="U183" i="17" s="1"/>
  <c r="P323" i="17"/>
  <c r="U323" i="17" s="1"/>
  <c r="P71" i="17"/>
  <c r="U71" i="17" s="1"/>
  <c r="P207" i="17"/>
  <c r="U207" i="17" s="1"/>
  <c r="P261" i="17"/>
  <c r="U261" i="17" s="1"/>
  <c r="P353" i="17"/>
  <c r="U353" i="17" s="1"/>
  <c r="P80" i="17"/>
  <c r="U80" i="17" s="1"/>
  <c r="P301" i="17"/>
  <c r="U301" i="17" s="1"/>
  <c r="P178" i="17"/>
  <c r="U178" i="17" s="1"/>
  <c r="P174" i="17"/>
  <c r="U174" i="17" s="1"/>
  <c r="N188" i="17"/>
  <c r="T188" i="17" s="1"/>
  <c r="O137" i="17"/>
  <c r="S137" i="17" s="1"/>
  <c r="O110" i="17"/>
  <c r="S110" i="17" s="1"/>
  <c r="O278" i="17"/>
  <c r="S278" i="17" s="1"/>
  <c r="O90" i="17"/>
  <c r="S90" i="17" s="1"/>
  <c r="P122" i="17"/>
  <c r="U122" i="17" s="1"/>
  <c r="P449" i="17"/>
  <c r="U449" i="17" s="1"/>
  <c r="P138" i="17"/>
  <c r="U138" i="17" s="1"/>
  <c r="P401" i="17"/>
  <c r="U401" i="17" s="1"/>
  <c r="P236" i="17"/>
  <c r="U236" i="17" s="1"/>
  <c r="P197" i="17"/>
  <c r="U197" i="17" s="1"/>
  <c r="P352" i="17"/>
  <c r="U352" i="17" s="1"/>
  <c r="P332" i="17"/>
  <c r="U332" i="17" s="1"/>
  <c r="P157" i="17"/>
  <c r="U157" i="17" s="1"/>
  <c r="P440" i="17"/>
  <c r="U440" i="17" s="1"/>
  <c r="P50" i="17"/>
  <c r="U50" i="17" s="1"/>
  <c r="P151" i="17"/>
  <c r="U151" i="17" s="1"/>
  <c r="P111" i="17"/>
  <c r="U111" i="17" s="1"/>
  <c r="P235" i="17"/>
  <c r="U235" i="17" s="1"/>
  <c r="P213" i="17"/>
  <c r="U213" i="17" s="1"/>
  <c r="P459" i="17"/>
  <c r="U459" i="17" s="1"/>
  <c r="P144" i="17"/>
  <c r="U144" i="17" s="1"/>
  <c r="P203" i="17"/>
  <c r="U203" i="17" s="1"/>
  <c r="P479" i="17"/>
  <c r="U479" i="17" s="1"/>
  <c r="P478" i="17"/>
  <c r="U478" i="17" s="1"/>
  <c r="P97" i="17"/>
  <c r="U97" i="17" s="1"/>
  <c r="P447" i="17"/>
  <c r="U447" i="17" s="1"/>
  <c r="P356" i="17"/>
  <c r="U356" i="17" s="1"/>
  <c r="P176" i="17"/>
  <c r="U176" i="17" s="1"/>
  <c r="P169" i="17"/>
  <c r="U169" i="17" s="1"/>
  <c r="P422" i="17"/>
  <c r="U422" i="17" s="1"/>
  <c r="P379" i="17"/>
  <c r="U379" i="17" s="1"/>
  <c r="P398" i="17"/>
  <c r="U398" i="17" s="1"/>
  <c r="P330" i="17"/>
  <c r="U330" i="17" s="1"/>
  <c r="P457" i="17"/>
  <c r="U457" i="17" s="1"/>
  <c r="P216" i="17"/>
  <c r="U216" i="17" s="1"/>
  <c r="P134" i="17"/>
  <c r="U134" i="17" s="1"/>
  <c r="P346" i="17"/>
  <c r="U346" i="17" s="1"/>
  <c r="P66" i="17"/>
  <c r="U66" i="17" s="1"/>
  <c r="P106" i="17"/>
  <c r="U106" i="17" s="1"/>
  <c r="P246" i="17"/>
  <c r="U246" i="17" s="1"/>
  <c r="P413" i="17"/>
  <c r="U413" i="17" s="1"/>
  <c r="P436" i="17"/>
  <c r="U436" i="17" s="1"/>
  <c r="P334" i="17"/>
  <c r="U334" i="17" s="1"/>
  <c r="P285" i="17"/>
  <c r="U285" i="17" s="1"/>
  <c r="P221" i="17"/>
  <c r="U221" i="17" s="1"/>
  <c r="P16" i="17"/>
  <c r="U16" i="17" s="1"/>
  <c r="P418" i="17"/>
  <c r="U418" i="17" s="1"/>
  <c r="P434" i="17"/>
  <c r="U434" i="17" s="1"/>
  <c r="P288" i="17"/>
  <c r="U288" i="17" s="1"/>
  <c r="P287" i="17"/>
  <c r="U287" i="17" s="1"/>
  <c r="P360" i="17"/>
  <c r="U360" i="17" s="1"/>
  <c r="P375" i="17"/>
  <c r="U375" i="17" s="1"/>
  <c r="P23" i="17"/>
  <c r="U23" i="17" s="1"/>
  <c r="P6" i="17"/>
  <c r="U6" i="17" s="1"/>
  <c r="P112" i="17"/>
  <c r="U112" i="17" s="1"/>
  <c r="P270" i="17"/>
  <c r="U270" i="17" s="1"/>
  <c r="P304" i="17"/>
  <c r="U304" i="17" s="1"/>
  <c r="P63" i="17"/>
  <c r="U63" i="17" s="1"/>
  <c r="P92" i="17"/>
  <c r="U92" i="17" s="1"/>
  <c r="P250" i="17"/>
  <c r="U250" i="17" s="1"/>
  <c r="P267" i="17"/>
  <c r="U267" i="17" s="1"/>
  <c r="P70" i="17"/>
  <c r="U70" i="17" s="1"/>
  <c r="P11" i="17"/>
  <c r="U11" i="17" s="1"/>
  <c r="P257" i="17"/>
  <c r="U257" i="17" s="1"/>
  <c r="N165" i="17"/>
  <c r="T165" i="17" s="1"/>
  <c r="O462" i="17"/>
  <c r="S462" i="17" s="1"/>
  <c r="O452" i="17"/>
  <c r="S452" i="17" s="1"/>
  <c r="O133" i="17"/>
  <c r="S133" i="17" s="1"/>
  <c r="O54" i="17"/>
  <c r="S54" i="17" s="1"/>
  <c r="O186" i="17"/>
  <c r="S186" i="17" s="1"/>
  <c r="O263" i="17"/>
  <c r="S263" i="17" s="1"/>
  <c r="O105" i="17"/>
  <c r="S105" i="17" s="1"/>
  <c r="O121" i="17"/>
  <c r="S121" i="17" s="1"/>
  <c r="O451" i="17"/>
  <c r="S451" i="17" s="1"/>
  <c r="O39" i="17"/>
  <c r="S39" i="17" s="1"/>
  <c r="O24" i="17"/>
  <c r="S24" i="17" s="1"/>
  <c r="O220" i="17"/>
  <c r="S220" i="17" s="1"/>
  <c r="O394" i="17"/>
  <c r="S394" i="17" s="1"/>
  <c r="O414" i="17"/>
  <c r="S414" i="17" s="1"/>
  <c r="O371" i="17"/>
  <c r="S371" i="17" s="1"/>
  <c r="O2" i="17"/>
  <c r="S2" i="17" s="1"/>
  <c r="O320" i="17"/>
  <c r="S320" i="17" s="1"/>
  <c r="O316" i="17"/>
  <c r="S316" i="17" s="1"/>
  <c r="O154" i="17"/>
  <c r="S154" i="17" s="1"/>
  <c r="O295" i="17"/>
  <c r="S295" i="17" s="1"/>
  <c r="O383" i="17"/>
  <c r="S383" i="17" s="1"/>
  <c r="O327" i="17"/>
  <c r="S327" i="17" s="1"/>
  <c r="O57" i="17"/>
  <c r="S57" i="17" s="1"/>
  <c r="O319" i="17"/>
  <c r="S319" i="17" s="1"/>
  <c r="O237" i="17"/>
  <c r="S237" i="17" s="1"/>
  <c r="M462" i="17"/>
  <c r="N243" i="17"/>
  <c r="T243" i="17" s="1"/>
  <c r="N343" i="17"/>
  <c r="T343" i="17" s="1"/>
  <c r="N193" i="17"/>
  <c r="T193" i="17" s="1"/>
  <c r="N162" i="17"/>
  <c r="T162" i="17" s="1"/>
  <c r="N149" i="17"/>
  <c r="T149" i="17" s="1"/>
  <c r="O231" i="17"/>
  <c r="S231" i="17" s="1"/>
  <c r="O91" i="17"/>
  <c r="S91" i="17" s="1"/>
  <c r="O79" i="17"/>
  <c r="S79" i="17" s="1"/>
  <c r="O400" i="17"/>
  <c r="S400" i="17" s="1"/>
  <c r="O102" i="17"/>
  <c r="S102" i="17" s="1"/>
  <c r="O243" i="17"/>
  <c r="S243" i="17" s="1"/>
  <c r="O120" i="17"/>
  <c r="S120" i="17" s="1"/>
  <c r="O19" i="17"/>
  <c r="S19" i="17" s="1"/>
  <c r="O308" i="17"/>
  <c r="S308" i="17" s="1"/>
  <c r="O240" i="17"/>
  <c r="S240" i="17" s="1"/>
  <c r="O194" i="17"/>
  <c r="S194" i="17" s="1"/>
  <c r="O370" i="17"/>
  <c r="S370" i="17" s="1"/>
  <c r="O180" i="17"/>
  <c r="S180" i="17" s="1"/>
  <c r="O343" i="17"/>
  <c r="S343" i="17" s="1"/>
  <c r="O84" i="17"/>
  <c r="S84" i="17" s="1"/>
  <c r="O363" i="17"/>
  <c r="S363" i="17" s="1"/>
  <c r="O215" i="17"/>
  <c r="S215" i="17" s="1"/>
  <c r="O125" i="17"/>
  <c r="S125" i="17" s="1"/>
  <c r="O234" i="17"/>
  <c r="S234" i="17" s="1"/>
  <c r="O143" i="17"/>
  <c r="S143" i="17" s="1"/>
  <c r="O453" i="17"/>
  <c r="S453" i="17" s="1"/>
  <c r="O193" i="17"/>
  <c r="S193" i="17" s="1"/>
  <c r="O30" i="17"/>
  <c r="S30" i="17" s="1"/>
  <c r="O113" i="17"/>
  <c r="S113" i="17" s="1"/>
  <c r="O326" i="17"/>
  <c r="S326" i="17" s="1"/>
  <c r="O135" i="17"/>
  <c r="S135" i="17" s="1"/>
  <c r="O420" i="17"/>
  <c r="S420" i="17" s="1"/>
  <c r="O34" i="17"/>
  <c r="S34" i="17" s="1"/>
  <c r="O188" i="17"/>
  <c r="S188" i="17" s="1"/>
  <c r="O162" i="17"/>
  <c r="S162" i="17" s="1"/>
  <c r="O254" i="17"/>
  <c r="S254" i="17" s="1"/>
  <c r="O369" i="17"/>
  <c r="S369" i="17" s="1"/>
  <c r="O187" i="17"/>
  <c r="S187" i="17" s="1"/>
  <c r="O385" i="17"/>
  <c r="S385" i="17" s="1"/>
  <c r="O395" i="17"/>
  <c r="S395" i="17" s="1"/>
  <c r="O268" i="17"/>
  <c r="S268" i="17" s="1"/>
  <c r="O165" i="17"/>
  <c r="S165" i="17" s="1"/>
  <c r="O149" i="17"/>
  <c r="S149" i="17" s="1"/>
  <c r="O198" i="17"/>
  <c r="S198" i="17" s="1"/>
  <c r="O88" i="17"/>
  <c r="S88" i="17" s="1"/>
  <c r="O159" i="17"/>
  <c r="S159" i="17" s="1"/>
  <c r="O354" i="17"/>
  <c r="S354" i="17" s="1"/>
  <c r="O427" i="17"/>
  <c r="S427" i="17" s="1"/>
  <c r="O358" i="17"/>
  <c r="S358" i="17" s="1"/>
  <c r="O127" i="17"/>
  <c r="S127" i="17" s="1"/>
  <c r="O302" i="17"/>
  <c r="S302" i="17" s="1"/>
  <c r="O4" i="17"/>
  <c r="S4" i="17" s="1"/>
  <c r="O455" i="17"/>
  <c r="S455" i="17" s="1"/>
  <c r="O81" i="17"/>
  <c r="S81" i="17" s="1"/>
  <c r="O433" i="17"/>
  <c r="S433" i="17" s="1"/>
  <c r="O163" i="17"/>
  <c r="S163" i="17" s="1"/>
  <c r="O251" i="17"/>
  <c r="S251" i="17" s="1"/>
  <c r="O52" i="17"/>
  <c r="S52" i="17" s="1"/>
  <c r="O312" i="17"/>
  <c r="S312" i="17" s="1"/>
  <c r="O446" i="17"/>
  <c r="S446" i="17" s="1"/>
  <c r="O249" i="17"/>
  <c r="S249" i="17" s="1"/>
  <c r="O244" i="17"/>
  <c r="S244" i="17" s="1"/>
  <c r="O411" i="17"/>
  <c r="S411" i="17" s="1"/>
  <c r="O166" i="17"/>
  <c r="S166" i="17" s="1"/>
  <c r="M451" i="17"/>
  <c r="N120" i="17"/>
  <c r="T120" i="17" s="1"/>
  <c r="N84" i="17"/>
  <c r="T84" i="17" s="1"/>
  <c r="N30" i="17"/>
  <c r="T30" i="17" s="1"/>
  <c r="N254" i="17"/>
  <c r="T254" i="17" s="1"/>
  <c r="O382" i="17"/>
  <c r="S382" i="17" s="1"/>
  <c r="O392" i="17"/>
  <c r="S392" i="17" s="1"/>
  <c r="O173" i="17"/>
  <c r="S173" i="17" s="1"/>
  <c r="O78" i="17"/>
  <c r="S78" i="17" s="1"/>
  <c r="O38" i="17"/>
  <c r="S38" i="17" s="1"/>
  <c r="O170" i="17"/>
  <c r="S170" i="17" s="1"/>
  <c r="O68" i="17"/>
  <c r="S68" i="17" s="1"/>
  <c r="O409" i="17"/>
  <c r="S409" i="17" s="1"/>
  <c r="O242" i="17"/>
  <c r="S242" i="17" s="1"/>
  <c r="O318" i="17"/>
  <c r="S318" i="17" s="1"/>
  <c r="O85" i="17"/>
  <c r="S85" i="17" s="1"/>
  <c r="O407" i="17"/>
  <c r="S407" i="17" s="1"/>
  <c r="O95" i="17"/>
  <c r="S95" i="17" s="1"/>
  <c r="O205" i="17"/>
  <c r="S205" i="17" s="1"/>
  <c r="O307" i="17"/>
  <c r="S307" i="17" s="1"/>
  <c r="O437" i="17"/>
  <c r="S437" i="17" s="1"/>
  <c r="O475" i="17"/>
  <c r="S475" i="17" s="1"/>
  <c r="O357" i="17"/>
  <c r="S357" i="17" s="1"/>
  <c r="O83" i="17"/>
  <c r="S83" i="17" s="1"/>
  <c r="O474" i="17"/>
  <c r="S474" i="17" s="1"/>
  <c r="O336" i="17"/>
  <c r="S336" i="17" s="1"/>
  <c r="O142" i="17"/>
  <c r="S142" i="17" s="1"/>
  <c r="O67" i="17"/>
  <c r="S67" i="17" s="1"/>
  <c r="O399" i="17"/>
  <c r="S399" i="17" s="1"/>
  <c r="O96" i="17"/>
  <c r="S96" i="17" s="1"/>
  <c r="O442" i="17"/>
  <c r="S442" i="17" s="1"/>
  <c r="O432" i="17"/>
  <c r="S432" i="17" s="1"/>
  <c r="O386" i="17"/>
  <c r="S386" i="17" s="1"/>
  <c r="O416" i="17"/>
  <c r="S416" i="17" s="1"/>
  <c r="O33" i="17"/>
  <c r="S33" i="17" s="1"/>
  <c r="O291" i="17"/>
  <c r="S291" i="17" s="1"/>
  <c r="O314" i="17"/>
  <c r="S314" i="17" s="1"/>
  <c r="O338" i="17"/>
  <c r="S338" i="17" s="1"/>
  <c r="O345" i="17"/>
  <c r="S345" i="17" s="1"/>
  <c r="O468" i="17"/>
  <c r="S468" i="17" s="1"/>
  <c r="O58" i="17"/>
  <c r="S58" i="17" s="1"/>
  <c r="O253" i="17"/>
  <c r="S253" i="17" s="1"/>
  <c r="O271" i="17"/>
  <c r="S271" i="17" s="1"/>
  <c r="O5" i="17"/>
  <c r="S5" i="17" s="1"/>
  <c r="O260" i="17"/>
  <c r="S260" i="17" s="1"/>
  <c r="O461" i="17"/>
  <c r="S461" i="17" s="1"/>
  <c r="O259" i="17"/>
  <c r="S259" i="17" s="1"/>
  <c r="O466" i="17"/>
  <c r="S466" i="17" s="1"/>
  <c r="O214" i="17"/>
  <c r="S214" i="17" s="1"/>
  <c r="O333" i="17"/>
  <c r="S333" i="17" s="1"/>
  <c r="O208" i="17"/>
  <c r="S208" i="17" s="1"/>
  <c r="O192" i="17"/>
  <c r="S192" i="17" s="1"/>
  <c r="O164" i="17"/>
  <c r="S164" i="17" s="1"/>
  <c r="O324" i="17"/>
  <c r="S324" i="17" s="1"/>
  <c r="O195" i="17"/>
  <c r="S195" i="17" s="1"/>
  <c r="O321" i="17"/>
  <c r="S321" i="17" s="1"/>
  <c r="O93" i="17"/>
  <c r="S93" i="17" s="1"/>
  <c r="O306" i="17"/>
  <c r="S306" i="17" s="1"/>
  <c r="O12" i="17"/>
  <c r="S12" i="17" s="1"/>
  <c r="O206" i="17"/>
  <c r="S206" i="17" s="1"/>
  <c r="O238" i="17"/>
  <c r="S238" i="17" s="1"/>
  <c r="O86" i="17"/>
  <c r="S86" i="17" s="1"/>
  <c r="O146" i="17"/>
  <c r="S146" i="17" s="1"/>
  <c r="O300" i="17"/>
  <c r="S300" i="17" s="1"/>
  <c r="O225" i="17"/>
  <c r="S225" i="17" s="1"/>
  <c r="M320" i="17"/>
  <c r="N19" i="17"/>
  <c r="T19" i="17" s="1"/>
  <c r="N363" i="17"/>
  <c r="T363" i="17" s="1"/>
  <c r="N113" i="17"/>
  <c r="T113" i="17" s="1"/>
  <c r="N369" i="17"/>
  <c r="T369" i="17" s="1"/>
  <c r="O430" i="17"/>
  <c r="S430" i="17" s="1"/>
  <c r="O224" i="17"/>
  <c r="S224" i="17" s="1"/>
  <c r="O132" i="17"/>
  <c r="S132" i="17" s="1"/>
  <c r="O364" i="17"/>
  <c r="S364" i="17" s="1"/>
  <c r="O380" i="17"/>
  <c r="S380" i="17" s="1"/>
  <c r="O37" i="17"/>
  <c r="S37" i="17" s="1"/>
  <c r="O115" i="17"/>
  <c r="S115" i="17" s="1"/>
  <c r="O189" i="17"/>
  <c r="S189" i="17" s="1"/>
  <c r="O408" i="17"/>
  <c r="S408" i="17" s="1"/>
  <c r="O470" i="17"/>
  <c r="S470" i="17" s="1"/>
  <c r="O27" i="17"/>
  <c r="S27" i="17" s="1"/>
  <c r="O297" i="17"/>
  <c r="S297" i="17" s="1"/>
  <c r="O340" i="17"/>
  <c r="S340" i="17" s="1"/>
  <c r="O73" i="17"/>
  <c r="S73" i="17" s="1"/>
  <c r="O172" i="17"/>
  <c r="S172" i="17" s="1"/>
  <c r="O311" i="17"/>
  <c r="S311" i="17" s="1"/>
  <c r="O156" i="17"/>
  <c r="S156" i="17" s="1"/>
  <c r="O373" i="17"/>
  <c r="S373" i="17" s="1"/>
  <c r="O469" i="17"/>
  <c r="S469" i="17" s="1"/>
  <c r="O377" i="17"/>
  <c r="S377" i="17" s="1"/>
  <c r="O56" i="17"/>
  <c r="S56" i="17" s="1"/>
  <c r="O423" i="17"/>
  <c r="S423" i="17" s="1"/>
  <c r="O212" i="17"/>
  <c r="S212" i="17" s="1"/>
  <c r="O282" i="17"/>
  <c r="S282" i="17" s="1"/>
  <c r="O292" i="17"/>
  <c r="S292" i="17" s="1"/>
  <c r="O130" i="17"/>
  <c r="S130" i="17" s="1"/>
  <c r="O264" i="17"/>
  <c r="S264" i="17" s="1"/>
  <c r="O458" i="17"/>
  <c r="S458" i="17" s="1"/>
  <c r="O72" i="17"/>
  <c r="S72" i="17" s="1"/>
  <c r="O378" i="17"/>
  <c r="S378" i="17" s="1"/>
  <c r="O140" i="17"/>
  <c r="S140" i="17" s="1"/>
  <c r="O116" i="17"/>
  <c r="S116" i="17" s="1"/>
  <c r="O381" i="17"/>
  <c r="S381" i="17" s="1"/>
  <c r="O161" i="17"/>
  <c r="S161" i="17" s="1"/>
  <c r="O384" i="17"/>
  <c r="S384" i="17" s="1"/>
  <c r="O335" i="17"/>
  <c r="S335" i="17" s="1"/>
  <c r="O160" i="17"/>
  <c r="S160" i="17" s="1"/>
  <c r="O325" i="17"/>
  <c r="S325" i="17" s="1"/>
  <c r="O53" i="17"/>
  <c r="S53" i="17" s="1"/>
  <c r="O283" i="17"/>
  <c r="S283" i="17" s="1"/>
  <c r="O310" i="17"/>
  <c r="S310" i="17" s="1"/>
  <c r="O18" i="17"/>
  <c r="S18" i="17" s="1"/>
  <c r="O441" i="17"/>
  <c r="S441" i="17" s="1"/>
  <c r="O123" i="17"/>
  <c r="S123" i="17" s="1"/>
  <c r="O226" i="17"/>
  <c r="S226" i="17" s="1"/>
  <c r="O280" i="17"/>
  <c r="S280" i="17" s="1"/>
  <c r="O477" i="17"/>
  <c r="S477" i="17" s="1"/>
  <c r="O3" i="17"/>
  <c r="S3" i="17" s="1"/>
  <c r="O29" i="17"/>
  <c r="S29" i="17" s="1"/>
  <c r="O147" i="17"/>
  <c r="S147" i="17" s="1"/>
  <c r="O272" i="17"/>
  <c r="S272" i="17" s="1"/>
  <c r="O276" i="17"/>
  <c r="S276" i="17" s="1"/>
  <c r="O13" i="17"/>
  <c r="S13" i="17" s="1"/>
  <c r="O328" i="17"/>
  <c r="S328" i="17" s="1"/>
  <c r="O43" i="17"/>
  <c r="S43" i="17" s="1"/>
  <c r="O424" i="17"/>
  <c r="S424" i="17" s="1"/>
  <c r="O245" i="17"/>
  <c r="S245" i="17" s="1"/>
  <c r="O315" i="17"/>
  <c r="S315" i="17" s="1"/>
  <c r="O20" i="17"/>
  <c r="S20" i="17" s="1"/>
  <c r="O445" i="17"/>
  <c r="S445" i="17" s="1"/>
  <c r="N231" i="17"/>
  <c r="T231" i="17" s="1"/>
  <c r="N308" i="17"/>
  <c r="T308" i="17" s="1"/>
  <c r="N215" i="17"/>
  <c r="T215" i="17" s="1"/>
  <c r="N326" i="17"/>
  <c r="T326" i="17" s="1"/>
  <c r="N187" i="17"/>
  <c r="T187" i="17" s="1"/>
  <c r="O374" i="17"/>
  <c r="S374" i="17" s="1"/>
  <c r="O42" i="17"/>
  <c r="S42" i="17" s="1"/>
  <c r="O405" i="17"/>
  <c r="S405" i="17" s="1"/>
  <c r="O62" i="17"/>
  <c r="S62" i="17" s="1"/>
  <c r="O410" i="17"/>
  <c r="S410" i="17" s="1"/>
  <c r="O101" i="17"/>
  <c r="S101" i="17" s="1"/>
  <c r="O294" i="17"/>
  <c r="S294" i="17" s="1"/>
  <c r="O248" i="17"/>
  <c r="S248" i="17" s="1"/>
  <c r="O241" i="17"/>
  <c r="S241" i="17" s="1"/>
  <c r="O119" i="17"/>
  <c r="S119" i="17" s="1"/>
  <c r="O136" i="17"/>
  <c r="S136" i="17" s="1"/>
  <c r="O351" i="17"/>
  <c r="S351" i="17" s="1"/>
  <c r="O118" i="17"/>
  <c r="S118" i="17" s="1"/>
  <c r="O204" i="17"/>
  <c r="S204" i="17" s="1"/>
  <c r="O41" i="17"/>
  <c r="S41" i="17" s="1"/>
  <c r="O99" i="17"/>
  <c r="S99" i="17" s="1"/>
  <c r="O185" i="17"/>
  <c r="S185" i="17" s="1"/>
  <c r="O322" i="17"/>
  <c r="S322" i="17" s="1"/>
  <c r="O60" i="17"/>
  <c r="S60" i="17" s="1"/>
  <c r="O49" i="17"/>
  <c r="S49" i="17" s="1"/>
  <c r="O417" i="17"/>
  <c r="S417" i="17" s="1"/>
  <c r="O387" i="17"/>
  <c r="S387" i="17" s="1"/>
  <c r="O426" i="17"/>
  <c r="S426" i="17" s="1"/>
  <c r="O8" i="17"/>
  <c r="S8" i="17" s="1"/>
  <c r="O473" i="17"/>
  <c r="S473" i="17" s="1"/>
  <c r="O255" i="17"/>
  <c r="S255" i="17" s="1"/>
  <c r="O421" i="17"/>
  <c r="S421" i="17" s="1"/>
  <c r="O55" i="17"/>
  <c r="S55" i="17" s="1"/>
  <c r="O361" i="17"/>
  <c r="S361" i="17" s="1"/>
  <c r="O179" i="17"/>
  <c r="S179" i="17" s="1"/>
  <c r="O7" i="17"/>
  <c r="S7" i="17" s="1"/>
  <c r="O45" i="17"/>
  <c r="S45" i="17" s="1"/>
  <c r="O229" i="17"/>
  <c r="S229" i="17" s="1"/>
  <c r="O290" i="17"/>
  <c r="S290" i="17" s="1"/>
  <c r="O168" i="17"/>
  <c r="S168" i="17" s="1"/>
  <c r="O419" i="17"/>
  <c r="S419" i="17" s="1"/>
  <c r="O155" i="17"/>
  <c r="S155" i="17" s="1"/>
  <c r="O89" i="17"/>
  <c r="S89" i="17" s="1"/>
  <c r="O298" i="17"/>
  <c r="S298" i="17" s="1"/>
  <c r="O337" i="17"/>
  <c r="S337" i="17" s="1"/>
  <c r="O76" i="17"/>
  <c r="S76" i="17" s="1"/>
  <c r="O40" i="17"/>
  <c r="S40" i="17" s="1"/>
  <c r="O108" i="17"/>
  <c r="S108" i="17" s="1"/>
  <c r="O344" i="17"/>
  <c r="S344" i="17" s="1"/>
  <c r="O258" i="17"/>
  <c r="S258" i="17" s="1"/>
  <c r="O175" i="17"/>
  <c r="S175" i="17" s="1"/>
  <c r="O456" i="17"/>
  <c r="S456" i="17" s="1"/>
  <c r="O313" i="17"/>
  <c r="S313" i="17" s="1"/>
  <c r="O393" i="17"/>
  <c r="S393" i="17" s="1"/>
  <c r="O44" i="17"/>
  <c r="S44" i="17" s="1"/>
  <c r="O425" i="17"/>
  <c r="S425" i="17" s="1"/>
  <c r="O329" i="17"/>
  <c r="S329" i="17" s="1"/>
  <c r="O15" i="17"/>
  <c r="S15" i="17" s="1"/>
  <c r="O22" i="17"/>
  <c r="S22" i="17" s="1"/>
  <c r="O348" i="17"/>
  <c r="S348" i="17" s="1"/>
  <c r="O103" i="17"/>
  <c r="S103" i="17" s="1"/>
  <c r="O21" i="17"/>
  <c r="S21" i="17" s="1"/>
  <c r="O218" i="17"/>
  <c r="S218" i="17" s="1"/>
  <c r="O448" i="17"/>
  <c r="S448" i="17" s="1"/>
  <c r="O444" i="17"/>
  <c r="S444" i="17" s="1"/>
  <c r="M460" i="17"/>
  <c r="N91" i="17"/>
  <c r="T91" i="17" s="1"/>
  <c r="N240" i="17"/>
  <c r="T240" i="17" s="1"/>
  <c r="N125" i="17"/>
  <c r="T125" i="17" s="1"/>
  <c r="N135" i="17"/>
  <c r="T135" i="17" s="1"/>
  <c r="N385" i="17"/>
  <c r="T385" i="17" s="1"/>
  <c r="O359" i="17"/>
  <c r="S359" i="17" s="1"/>
  <c r="O10" i="17"/>
  <c r="S10" i="17" s="1"/>
  <c r="O177" i="17"/>
  <c r="S177" i="17" s="1"/>
  <c r="O299" i="17"/>
  <c r="S299" i="17" s="1"/>
  <c r="O443" i="17"/>
  <c r="S443" i="17" s="1"/>
  <c r="O77" i="17"/>
  <c r="S77" i="17" s="1"/>
  <c r="O190" i="17"/>
  <c r="S190" i="17" s="1"/>
  <c r="O391" i="17"/>
  <c r="S391" i="17" s="1"/>
  <c r="O153" i="17"/>
  <c r="S153" i="17" s="1"/>
  <c r="O317" i="17"/>
  <c r="S317" i="17" s="1"/>
  <c r="O152" i="17"/>
  <c r="S152" i="17" s="1"/>
  <c r="O439" i="17"/>
  <c r="S439" i="17" s="1"/>
  <c r="O230" i="17"/>
  <c r="S230" i="17" s="1"/>
  <c r="O131" i="17"/>
  <c r="S131" i="17" s="1"/>
  <c r="O404" i="17"/>
  <c r="S404" i="17" s="1"/>
  <c r="O46" i="17"/>
  <c r="S46" i="17" s="1"/>
  <c r="O388" i="17"/>
  <c r="S388" i="17" s="1"/>
  <c r="O126" i="17"/>
  <c r="S126" i="17" s="1"/>
  <c r="O269" i="17"/>
  <c r="S269" i="17" s="1"/>
  <c r="O463" i="17"/>
  <c r="S463" i="17" s="1"/>
  <c r="O98" i="17"/>
  <c r="S98" i="17" s="1"/>
  <c r="O202" i="17"/>
  <c r="S202" i="17" s="1"/>
  <c r="O31" i="17"/>
  <c r="S31" i="17" s="1"/>
  <c r="O48" i="17"/>
  <c r="S48" i="17" s="1"/>
  <c r="O74" i="17"/>
  <c r="S74" i="17" s="1"/>
  <c r="O184" i="17"/>
  <c r="S184" i="17" s="1"/>
  <c r="O26" i="17"/>
  <c r="S26" i="17" s="1"/>
  <c r="O347" i="17"/>
  <c r="S347" i="17" s="1"/>
  <c r="O428" i="17"/>
  <c r="S428" i="17" s="1"/>
  <c r="O376" i="17"/>
  <c r="S376" i="17" s="1"/>
  <c r="O239" i="17"/>
  <c r="S239" i="17" s="1"/>
  <c r="O355" i="17"/>
  <c r="S355" i="17" s="1"/>
  <c r="O233" i="17"/>
  <c r="S233" i="17" s="1"/>
  <c r="O139" i="17"/>
  <c r="S139" i="17" s="1"/>
  <c r="O403" i="17"/>
  <c r="S403" i="17" s="1"/>
  <c r="O227" i="17"/>
  <c r="S227" i="17" s="1"/>
  <c r="O368" i="17"/>
  <c r="S368" i="17" s="1"/>
  <c r="O199" i="17"/>
  <c r="S199" i="17" s="1"/>
  <c r="O412" i="17"/>
  <c r="S412" i="17" s="1"/>
  <c r="O167" i="17"/>
  <c r="S167" i="17" s="1"/>
  <c r="O415" i="17"/>
  <c r="S415" i="17" s="1"/>
  <c r="O296" i="17"/>
  <c r="S296" i="17" s="1"/>
  <c r="O435" i="17"/>
  <c r="S435" i="17" s="1"/>
  <c r="O281" i="17"/>
  <c r="S281" i="17" s="1"/>
  <c r="O277" i="17"/>
  <c r="S277" i="17" s="1"/>
  <c r="O365" i="17"/>
  <c r="S365" i="17" s="1"/>
  <c r="O65" i="17"/>
  <c r="S65" i="17" s="1"/>
  <c r="O210" i="17"/>
  <c r="S210" i="17" s="1"/>
  <c r="O82" i="17"/>
  <c r="S82" i="17" s="1"/>
  <c r="O252" i="17"/>
  <c r="S252" i="17" s="1"/>
  <c r="O438" i="17"/>
  <c r="S438" i="17" s="1"/>
  <c r="O219" i="17"/>
  <c r="S219" i="17" s="1"/>
  <c r="O286" i="17"/>
  <c r="S286" i="17" s="1"/>
  <c r="O262" i="17"/>
  <c r="S262" i="17" s="1"/>
  <c r="O431" i="17"/>
  <c r="S431" i="17" s="1"/>
  <c r="O28" i="17"/>
  <c r="S28" i="17" s="1"/>
  <c r="O275" i="17"/>
  <c r="S275" i="17" s="1"/>
  <c r="O454" i="17"/>
  <c r="S454" i="17" s="1"/>
  <c r="O465" i="17"/>
  <c r="S465" i="17" s="1"/>
  <c r="O471" i="17"/>
  <c r="S471" i="17" s="1"/>
  <c r="M25" i="17"/>
  <c r="N79" i="17"/>
  <c r="T79" i="17" s="1"/>
  <c r="N194" i="17"/>
  <c r="T194" i="17" s="1"/>
  <c r="N234" i="17"/>
  <c r="T234" i="17" s="1"/>
  <c r="N420" i="17"/>
  <c r="T420" i="17" s="1"/>
  <c r="N395" i="17"/>
  <c r="T395" i="17" s="1"/>
  <c r="O217" i="17"/>
  <c r="S217" i="17" s="1"/>
  <c r="O476" i="17"/>
  <c r="S476" i="17" s="1"/>
  <c r="O309" i="17"/>
  <c r="S309" i="17" s="1"/>
  <c r="O429" i="17"/>
  <c r="S429" i="17" s="1"/>
  <c r="O61" i="17"/>
  <c r="S61" i="17" s="1"/>
  <c r="O182" i="17"/>
  <c r="S182" i="17" s="1"/>
  <c r="O209" i="17"/>
  <c r="S209" i="17" s="1"/>
  <c r="O51" i="17"/>
  <c r="S51" i="17" s="1"/>
  <c r="O158" i="17"/>
  <c r="S158" i="17" s="1"/>
  <c r="O390" i="17"/>
  <c r="S390" i="17" s="1"/>
  <c r="O129" i="17"/>
  <c r="S129" i="17" s="1"/>
  <c r="O389" i="17"/>
  <c r="S389" i="17" s="1"/>
  <c r="O36" i="17"/>
  <c r="S36" i="17" s="1"/>
  <c r="O222" i="17"/>
  <c r="S222" i="17" s="1"/>
  <c r="O35" i="17"/>
  <c r="S35" i="17" s="1"/>
  <c r="O150" i="17"/>
  <c r="S150" i="17" s="1"/>
  <c r="O305" i="17"/>
  <c r="S305" i="17" s="1"/>
  <c r="O331" i="17"/>
  <c r="S331" i="17" s="1"/>
  <c r="O75" i="17"/>
  <c r="S75" i="17" s="1"/>
  <c r="O284" i="17"/>
  <c r="S284" i="17" s="1"/>
  <c r="O114" i="17"/>
  <c r="S114" i="17" s="1"/>
  <c r="O265" i="17"/>
  <c r="S265" i="17" s="1"/>
  <c r="O256" i="17"/>
  <c r="S256" i="17" s="1"/>
  <c r="O59" i="17"/>
  <c r="S59" i="17" s="1"/>
  <c r="O17" i="17"/>
  <c r="S17" i="17" s="1"/>
  <c r="O273" i="17"/>
  <c r="S273" i="17" s="1"/>
  <c r="O201" i="17"/>
  <c r="S201" i="17" s="1"/>
  <c r="O128" i="17"/>
  <c r="S128" i="17" s="1"/>
  <c r="O349" i="17"/>
  <c r="S349" i="17" s="1"/>
  <c r="O117" i="17"/>
  <c r="S117" i="17" s="1"/>
  <c r="O200" i="17"/>
  <c r="S200" i="17" s="1"/>
  <c r="O341" i="17"/>
  <c r="S341" i="17" s="1"/>
  <c r="O124" i="17"/>
  <c r="S124" i="17" s="1"/>
  <c r="O397" i="17"/>
  <c r="S397" i="17" s="1"/>
  <c r="O372" i="17"/>
  <c r="S372" i="17" s="1"/>
  <c r="O289" i="17"/>
  <c r="S289" i="17" s="1"/>
  <c r="O367" i="17"/>
  <c r="S367" i="17" s="1"/>
  <c r="O14" i="17"/>
  <c r="S14" i="17" s="1"/>
  <c r="O366" i="17"/>
  <c r="S366" i="17" s="1"/>
  <c r="O171" i="17"/>
  <c r="S171" i="17" s="1"/>
  <c r="O406" i="17"/>
  <c r="S406" i="17" s="1"/>
  <c r="O467" i="17"/>
  <c r="S467" i="17" s="1"/>
  <c r="O87" i="17"/>
  <c r="S87" i="17" s="1"/>
  <c r="O402" i="17"/>
  <c r="S402" i="17" s="1"/>
  <c r="O196" i="17"/>
  <c r="S196" i="17" s="1"/>
  <c r="O104" i="17"/>
  <c r="S104" i="17" s="1"/>
  <c r="O148" i="17"/>
  <c r="S148" i="17" s="1"/>
  <c r="O232" i="17"/>
  <c r="S232" i="17" s="1"/>
  <c r="O450" i="17"/>
  <c r="S450" i="17" s="1"/>
  <c r="O64" i="17"/>
  <c r="S64" i="17" s="1"/>
  <c r="O183" i="17"/>
  <c r="S183" i="17" s="1"/>
  <c r="O323" i="17"/>
  <c r="S323" i="17" s="1"/>
  <c r="O71" i="17"/>
  <c r="S71" i="17" s="1"/>
  <c r="O207" i="17"/>
  <c r="S207" i="17" s="1"/>
  <c r="O261" i="17"/>
  <c r="S261" i="17" s="1"/>
  <c r="O353" i="17"/>
  <c r="S353" i="17" s="1"/>
  <c r="O80" i="17"/>
  <c r="S80" i="17" s="1"/>
  <c r="O301" i="17"/>
  <c r="S301" i="17" s="1"/>
  <c r="O178" i="17"/>
  <c r="S178" i="17" s="1"/>
  <c r="O174" i="17"/>
  <c r="S174" i="17" s="1"/>
  <c r="M109" i="17"/>
  <c r="N400" i="17"/>
  <c r="T400" i="17" s="1"/>
  <c r="N370" i="17"/>
  <c r="T370" i="17" s="1"/>
  <c r="N143" i="17"/>
  <c r="T143" i="17" s="1"/>
  <c r="N34" i="17"/>
  <c r="T34" i="17" s="1"/>
  <c r="N268" i="17"/>
  <c r="T268" i="17" s="1"/>
  <c r="O122" i="17"/>
  <c r="S122" i="17" s="1"/>
  <c r="O449" i="17"/>
  <c r="S449" i="17" s="1"/>
  <c r="O138" i="17"/>
  <c r="S138" i="17" s="1"/>
  <c r="O401" i="17"/>
  <c r="S401" i="17" s="1"/>
  <c r="O236" i="17"/>
  <c r="S236" i="17" s="1"/>
  <c r="O197" i="17"/>
  <c r="S197" i="17" s="1"/>
  <c r="O352" i="17"/>
  <c r="S352" i="17" s="1"/>
  <c r="O332" i="17"/>
  <c r="S332" i="17" s="1"/>
  <c r="O157" i="17"/>
  <c r="S157" i="17" s="1"/>
  <c r="O440" i="17"/>
  <c r="S440" i="17" s="1"/>
  <c r="O50" i="17"/>
  <c r="S50" i="17" s="1"/>
  <c r="O151" i="17"/>
  <c r="S151" i="17" s="1"/>
  <c r="O111" i="17"/>
  <c r="S111" i="17" s="1"/>
  <c r="O235" i="17"/>
  <c r="S235" i="17" s="1"/>
  <c r="O213" i="17"/>
  <c r="S213" i="17" s="1"/>
  <c r="O459" i="17"/>
  <c r="S459" i="17" s="1"/>
  <c r="O144" i="17"/>
  <c r="S144" i="17" s="1"/>
  <c r="O203" i="17"/>
  <c r="S203" i="17" s="1"/>
  <c r="O479" i="17"/>
  <c r="S479" i="17" s="1"/>
  <c r="O478" i="17"/>
  <c r="S478" i="17" s="1"/>
  <c r="O97" i="17"/>
  <c r="S97" i="17" s="1"/>
  <c r="O447" i="17"/>
  <c r="S447" i="17" s="1"/>
  <c r="O356" i="17"/>
  <c r="S356" i="17" s="1"/>
  <c r="O176" i="17"/>
  <c r="S176" i="17" s="1"/>
  <c r="O169" i="17"/>
  <c r="S169" i="17" s="1"/>
  <c r="O422" i="17"/>
  <c r="S422" i="17" s="1"/>
  <c r="O379" i="17"/>
  <c r="S379" i="17" s="1"/>
  <c r="O398" i="17"/>
  <c r="S398" i="17" s="1"/>
  <c r="O330" i="17"/>
  <c r="S330" i="17" s="1"/>
  <c r="O457" i="17"/>
  <c r="S457" i="17" s="1"/>
  <c r="O216" i="17"/>
  <c r="S216" i="17" s="1"/>
  <c r="O134" i="17"/>
  <c r="S134" i="17" s="1"/>
  <c r="O346" i="17"/>
  <c r="S346" i="17" s="1"/>
  <c r="O66" i="17"/>
  <c r="S66" i="17" s="1"/>
  <c r="O106" i="17"/>
  <c r="S106" i="17" s="1"/>
  <c r="O246" i="17"/>
  <c r="S246" i="17" s="1"/>
  <c r="O413" i="17"/>
  <c r="S413" i="17" s="1"/>
  <c r="O436" i="17"/>
  <c r="S436" i="17" s="1"/>
  <c r="O334" i="17"/>
  <c r="S334" i="17" s="1"/>
  <c r="O285" i="17"/>
  <c r="S285" i="17" s="1"/>
  <c r="O221" i="17"/>
  <c r="S221" i="17" s="1"/>
  <c r="O16" i="17"/>
  <c r="S16" i="17" s="1"/>
  <c r="O418" i="17"/>
  <c r="S418" i="17" s="1"/>
  <c r="O434" i="17"/>
  <c r="S434" i="17" s="1"/>
  <c r="O288" i="17"/>
  <c r="S288" i="17" s="1"/>
  <c r="O287" i="17"/>
  <c r="S287" i="17" s="1"/>
  <c r="O360" i="17"/>
  <c r="S360" i="17" s="1"/>
  <c r="O375" i="17"/>
  <c r="S375" i="17" s="1"/>
  <c r="O23" i="17"/>
  <c r="S23" i="17" s="1"/>
  <c r="O6" i="17"/>
  <c r="S6" i="17" s="1"/>
  <c r="O112" i="17"/>
  <c r="S112" i="17" s="1"/>
  <c r="O270" i="17"/>
  <c r="S270" i="17" s="1"/>
  <c r="O304" i="17"/>
  <c r="S304" i="17" s="1"/>
  <c r="O63" i="17"/>
  <c r="S63" i="17" s="1"/>
  <c r="O92" i="17"/>
  <c r="S92" i="17" s="1"/>
  <c r="O250" i="17"/>
  <c r="S250" i="17" s="1"/>
  <c r="O267" i="17"/>
  <c r="S267" i="17" s="1"/>
  <c r="O70" i="17"/>
  <c r="S70" i="17" s="1"/>
  <c r="O11" i="17"/>
  <c r="S11" i="17" s="1"/>
  <c r="O257" i="17"/>
  <c r="S257" i="17" s="1"/>
  <c r="M32" i="17"/>
  <c r="M100" i="17"/>
  <c r="M342" i="17"/>
  <c r="M472" i="17"/>
  <c r="M396" i="17"/>
  <c r="M121" i="17"/>
  <c r="M2" i="17"/>
  <c r="M319" i="17"/>
  <c r="N266" i="17"/>
  <c r="T266" i="17" s="1"/>
  <c r="N9" i="17"/>
  <c r="T9" i="17" s="1"/>
  <c r="N223" i="17"/>
  <c r="T223" i="17" s="1"/>
  <c r="N69" i="17"/>
  <c r="T69" i="17" s="1"/>
  <c r="N181" i="17"/>
  <c r="T181" i="17" s="1"/>
  <c r="N137" i="17"/>
  <c r="T137" i="17" s="1"/>
  <c r="N303" i="17"/>
  <c r="T303" i="17" s="1"/>
  <c r="N274" i="17"/>
  <c r="T274" i="17" s="1"/>
  <c r="N247" i="17"/>
  <c r="T247" i="17" s="1"/>
  <c r="N145" i="17"/>
  <c r="T145" i="17" s="1"/>
  <c r="N339" i="17"/>
  <c r="T339" i="17" s="1"/>
  <c r="N110" i="17"/>
  <c r="T110" i="17" s="1"/>
  <c r="N464" i="17"/>
  <c r="T464" i="17" s="1"/>
  <c r="N362" i="17"/>
  <c r="T362" i="17" s="1"/>
  <c r="N293" i="17"/>
  <c r="T293" i="17" s="1"/>
  <c r="N191" i="17"/>
  <c r="T191" i="17" s="1"/>
  <c r="N279" i="17"/>
  <c r="T279" i="17" s="1"/>
  <c r="N278" i="17"/>
  <c r="T278" i="17" s="1"/>
  <c r="N350" i="17"/>
  <c r="T350" i="17" s="1"/>
  <c r="N141" i="17"/>
  <c r="T141" i="17" s="1"/>
  <c r="N94" i="17"/>
  <c r="T94" i="17" s="1"/>
  <c r="N47" i="17"/>
  <c r="T47" i="17" s="1"/>
  <c r="N211" i="17"/>
  <c r="T211" i="17" s="1"/>
  <c r="N90" i="17"/>
  <c r="T90" i="17" s="1"/>
  <c r="N228" i="17"/>
  <c r="T228" i="17" s="1"/>
  <c r="N452" i="17"/>
  <c r="T452" i="17" s="1"/>
  <c r="N133" i="17"/>
  <c r="T133" i="17" s="1"/>
  <c r="N54" i="17"/>
  <c r="T54" i="17" s="1"/>
  <c r="N186" i="17"/>
  <c r="T186" i="17" s="1"/>
  <c r="N263" i="17"/>
  <c r="T263" i="17" s="1"/>
  <c r="N105" i="17"/>
  <c r="T105" i="17" s="1"/>
  <c r="N39" i="17"/>
  <c r="T39" i="17" s="1"/>
  <c r="N24" i="17"/>
  <c r="T24" i="17" s="1"/>
  <c r="N220" i="17"/>
  <c r="T220" i="17" s="1"/>
  <c r="N394" i="17"/>
  <c r="T394" i="17" s="1"/>
  <c r="N414" i="17"/>
  <c r="T414" i="17" s="1"/>
  <c r="N371" i="17"/>
  <c r="T371" i="17" s="1"/>
  <c r="N316" i="17"/>
  <c r="T316" i="17" s="1"/>
  <c r="N154" i="17"/>
  <c r="T154" i="17" s="1"/>
  <c r="N295" i="17"/>
  <c r="T295" i="17" s="1"/>
  <c r="N383" i="17"/>
  <c r="T383" i="17" s="1"/>
  <c r="N327" i="17"/>
  <c r="T327" i="17" s="1"/>
  <c r="N57" i="17"/>
  <c r="T57" i="17" s="1"/>
  <c r="N237" i="17"/>
  <c r="T237" i="17" s="1"/>
  <c r="N198" i="17"/>
  <c r="T198" i="17" s="1"/>
  <c r="N88" i="17"/>
  <c r="T88" i="17" s="1"/>
  <c r="N159" i="17"/>
  <c r="T159" i="17" s="1"/>
  <c r="N354" i="17"/>
  <c r="T354" i="17" s="1"/>
  <c r="N427" i="17"/>
  <c r="T427" i="17" s="1"/>
  <c r="N358" i="17"/>
  <c r="T358" i="17" s="1"/>
  <c r="N127" i="17"/>
  <c r="T127" i="17" s="1"/>
  <c r="N302" i="17"/>
  <c r="T302" i="17" s="1"/>
  <c r="N4" i="17"/>
  <c r="T4" i="17" s="1"/>
  <c r="N455" i="17"/>
  <c r="T455" i="17" s="1"/>
  <c r="N81" i="17"/>
  <c r="T81" i="17" s="1"/>
  <c r="N433" i="17"/>
  <c r="T433" i="17" s="1"/>
  <c r="N163" i="17"/>
  <c r="T163" i="17" s="1"/>
  <c r="N251" i="17"/>
  <c r="T251" i="17" s="1"/>
  <c r="N52" i="17"/>
  <c r="T52" i="17" s="1"/>
  <c r="N312" i="17"/>
  <c r="T312" i="17" s="1"/>
  <c r="N446" i="17"/>
  <c r="T446" i="17" s="1"/>
  <c r="N249" i="17"/>
  <c r="T249" i="17" s="1"/>
  <c r="N244" i="17"/>
  <c r="T244" i="17" s="1"/>
  <c r="N411" i="17"/>
  <c r="T411" i="17" s="1"/>
  <c r="N166" i="17"/>
  <c r="T166" i="17" s="1"/>
  <c r="N382" i="17"/>
  <c r="T382" i="17" s="1"/>
  <c r="N392" i="17"/>
  <c r="T392" i="17" s="1"/>
  <c r="N173" i="17"/>
  <c r="T173" i="17" s="1"/>
  <c r="N78" i="17"/>
  <c r="T78" i="17" s="1"/>
  <c r="N38" i="17"/>
  <c r="T38" i="17" s="1"/>
  <c r="N170" i="17"/>
  <c r="T170" i="17" s="1"/>
  <c r="N68" i="17"/>
  <c r="T68" i="17" s="1"/>
  <c r="N409" i="17"/>
  <c r="T409" i="17" s="1"/>
  <c r="N242" i="17"/>
  <c r="T242" i="17" s="1"/>
  <c r="N318" i="17"/>
  <c r="T318" i="17" s="1"/>
  <c r="N85" i="17"/>
  <c r="T85" i="17" s="1"/>
  <c r="N407" i="17"/>
  <c r="T407" i="17" s="1"/>
  <c r="N95" i="17"/>
  <c r="T95" i="17" s="1"/>
  <c r="N205" i="17"/>
  <c r="T205" i="17" s="1"/>
  <c r="N307" i="17"/>
  <c r="T307" i="17" s="1"/>
  <c r="N437" i="17"/>
  <c r="T437" i="17" s="1"/>
  <c r="N475" i="17"/>
  <c r="T475" i="17" s="1"/>
  <c r="N357" i="17"/>
  <c r="T357" i="17" s="1"/>
  <c r="N83" i="17"/>
  <c r="T83" i="17" s="1"/>
  <c r="N474" i="17"/>
  <c r="T474" i="17" s="1"/>
  <c r="N336" i="17"/>
  <c r="T336" i="17" s="1"/>
  <c r="N142" i="17"/>
  <c r="T142" i="17" s="1"/>
  <c r="N67" i="17"/>
  <c r="T67" i="17" s="1"/>
  <c r="N399" i="17"/>
  <c r="T399" i="17" s="1"/>
  <c r="N96" i="17"/>
  <c r="T96" i="17" s="1"/>
  <c r="N442" i="17"/>
  <c r="T442" i="17" s="1"/>
  <c r="N432" i="17"/>
  <c r="T432" i="17" s="1"/>
  <c r="N386" i="17"/>
  <c r="T386" i="17" s="1"/>
  <c r="N416" i="17"/>
  <c r="T416" i="17" s="1"/>
  <c r="N33" i="17"/>
  <c r="T33" i="17" s="1"/>
  <c r="N291" i="17"/>
  <c r="T291" i="17" s="1"/>
  <c r="N314" i="17"/>
  <c r="T314" i="17" s="1"/>
  <c r="N338" i="17"/>
  <c r="T338" i="17" s="1"/>
  <c r="N345" i="17"/>
  <c r="T345" i="17" s="1"/>
  <c r="N468" i="17"/>
  <c r="T468" i="17" s="1"/>
  <c r="N58" i="17"/>
  <c r="T58" i="17" s="1"/>
  <c r="N253" i="17"/>
  <c r="T253" i="17" s="1"/>
  <c r="N271" i="17"/>
  <c r="T271" i="17" s="1"/>
  <c r="N5" i="17"/>
  <c r="T5" i="17" s="1"/>
  <c r="N260" i="17"/>
  <c r="T260" i="17" s="1"/>
  <c r="N461" i="17"/>
  <c r="T461" i="17" s="1"/>
  <c r="N259" i="17"/>
  <c r="T259" i="17" s="1"/>
  <c r="N466" i="17"/>
  <c r="T466" i="17" s="1"/>
  <c r="N214" i="17"/>
  <c r="T214" i="17" s="1"/>
  <c r="N333" i="17"/>
  <c r="T333" i="17" s="1"/>
  <c r="N208" i="17"/>
  <c r="T208" i="17" s="1"/>
  <c r="N192" i="17"/>
  <c r="T192" i="17" s="1"/>
  <c r="N164" i="17"/>
  <c r="T164" i="17" s="1"/>
  <c r="N324" i="17"/>
  <c r="T324" i="17" s="1"/>
  <c r="N195" i="17"/>
  <c r="T195" i="17" s="1"/>
  <c r="N321" i="17"/>
  <c r="T321" i="17" s="1"/>
  <c r="N93" i="17"/>
  <c r="T93" i="17" s="1"/>
  <c r="N306" i="17"/>
  <c r="T306" i="17" s="1"/>
  <c r="N12" i="17"/>
  <c r="T12" i="17" s="1"/>
  <c r="N206" i="17"/>
  <c r="T206" i="17" s="1"/>
  <c r="N238" i="17"/>
  <c r="T238" i="17" s="1"/>
  <c r="N86" i="17"/>
  <c r="T86" i="17" s="1"/>
  <c r="N146" i="17"/>
  <c r="T146" i="17" s="1"/>
  <c r="N300" i="17"/>
  <c r="T300" i="17" s="1"/>
  <c r="N225" i="17"/>
  <c r="T225" i="17" s="1"/>
  <c r="N430" i="17"/>
  <c r="T430" i="17" s="1"/>
  <c r="N224" i="17"/>
  <c r="T224" i="17" s="1"/>
  <c r="N132" i="17"/>
  <c r="T132" i="17" s="1"/>
  <c r="N364" i="17"/>
  <c r="T364" i="17" s="1"/>
  <c r="N380" i="17"/>
  <c r="T380" i="17" s="1"/>
  <c r="N37" i="17"/>
  <c r="T37" i="17" s="1"/>
  <c r="N115" i="17"/>
  <c r="T115" i="17" s="1"/>
  <c r="N189" i="17"/>
  <c r="T189" i="17" s="1"/>
  <c r="N408" i="17"/>
  <c r="T408" i="17" s="1"/>
  <c r="N470" i="17"/>
  <c r="T470" i="17" s="1"/>
  <c r="N27" i="17"/>
  <c r="T27" i="17" s="1"/>
  <c r="N297" i="17"/>
  <c r="T297" i="17" s="1"/>
  <c r="N340" i="17"/>
  <c r="T340" i="17" s="1"/>
  <c r="N73" i="17"/>
  <c r="T73" i="17" s="1"/>
  <c r="N172" i="17"/>
  <c r="T172" i="17" s="1"/>
  <c r="N311" i="17"/>
  <c r="T311" i="17" s="1"/>
  <c r="N156" i="17"/>
  <c r="T156" i="17" s="1"/>
  <c r="N373" i="17"/>
  <c r="T373" i="17" s="1"/>
  <c r="N469" i="17"/>
  <c r="T469" i="17" s="1"/>
  <c r="N377" i="17"/>
  <c r="T377" i="17" s="1"/>
  <c r="N56" i="17"/>
  <c r="T56" i="17" s="1"/>
  <c r="N423" i="17"/>
  <c r="T423" i="17" s="1"/>
  <c r="N212" i="17"/>
  <c r="T212" i="17" s="1"/>
  <c r="N282" i="17"/>
  <c r="T282" i="17" s="1"/>
  <c r="N292" i="17"/>
  <c r="T292" i="17" s="1"/>
  <c r="N130" i="17"/>
  <c r="T130" i="17" s="1"/>
  <c r="N264" i="17"/>
  <c r="T264" i="17" s="1"/>
  <c r="N458" i="17"/>
  <c r="T458" i="17" s="1"/>
  <c r="N72" i="17"/>
  <c r="T72" i="17" s="1"/>
  <c r="N378" i="17"/>
  <c r="T378" i="17" s="1"/>
  <c r="N140" i="17"/>
  <c r="T140" i="17" s="1"/>
  <c r="N116" i="17"/>
  <c r="T116" i="17" s="1"/>
  <c r="N381" i="17"/>
  <c r="T381" i="17" s="1"/>
  <c r="N161" i="17"/>
  <c r="T161" i="17" s="1"/>
  <c r="N384" i="17"/>
  <c r="T384" i="17" s="1"/>
  <c r="N335" i="17"/>
  <c r="T335" i="17" s="1"/>
  <c r="N160" i="17"/>
  <c r="T160" i="17" s="1"/>
  <c r="N325" i="17"/>
  <c r="T325" i="17" s="1"/>
  <c r="N53" i="17"/>
  <c r="T53" i="17" s="1"/>
  <c r="N283" i="17"/>
  <c r="T283" i="17" s="1"/>
  <c r="N310" i="17"/>
  <c r="T310" i="17" s="1"/>
  <c r="N18" i="17"/>
  <c r="T18" i="17" s="1"/>
  <c r="N441" i="17"/>
  <c r="T441" i="17" s="1"/>
  <c r="N123" i="17"/>
  <c r="T123" i="17" s="1"/>
  <c r="N226" i="17"/>
  <c r="T226" i="17" s="1"/>
  <c r="N280" i="17"/>
  <c r="T280" i="17" s="1"/>
  <c r="N477" i="17"/>
  <c r="T477" i="17" s="1"/>
  <c r="N3" i="17"/>
  <c r="T3" i="17" s="1"/>
  <c r="N29" i="17"/>
  <c r="T29" i="17" s="1"/>
  <c r="N147" i="17"/>
  <c r="T147" i="17" s="1"/>
  <c r="N272" i="17"/>
  <c r="T272" i="17" s="1"/>
  <c r="N276" i="17"/>
  <c r="T276" i="17" s="1"/>
  <c r="N13" i="17"/>
  <c r="T13" i="17" s="1"/>
  <c r="N328" i="17"/>
  <c r="T328" i="17" s="1"/>
  <c r="N43" i="17"/>
  <c r="T43" i="17" s="1"/>
  <c r="N424" i="17"/>
  <c r="T424" i="17" s="1"/>
  <c r="N245" i="17"/>
  <c r="T245" i="17" s="1"/>
  <c r="N315" i="17"/>
  <c r="T315" i="17" s="1"/>
  <c r="N20" i="17"/>
  <c r="T20" i="17" s="1"/>
  <c r="N445" i="17"/>
  <c r="T445" i="17" s="1"/>
  <c r="N374" i="17"/>
  <c r="T374" i="17" s="1"/>
  <c r="N42" i="17"/>
  <c r="T42" i="17" s="1"/>
  <c r="N405" i="17"/>
  <c r="T405" i="17" s="1"/>
  <c r="N62" i="17"/>
  <c r="T62" i="17" s="1"/>
  <c r="N410" i="17"/>
  <c r="T410" i="17" s="1"/>
  <c r="N101" i="17"/>
  <c r="T101" i="17" s="1"/>
  <c r="N294" i="17"/>
  <c r="T294" i="17" s="1"/>
  <c r="N248" i="17"/>
  <c r="T248" i="17" s="1"/>
  <c r="N241" i="17"/>
  <c r="T241" i="17" s="1"/>
  <c r="N119" i="17"/>
  <c r="T119" i="17" s="1"/>
  <c r="N136" i="17"/>
  <c r="T136" i="17" s="1"/>
  <c r="N351" i="17"/>
  <c r="T351" i="17" s="1"/>
  <c r="N118" i="17"/>
  <c r="T118" i="17" s="1"/>
  <c r="N204" i="17"/>
  <c r="T204" i="17" s="1"/>
  <c r="N41" i="17"/>
  <c r="T41" i="17" s="1"/>
  <c r="N99" i="17"/>
  <c r="T99" i="17" s="1"/>
  <c r="N185" i="17"/>
  <c r="T185" i="17" s="1"/>
  <c r="N322" i="17"/>
  <c r="T322" i="17" s="1"/>
  <c r="N60" i="17"/>
  <c r="T60" i="17" s="1"/>
  <c r="N49" i="17"/>
  <c r="T49" i="17" s="1"/>
  <c r="N417" i="17"/>
  <c r="T417" i="17" s="1"/>
  <c r="N387" i="17"/>
  <c r="T387" i="17" s="1"/>
  <c r="N426" i="17"/>
  <c r="T426" i="17" s="1"/>
  <c r="N8" i="17"/>
  <c r="T8" i="17" s="1"/>
  <c r="N473" i="17"/>
  <c r="T473" i="17" s="1"/>
  <c r="N255" i="17"/>
  <c r="T255" i="17" s="1"/>
  <c r="N421" i="17"/>
  <c r="T421" i="17" s="1"/>
  <c r="N55" i="17"/>
  <c r="T55" i="17" s="1"/>
  <c r="N361" i="17"/>
  <c r="T361" i="17" s="1"/>
  <c r="N179" i="17"/>
  <c r="T179" i="17" s="1"/>
  <c r="N7" i="17"/>
  <c r="T7" i="17" s="1"/>
  <c r="N45" i="17"/>
  <c r="T45" i="17" s="1"/>
  <c r="N229" i="17"/>
  <c r="T229" i="17" s="1"/>
  <c r="N290" i="17"/>
  <c r="T290" i="17" s="1"/>
  <c r="N168" i="17"/>
  <c r="T168" i="17" s="1"/>
  <c r="N419" i="17"/>
  <c r="T419" i="17" s="1"/>
  <c r="N155" i="17"/>
  <c r="T155" i="17" s="1"/>
  <c r="N89" i="17"/>
  <c r="T89" i="17" s="1"/>
  <c r="N298" i="17"/>
  <c r="T298" i="17" s="1"/>
  <c r="N337" i="17"/>
  <c r="T337" i="17" s="1"/>
  <c r="N76" i="17"/>
  <c r="T76" i="17" s="1"/>
  <c r="N40" i="17"/>
  <c r="T40" i="17" s="1"/>
  <c r="N108" i="17"/>
  <c r="T108" i="17" s="1"/>
  <c r="N344" i="17"/>
  <c r="T344" i="17" s="1"/>
  <c r="N258" i="17"/>
  <c r="T258" i="17" s="1"/>
  <c r="N175" i="17"/>
  <c r="T175" i="17" s="1"/>
  <c r="N456" i="17"/>
  <c r="T456" i="17" s="1"/>
  <c r="N313" i="17"/>
  <c r="T313" i="17" s="1"/>
  <c r="N393" i="17"/>
  <c r="T393" i="17" s="1"/>
  <c r="N44" i="17"/>
  <c r="T44" i="17" s="1"/>
  <c r="N425" i="17"/>
  <c r="T425" i="17" s="1"/>
  <c r="N329" i="17"/>
  <c r="T329" i="17" s="1"/>
  <c r="N15" i="17"/>
  <c r="T15" i="17" s="1"/>
  <c r="N22" i="17"/>
  <c r="T22" i="17" s="1"/>
  <c r="N348" i="17"/>
  <c r="T348" i="17" s="1"/>
  <c r="N103" i="17"/>
  <c r="T103" i="17" s="1"/>
  <c r="N21" i="17"/>
  <c r="T21" i="17" s="1"/>
  <c r="N218" i="17"/>
  <c r="T218" i="17" s="1"/>
  <c r="N448" i="17"/>
  <c r="T448" i="17" s="1"/>
  <c r="N444" i="17"/>
  <c r="T444" i="17" s="1"/>
  <c r="N359" i="17"/>
  <c r="T359" i="17" s="1"/>
  <c r="N10" i="17"/>
  <c r="T10" i="17" s="1"/>
  <c r="N177" i="17"/>
  <c r="T177" i="17" s="1"/>
  <c r="N299" i="17"/>
  <c r="T299" i="17" s="1"/>
  <c r="N443" i="17"/>
  <c r="T443" i="17" s="1"/>
  <c r="N77" i="17"/>
  <c r="T77" i="17" s="1"/>
  <c r="N190" i="17"/>
  <c r="T190" i="17" s="1"/>
  <c r="N391" i="17"/>
  <c r="T391" i="17" s="1"/>
  <c r="N153" i="17"/>
  <c r="T153" i="17" s="1"/>
  <c r="N317" i="17"/>
  <c r="T317" i="17" s="1"/>
  <c r="N152" i="17"/>
  <c r="T152" i="17" s="1"/>
  <c r="N439" i="17"/>
  <c r="T439" i="17" s="1"/>
  <c r="N230" i="17"/>
  <c r="T230" i="17" s="1"/>
  <c r="N131" i="17"/>
  <c r="T131" i="17" s="1"/>
  <c r="N404" i="17"/>
  <c r="T404" i="17" s="1"/>
  <c r="N46" i="17"/>
  <c r="T46" i="17" s="1"/>
  <c r="N388" i="17"/>
  <c r="T388" i="17" s="1"/>
  <c r="N126" i="17"/>
  <c r="T126" i="17" s="1"/>
  <c r="N269" i="17"/>
  <c r="T269" i="17" s="1"/>
  <c r="N463" i="17"/>
  <c r="T463" i="17" s="1"/>
  <c r="N98" i="17"/>
  <c r="T98" i="17" s="1"/>
  <c r="N202" i="17"/>
  <c r="T202" i="17" s="1"/>
  <c r="N31" i="17"/>
  <c r="T31" i="17" s="1"/>
  <c r="N48" i="17"/>
  <c r="T48" i="17" s="1"/>
  <c r="N74" i="17"/>
  <c r="T74" i="17" s="1"/>
  <c r="N184" i="17"/>
  <c r="T184" i="17" s="1"/>
  <c r="N26" i="17"/>
  <c r="T26" i="17" s="1"/>
  <c r="N347" i="17"/>
  <c r="T347" i="17" s="1"/>
  <c r="N428" i="17"/>
  <c r="T428" i="17" s="1"/>
  <c r="N376" i="17"/>
  <c r="T376" i="17" s="1"/>
  <c r="N239" i="17"/>
  <c r="T239" i="17" s="1"/>
  <c r="N355" i="17"/>
  <c r="T355" i="17" s="1"/>
  <c r="N233" i="17"/>
  <c r="T233" i="17" s="1"/>
  <c r="N139" i="17"/>
  <c r="T139" i="17" s="1"/>
  <c r="N403" i="17"/>
  <c r="T403" i="17" s="1"/>
  <c r="N227" i="17"/>
  <c r="T227" i="17" s="1"/>
  <c r="N368" i="17"/>
  <c r="T368" i="17" s="1"/>
  <c r="N199" i="17"/>
  <c r="T199" i="17" s="1"/>
  <c r="N412" i="17"/>
  <c r="T412" i="17" s="1"/>
  <c r="N167" i="17"/>
  <c r="T167" i="17" s="1"/>
  <c r="N415" i="17"/>
  <c r="T415" i="17" s="1"/>
  <c r="N296" i="17"/>
  <c r="T296" i="17" s="1"/>
  <c r="N435" i="17"/>
  <c r="T435" i="17" s="1"/>
  <c r="N281" i="17"/>
  <c r="T281" i="17" s="1"/>
  <c r="N277" i="17"/>
  <c r="T277" i="17" s="1"/>
  <c r="N365" i="17"/>
  <c r="T365" i="17" s="1"/>
  <c r="N65" i="17"/>
  <c r="T65" i="17" s="1"/>
  <c r="N210" i="17"/>
  <c r="T210" i="17" s="1"/>
  <c r="N82" i="17"/>
  <c r="T82" i="17" s="1"/>
  <c r="N252" i="17"/>
  <c r="T252" i="17" s="1"/>
  <c r="N438" i="17"/>
  <c r="T438" i="17" s="1"/>
  <c r="N219" i="17"/>
  <c r="T219" i="17" s="1"/>
  <c r="N286" i="17"/>
  <c r="T286" i="17" s="1"/>
  <c r="N262" i="17"/>
  <c r="T262" i="17" s="1"/>
  <c r="N431" i="17"/>
  <c r="T431" i="17" s="1"/>
  <c r="N28" i="17"/>
  <c r="T28" i="17" s="1"/>
  <c r="N275" i="17"/>
  <c r="T275" i="17" s="1"/>
  <c r="N454" i="17"/>
  <c r="T454" i="17" s="1"/>
  <c r="N465" i="17"/>
  <c r="T465" i="17" s="1"/>
  <c r="N471" i="17"/>
  <c r="T471" i="17" s="1"/>
  <c r="N217" i="17"/>
  <c r="T217" i="17" s="1"/>
  <c r="N476" i="17"/>
  <c r="T476" i="17" s="1"/>
  <c r="N309" i="17"/>
  <c r="T309" i="17" s="1"/>
  <c r="N429" i="17"/>
  <c r="T429" i="17" s="1"/>
  <c r="N61" i="17"/>
  <c r="T61" i="17" s="1"/>
  <c r="N182" i="17"/>
  <c r="T182" i="17" s="1"/>
  <c r="N209" i="17"/>
  <c r="T209" i="17" s="1"/>
  <c r="N51" i="17"/>
  <c r="T51" i="17" s="1"/>
  <c r="N158" i="17"/>
  <c r="T158" i="17" s="1"/>
  <c r="N390" i="17"/>
  <c r="T390" i="17" s="1"/>
  <c r="N129" i="17"/>
  <c r="T129" i="17" s="1"/>
  <c r="N389" i="17"/>
  <c r="T389" i="17" s="1"/>
  <c r="N36" i="17"/>
  <c r="T36" i="17" s="1"/>
  <c r="N222" i="17"/>
  <c r="T222" i="17" s="1"/>
  <c r="N35" i="17"/>
  <c r="T35" i="17" s="1"/>
  <c r="N150" i="17"/>
  <c r="T150" i="17" s="1"/>
  <c r="N305" i="17"/>
  <c r="T305" i="17" s="1"/>
  <c r="N331" i="17"/>
  <c r="T331" i="17" s="1"/>
  <c r="N75" i="17"/>
  <c r="T75" i="17" s="1"/>
  <c r="N284" i="17"/>
  <c r="T284" i="17" s="1"/>
  <c r="N114" i="17"/>
  <c r="T114" i="17" s="1"/>
  <c r="N265" i="17"/>
  <c r="T265" i="17" s="1"/>
  <c r="N256" i="17"/>
  <c r="T256" i="17" s="1"/>
  <c r="N59" i="17"/>
  <c r="T59" i="17" s="1"/>
  <c r="N17" i="17"/>
  <c r="T17" i="17" s="1"/>
  <c r="N273" i="17"/>
  <c r="T273" i="17" s="1"/>
  <c r="N201" i="17"/>
  <c r="T201" i="17" s="1"/>
  <c r="N128" i="17"/>
  <c r="T128" i="17" s="1"/>
  <c r="N349" i="17"/>
  <c r="T349" i="17" s="1"/>
  <c r="N117" i="17"/>
  <c r="T117" i="17" s="1"/>
  <c r="N200" i="17"/>
  <c r="T200" i="17" s="1"/>
  <c r="N341" i="17"/>
  <c r="T341" i="17" s="1"/>
  <c r="N124" i="17"/>
  <c r="T124" i="17" s="1"/>
  <c r="N397" i="17"/>
  <c r="T397" i="17" s="1"/>
  <c r="N372" i="17"/>
  <c r="T372" i="17" s="1"/>
  <c r="N289" i="17"/>
  <c r="T289" i="17" s="1"/>
  <c r="N367" i="17"/>
  <c r="T367" i="17" s="1"/>
  <c r="N14" i="17"/>
  <c r="T14" i="17" s="1"/>
  <c r="N366" i="17"/>
  <c r="T366" i="17" s="1"/>
  <c r="N171" i="17"/>
  <c r="T171" i="17" s="1"/>
  <c r="N406" i="17"/>
  <c r="T406" i="17" s="1"/>
  <c r="N467" i="17"/>
  <c r="T467" i="17" s="1"/>
  <c r="N87" i="17"/>
  <c r="T87" i="17" s="1"/>
  <c r="N402" i="17"/>
  <c r="T402" i="17" s="1"/>
  <c r="N196" i="17"/>
  <c r="T196" i="17" s="1"/>
  <c r="N104" i="17"/>
  <c r="T104" i="17" s="1"/>
  <c r="N148" i="17"/>
  <c r="T148" i="17" s="1"/>
  <c r="N232" i="17"/>
  <c r="T232" i="17" s="1"/>
  <c r="N450" i="17"/>
  <c r="T450" i="17" s="1"/>
  <c r="N64" i="17"/>
  <c r="T64" i="17" s="1"/>
  <c r="N183" i="17"/>
  <c r="T183" i="17" s="1"/>
  <c r="N323" i="17"/>
  <c r="T323" i="17" s="1"/>
  <c r="N71" i="17"/>
  <c r="T71" i="17" s="1"/>
  <c r="N207" i="17"/>
  <c r="T207" i="17" s="1"/>
  <c r="N261" i="17"/>
  <c r="T261" i="17" s="1"/>
  <c r="N353" i="17"/>
  <c r="T353" i="17" s="1"/>
  <c r="N80" i="17"/>
  <c r="T80" i="17" s="1"/>
  <c r="N301" i="17"/>
  <c r="T301" i="17" s="1"/>
  <c r="N178" i="17"/>
  <c r="T178" i="17" s="1"/>
  <c r="N174" i="17"/>
  <c r="T174" i="17" s="1"/>
  <c r="N122" i="17"/>
  <c r="T122" i="17" s="1"/>
  <c r="N449" i="17"/>
  <c r="T449" i="17" s="1"/>
  <c r="N138" i="17"/>
  <c r="T138" i="17" s="1"/>
  <c r="N401" i="17"/>
  <c r="T401" i="17" s="1"/>
  <c r="N236" i="17"/>
  <c r="T236" i="17" s="1"/>
  <c r="N197" i="17"/>
  <c r="T197" i="17" s="1"/>
  <c r="N352" i="17"/>
  <c r="T352" i="17" s="1"/>
  <c r="N332" i="17"/>
  <c r="T332" i="17" s="1"/>
  <c r="N157" i="17"/>
  <c r="T157" i="17" s="1"/>
  <c r="N440" i="17"/>
  <c r="T440" i="17" s="1"/>
  <c r="N50" i="17"/>
  <c r="T50" i="17" s="1"/>
  <c r="N151" i="17"/>
  <c r="T151" i="17" s="1"/>
  <c r="N111" i="17"/>
  <c r="T111" i="17" s="1"/>
  <c r="N235" i="17"/>
  <c r="T235" i="17" s="1"/>
  <c r="N213" i="17"/>
  <c r="T213" i="17" s="1"/>
  <c r="N459" i="17"/>
  <c r="T459" i="17" s="1"/>
  <c r="N144" i="17"/>
  <c r="T144" i="17" s="1"/>
  <c r="N203" i="17"/>
  <c r="T203" i="17" s="1"/>
  <c r="N479" i="17"/>
  <c r="T479" i="17" s="1"/>
  <c r="N478" i="17"/>
  <c r="T478" i="17" s="1"/>
  <c r="N97" i="17"/>
  <c r="T97" i="17" s="1"/>
  <c r="N447" i="17"/>
  <c r="T447" i="17" s="1"/>
  <c r="N356" i="17"/>
  <c r="T356" i="17" s="1"/>
  <c r="N176" i="17"/>
  <c r="T176" i="17" s="1"/>
  <c r="N169" i="17"/>
  <c r="T169" i="17" s="1"/>
  <c r="N422" i="17"/>
  <c r="T422" i="17" s="1"/>
  <c r="N379" i="17"/>
  <c r="T379" i="17" s="1"/>
  <c r="N398" i="17"/>
  <c r="T398" i="17" s="1"/>
  <c r="N330" i="17"/>
  <c r="T330" i="17" s="1"/>
  <c r="N457" i="17"/>
  <c r="T457" i="17" s="1"/>
  <c r="N216" i="17"/>
  <c r="T216" i="17" s="1"/>
  <c r="N134" i="17"/>
  <c r="T134" i="17" s="1"/>
  <c r="N346" i="17"/>
  <c r="T346" i="17" s="1"/>
  <c r="N66" i="17"/>
  <c r="T66" i="17" s="1"/>
  <c r="N106" i="17"/>
  <c r="T106" i="17" s="1"/>
  <c r="N246" i="17"/>
  <c r="T246" i="17" s="1"/>
  <c r="N413" i="17"/>
  <c r="T413" i="17" s="1"/>
  <c r="N436" i="17"/>
  <c r="T436" i="17" s="1"/>
  <c r="N334" i="17"/>
  <c r="T334" i="17" s="1"/>
  <c r="N285" i="17"/>
  <c r="T285" i="17" s="1"/>
  <c r="N221" i="17"/>
  <c r="T221" i="17" s="1"/>
  <c r="N16" i="17"/>
  <c r="T16" i="17" s="1"/>
  <c r="N418" i="17"/>
  <c r="T418" i="17" s="1"/>
  <c r="N434" i="17"/>
  <c r="T434" i="17" s="1"/>
  <c r="N288" i="17"/>
  <c r="T288" i="17" s="1"/>
  <c r="N287" i="17"/>
  <c r="T287" i="17" s="1"/>
  <c r="N360" i="17"/>
  <c r="T360" i="17" s="1"/>
  <c r="N375" i="17"/>
  <c r="T375" i="17" s="1"/>
  <c r="N23" i="17"/>
  <c r="T23" i="17" s="1"/>
  <c r="N6" i="17"/>
  <c r="T6" i="17" s="1"/>
  <c r="N112" i="17"/>
  <c r="T112" i="17" s="1"/>
  <c r="N270" i="17"/>
  <c r="T270" i="17" s="1"/>
  <c r="N304" i="17"/>
  <c r="T304" i="17" s="1"/>
  <c r="N63" i="17"/>
  <c r="T63" i="17" s="1"/>
  <c r="N92" i="17"/>
  <c r="T92" i="17" s="1"/>
  <c r="N250" i="17"/>
  <c r="T250" i="17" s="1"/>
  <c r="N267" i="17"/>
  <c r="T267" i="17" s="1"/>
  <c r="N70" i="17"/>
  <c r="T70" i="17" s="1"/>
  <c r="N11" i="17"/>
  <c r="T11" i="17" s="1"/>
  <c r="N257" i="17"/>
  <c r="T257" i="17" s="1"/>
  <c r="W383" i="20" l="1"/>
  <c r="X383" i="20" s="1"/>
  <c r="V383" i="20"/>
  <c r="W268" i="20"/>
  <c r="X268" i="20" s="1"/>
  <c r="V268" i="20"/>
  <c r="V116" i="20"/>
  <c r="V452" i="20"/>
  <c r="W452" i="20"/>
  <c r="V432" i="20"/>
  <c r="W432" i="20"/>
  <c r="W416" i="20"/>
  <c r="X416" i="20" s="1"/>
  <c r="V416" i="20"/>
  <c r="W470" i="20"/>
  <c r="V470" i="20"/>
  <c r="W454" i="20"/>
  <c r="V454" i="20"/>
  <c r="W473" i="20"/>
  <c r="V473" i="20"/>
  <c r="W457" i="20"/>
  <c r="X457" i="20" s="1"/>
  <c r="V457" i="20"/>
  <c r="W441" i="20"/>
  <c r="X441" i="20" s="1"/>
  <c r="V441" i="20"/>
  <c r="V451" i="20"/>
  <c r="W428" i="20"/>
  <c r="V428" i="20"/>
  <c r="W419" i="20"/>
  <c r="V419" i="20"/>
  <c r="V434" i="20"/>
  <c r="W434" i="20"/>
  <c r="X413" i="20"/>
  <c r="V389" i="20"/>
  <c r="W389" i="20"/>
  <c r="V426" i="20"/>
  <c r="W426" i="20"/>
  <c r="X426" i="20" s="1"/>
  <c r="V387" i="20"/>
  <c r="W387" i="20"/>
  <c r="V381" i="20"/>
  <c r="W381" i="20"/>
  <c r="W447" i="20"/>
  <c r="X447" i="20" s="1"/>
  <c r="V422" i="20"/>
  <c r="V394" i="20"/>
  <c r="W394" i="20"/>
  <c r="X394" i="20" s="1"/>
  <c r="V464" i="20"/>
  <c r="V406" i="20"/>
  <c r="V350" i="20"/>
  <c r="W350" i="20"/>
  <c r="W379" i="20"/>
  <c r="W310" i="20"/>
  <c r="X310" i="20" s="1"/>
  <c r="V310" i="20"/>
  <c r="W272" i="20"/>
  <c r="X272" i="20" s="1"/>
  <c r="V272" i="20"/>
  <c r="W244" i="20"/>
  <c r="X244" i="20" s="1"/>
  <c r="V244" i="20"/>
  <c r="V296" i="20"/>
  <c r="X219" i="20"/>
  <c r="X203" i="20"/>
  <c r="V308" i="20"/>
  <c r="V279" i="20"/>
  <c r="W279" i="20"/>
  <c r="V247" i="20"/>
  <c r="W247" i="20"/>
  <c r="W235" i="20"/>
  <c r="X235" i="20" s="1"/>
  <c r="V235" i="20"/>
  <c r="W219" i="20"/>
  <c r="V219" i="20"/>
  <c r="W203" i="20"/>
  <c r="V203" i="20"/>
  <c r="V304" i="20"/>
  <c r="W245" i="20"/>
  <c r="X245" i="20" s="1"/>
  <c r="V198" i="20"/>
  <c r="W198" i="20"/>
  <c r="V159" i="20"/>
  <c r="W159" i="20"/>
  <c r="W143" i="20"/>
  <c r="X143" i="20" s="1"/>
  <c r="V143" i="20"/>
  <c r="W127" i="20"/>
  <c r="X127" i="20" s="1"/>
  <c r="V127" i="20"/>
  <c r="W152" i="20"/>
  <c r="V152" i="20"/>
  <c r="W236" i="20"/>
  <c r="V175" i="20"/>
  <c r="W175" i="20"/>
  <c r="X175" i="20" s="1"/>
  <c r="W213" i="20"/>
  <c r="X213" i="20" s="1"/>
  <c r="X140" i="20"/>
  <c r="X132" i="20"/>
  <c r="X124" i="20"/>
  <c r="V148" i="20"/>
  <c r="W120" i="20"/>
  <c r="X60" i="20"/>
  <c r="W160" i="20"/>
  <c r="V86" i="20"/>
  <c r="W141" i="20"/>
  <c r="X141" i="20" s="1"/>
  <c r="W51" i="20"/>
  <c r="X51" i="20" s="1"/>
  <c r="V51" i="20"/>
  <c r="V153" i="20"/>
  <c r="V66" i="20"/>
  <c r="W66" i="20"/>
  <c r="V38" i="20"/>
  <c r="W38" i="20"/>
  <c r="V176" i="20"/>
  <c r="V88" i="20"/>
  <c r="W40" i="20"/>
  <c r="X40" i="20" s="1"/>
  <c r="W28" i="20"/>
  <c r="X28" i="20" s="1"/>
  <c r="X369" i="20"/>
  <c r="S250" i="20"/>
  <c r="V250" i="20" s="1"/>
  <c r="V155" i="20"/>
  <c r="W155" i="20"/>
  <c r="W170" i="20"/>
  <c r="X170" i="20" s="1"/>
  <c r="V170" i="20"/>
  <c r="W39" i="20"/>
  <c r="X39" i="20" s="1"/>
  <c r="V39" i="20"/>
  <c r="V19" i="20"/>
  <c r="W19" i="20"/>
  <c r="W466" i="20"/>
  <c r="V466" i="20"/>
  <c r="W450" i="20"/>
  <c r="X450" i="20" s="1"/>
  <c r="V450" i="20"/>
  <c r="W469" i="20"/>
  <c r="X469" i="20" s="1"/>
  <c r="V469" i="20"/>
  <c r="W453" i="20"/>
  <c r="X453" i="20" s="1"/>
  <c r="V453" i="20"/>
  <c r="W408" i="20"/>
  <c r="X408" i="20" s="1"/>
  <c r="V408" i="20"/>
  <c r="X448" i="20"/>
  <c r="X421" i="20"/>
  <c r="V402" i="20"/>
  <c r="V417" i="20"/>
  <c r="W448" i="20"/>
  <c r="W403" i="20"/>
  <c r="X403" i="20" s="1"/>
  <c r="V403" i="20"/>
  <c r="W399" i="20"/>
  <c r="X399" i="20" s="1"/>
  <c r="V399" i="20"/>
  <c r="V418" i="20"/>
  <c r="V385" i="20"/>
  <c r="W385" i="20"/>
  <c r="X385" i="20" s="1"/>
  <c r="V380" i="20"/>
  <c r="V373" i="20"/>
  <c r="W373" i="20"/>
  <c r="V369" i="20"/>
  <c r="W369" i="20"/>
  <c r="V365" i="20"/>
  <c r="W365" i="20"/>
  <c r="X365" i="20" s="1"/>
  <c r="V361" i="20"/>
  <c r="W361" i="20"/>
  <c r="W355" i="20"/>
  <c r="X355" i="20" s="1"/>
  <c r="V355" i="20"/>
  <c r="W351" i="20"/>
  <c r="V351" i="20"/>
  <c r="W264" i="20"/>
  <c r="X264" i="20" s="1"/>
  <c r="V264" i="20"/>
  <c r="W295" i="20"/>
  <c r="V295" i="20"/>
  <c r="V323" i="20"/>
  <c r="W323" i="20"/>
  <c r="V321" i="20"/>
  <c r="W321" i="20"/>
  <c r="W312" i="20"/>
  <c r="W252" i="20"/>
  <c r="V252" i="20"/>
  <c r="X231" i="20"/>
  <c r="X215" i="20"/>
  <c r="V243" i="20"/>
  <c r="W231" i="20"/>
  <c r="V231" i="20"/>
  <c r="W215" i="20"/>
  <c r="V215" i="20"/>
  <c r="W199" i="20"/>
  <c r="X199" i="20" s="1"/>
  <c r="V199" i="20"/>
  <c r="W292" i="20"/>
  <c r="X292" i="20" s="1"/>
  <c r="V248" i="20"/>
  <c r="W248" i="20"/>
  <c r="W139" i="20"/>
  <c r="X139" i="20" s="1"/>
  <c r="V139" i="20"/>
  <c r="W123" i="20"/>
  <c r="X123" i="20" s="1"/>
  <c r="V123" i="20"/>
  <c r="V267" i="20"/>
  <c r="W267" i="20"/>
  <c r="X150" i="20"/>
  <c r="W126" i="20"/>
  <c r="V126" i="20"/>
  <c r="V184" i="20"/>
  <c r="W180" i="20"/>
  <c r="X180" i="20" s="1"/>
  <c r="V121" i="20"/>
  <c r="W121" i="20"/>
  <c r="X121" i="20" s="1"/>
  <c r="V206" i="20"/>
  <c r="W206" i="20"/>
  <c r="W137" i="20"/>
  <c r="X137" i="20" s="1"/>
  <c r="W129" i="20"/>
  <c r="X129" i="20" s="1"/>
  <c r="X120" i="20"/>
  <c r="V140" i="20"/>
  <c r="X68" i="20"/>
  <c r="V125" i="20"/>
  <c r="V118" i="20"/>
  <c r="W118" i="20"/>
  <c r="V161" i="20"/>
  <c r="X83" i="20"/>
  <c r="V129" i="20"/>
  <c r="W83" i="20"/>
  <c r="V83" i="20"/>
  <c r="W59" i="20"/>
  <c r="X59" i="20" s="1"/>
  <c r="V59" i="20"/>
  <c r="W27" i="20"/>
  <c r="V27" i="20"/>
  <c r="V145" i="20"/>
  <c r="V107" i="20"/>
  <c r="W107" i="20"/>
  <c r="X107" i="20" s="1"/>
  <c r="W93" i="20"/>
  <c r="X93" i="20" s="1"/>
  <c r="V93" i="20"/>
  <c r="V104" i="20"/>
  <c r="W104" i="20"/>
  <c r="X104" i="20" s="1"/>
  <c r="V82" i="20"/>
  <c r="W82" i="20"/>
  <c r="V62" i="20"/>
  <c r="W62" i="20"/>
  <c r="V34" i="20"/>
  <c r="W34" i="20"/>
  <c r="V172" i="20"/>
  <c r="V69" i="20"/>
  <c r="V61" i="20"/>
  <c r="V68" i="20"/>
  <c r="V33" i="20"/>
  <c r="W33" i="20"/>
  <c r="V81" i="20"/>
  <c r="V13" i="20"/>
  <c r="W13" i="20"/>
  <c r="W25" i="20"/>
  <c r="V25" i="20"/>
  <c r="W21" i="20"/>
  <c r="X21" i="20" s="1"/>
  <c r="V21" i="20"/>
  <c r="V44" i="20"/>
  <c r="V3" i="20"/>
  <c r="W407" i="20"/>
  <c r="V407" i="20"/>
  <c r="W305" i="20"/>
  <c r="X305" i="20" s="1"/>
  <c r="X279" i="20"/>
  <c r="V263" i="20"/>
  <c r="W263" i="20"/>
  <c r="X263" i="20" s="1"/>
  <c r="X53" i="20"/>
  <c r="V41" i="20"/>
  <c r="W41" i="20"/>
  <c r="X472" i="20"/>
  <c r="W429" i="20"/>
  <c r="V429" i="20"/>
  <c r="V455" i="20"/>
  <c r="V443" i="20"/>
  <c r="W415" i="20"/>
  <c r="V415" i="20"/>
  <c r="V425" i="20"/>
  <c r="W425" i="20"/>
  <c r="V479" i="20"/>
  <c r="V438" i="20"/>
  <c r="W438" i="20"/>
  <c r="X438" i="20" s="1"/>
  <c r="W414" i="20"/>
  <c r="X414" i="20" s="1"/>
  <c r="V404" i="20"/>
  <c r="W404" i="20"/>
  <c r="V396" i="20"/>
  <c r="W396" i="20"/>
  <c r="W382" i="20"/>
  <c r="X382" i="20" s="1"/>
  <c r="V382" i="20"/>
  <c r="W472" i="20"/>
  <c r="W380" i="20"/>
  <c r="V372" i="20"/>
  <c r="W372" i="20"/>
  <c r="X372" i="20" s="1"/>
  <c r="V368" i="20"/>
  <c r="W368" i="20"/>
  <c r="X368" i="20" s="1"/>
  <c r="V364" i="20"/>
  <c r="W364" i="20"/>
  <c r="X364" i="20" s="1"/>
  <c r="V360" i="20"/>
  <c r="W360" i="20"/>
  <c r="X360" i="20" s="1"/>
  <c r="V353" i="20"/>
  <c r="W353" i="20"/>
  <c r="X353" i="20" s="1"/>
  <c r="V376" i="20"/>
  <c r="W376" i="20"/>
  <c r="W345" i="20"/>
  <c r="X345" i="20" s="1"/>
  <c r="V345" i="20"/>
  <c r="V344" i="20"/>
  <c r="W344" i="20"/>
  <c r="V339" i="20"/>
  <c r="W339" i="20"/>
  <c r="X339" i="20" s="1"/>
  <c r="V335" i="20"/>
  <c r="W335" i="20"/>
  <c r="X335" i="20" s="1"/>
  <c r="V331" i="20"/>
  <c r="W331" i="20"/>
  <c r="X331" i="20" s="1"/>
  <c r="V327" i="20"/>
  <c r="W327" i="20"/>
  <c r="X327" i="20" s="1"/>
  <c r="V357" i="20"/>
  <c r="W357" i="20"/>
  <c r="X357" i="20" s="1"/>
  <c r="V358" i="20"/>
  <c r="W358" i="20"/>
  <c r="X358" i="20" s="1"/>
  <c r="V348" i="20"/>
  <c r="W348" i="20"/>
  <c r="X348" i="20" s="1"/>
  <c r="V342" i="20"/>
  <c r="W342" i="20"/>
  <c r="V338" i="20"/>
  <c r="W338" i="20"/>
  <c r="X338" i="20" s="1"/>
  <c r="V334" i="20"/>
  <c r="W334" i="20"/>
  <c r="V330" i="20"/>
  <c r="W330" i="20"/>
  <c r="X330" i="20" s="1"/>
  <c r="W311" i="20"/>
  <c r="V311" i="20"/>
  <c r="V313" i="20"/>
  <c r="W260" i="20"/>
  <c r="X260" i="20" s="1"/>
  <c r="V260" i="20"/>
  <c r="X295" i="20"/>
  <c r="V324" i="20"/>
  <c r="W324" i="20"/>
  <c r="X324" i="20" s="1"/>
  <c r="V300" i="20"/>
  <c r="X252" i="20"/>
  <c r="W284" i="20"/>
  <c r="V284" i="20"/>
  <c r="V305" i="20"/>
  <c r="V242" i="20"/>
  <c r="X248" i="20"/>
  <c r="V218" i="20"/>
  <c r="W218" i="20"/>
  <c r="V173" i="20"/>
  <c r="W173" i="20"/>
  <c r="X159" i="20"/>
  <c r="W251" i="20"/>
  <c r="X251" i="20" s="1"/>
  <c r="X267" i="20"/>
  <c r="V222" i="20"/>
  <c r="W222" i="20"/>
  <c r="X152" i="20"/>
  <c r="V167" i="20"/>
  <c r="W167" i="20"/>
  <c r="V249" i="20"/>
  <c r="V214" i="20"/>
  <c r="W214" i="20"/>
  <c r="W184" i="20"/>
  <c r="X184" i="20" s="1"/>
  <c r="X206" i="20"/>
  <c r="X160" i="20"/>
  <c r="V147" i="20"/>
  <c r="W147" i="20"/>
  <c r="X147" i="20" s="1"/>
  <c r="V150" i="20"/>
  <c r="V112" i="20"/>
  <c r="W112" i="20"/>
  <c r="X112" i="20" s="1"/>
  <c r="V108" i="20"/>
  <c r="W108" i="20"/>
  <c r="X108" i="20" s="1"/>
  <c r="V162" i="20"/>
  <c r="V105" i="20"/>
  <c r="W105" i="20"/>
  <c r="X105" i="20" s="1"/>
  <c r="X118" i="20"/>
  <c r="V96" i="20"/>
  <c r="W96" i="20"/>
  <c r="W161" i="20"/>
  <c r="X161" i="20" s="1"/>
  <c r="V114" i="20"/>
  <c r="W114" i="20"/>
  <c r="X27" i="20"/>
  <c r="W47" i="20"/>
  <c r="X47" i="20" s="1"/>
  <c r="V47" i="20"/>
  <c r="W145" i="20"/>
  <c r="X145" i="20" s="1"/>
  <c r="V133" i="20"/>
  <c r="X101" i="20"/>
  <c r="V78" i="20"/>
  <c r="W78" i="20"/>
  <c r="X78" i="20" s="1"/>
  <c r="W172" i="20"/>
  <c r="X172" i="20" s="1"/>
  <c r="V101" i="20"/>
  <c r="W101" i="20"/>
  <c r="V95" i="20"/>
  <c r="W95" i="20"/>
  <c r="X95" i="20" s="1"/>
  <c r="X49" i="20"/>
  <c r="W85" i="20"/>
  <c r="W69" i="20"/>
  <c r="X69" i="20" s="1"/>
  <c r="W61" i="20"/>
  <c r="X61" i="20" s="1"/>
  <c r="V22" i="20"/>
  <c r="W22" i="20"/>
  <c r="X22" i="20" s="1"/>
  <c r="V36" i="20"/>
  <c r="V26" i="20"/>
  <c r="W26" i="20"/>
  <c r="X13" i="20"/>
  <c r="W81" i="20"/>
  <c r="X81" i="20" s="1"/>
  <c r="V89" i="20"/>
  <c r="V45" i="20"/>
  <c r="W45" i="20"/>
  <c r="V7" i="20"/>
  <c r="W7" i="20"/>
  <c r="X7" i="20" s="1"/>
  <c r="W5" i="20"/>
  <c r="X5" i="20" s="1"/>
  <c r="V5" i="20"/>
  <c r="V8" i="20"/>
  <c r="W8" i="20"/>
  <c r="X8" i="20" s="1"/>
  <c r="V76" i="20"/>
  <c r="W9" i="20"/>
  <c r="V9" i="20"/>
  <c r="W395" i="20"/>
  <c r="V395" i="20"/>
  <c r="X404" i="20"/>
  <c r="X351" i="20"/>
  <c r="X342" i="20"/>
  <c r="V246" i="20"/>
  <c r="W246" i="20"/>
  <c r="X246" i="20" s="1"/>
  <c r="V202" i="20"/>
  <c r="W202" i="20"/>
  <c r="X202" i="20" s="1"/>
  <c r="V109" i="20"/>
  <c r="W109" i="20"/>
  <c r="X109" i="20" s="1"/>
  <c r="V50" i="20"/>
  <c r="W50" i="20"/>
  <c r="V12" i="20"/>
  <c r="W12" i="20"/>
  <c r="W478" i="20"/>
  <c r="X478" i="20" s="1"/>
  <c r="V478" i="20"/>
  <c r="W462" i="20"/>
  <c r="X462" i="20" s="1"/>
  <c r="V462" i="20"/>
  <c r="W446" i="20"/>
  <c r="X446" i="20" s="1"/>
  <c r="V446" i="20"/>
  <c r="X473" i="20"/>
  <c r="W465" i="20"/>
  <c r="X465" i="20" s="1"/>
  <c r="V465" i="20"/>
  <c r="W449" i="20"/>
  <c r="X449" i="20" s="1"/>
  <c r="V449" i="20"/>
  <c r="V468" i="20"/>
  <c r="X425" i="20"/>
  <c r="X464" i="20"/>
  <c r="W437" i="20"/>
  <c r="X437" i="20" s="1"/>
  <c r="V437" i="20"/>
  <c r="X452" i="20"/>
  <c r="V414" i="20"/>
  <c r="X381" i="20"/>
  <c r="V390" i="20"/>
  <c r="W390" i="20"/>
  <c r="W391" i="20"/>
  <c r="X391" i="20" s="1"/>
  <c r="V391" i="20"/>
  <c r="V413" i="20"/>
  <c r="W377" i="20"/>
  <c r="X377" i="20" s="1"/>
  <c r="V377" i="20"/>
  <c r="X376" i="20"/>
  <c r="X344" i="20"/>
  <c r="X323" i="20"/>
  <c r="W313" i="20"/>
  <c r="X313" i="20" s="1"/>
  <c r="W303" i="20"/>
  <c r="V303" i="20"/>
  <c r="V319" i="20"/>
  <c r="W319" i="20"/>
  <c r="X319" i="20" s="1"/>
  <c r="V317" i="20"/>
  <c r="W317" i="20"/>
  <c r="X317" i="20" s="1"/>
  <c r="W307" i="20"/>
  <c r="V307" i="20"/>
  <c r="W300" i="20"/>
  <c r="X300" i="20" s="1"/>
  <c r="V256" i="20"/>
  <c r="W256" i="20"/>
  <c r="X211" i="20"/>
  <c r="X195" i="20"/>
  <c r="V240" i="20"/>
  <c r="W227" i="20"/>
  <c r="X227" i="20" s="1"/>
  <c r="V227" i="20"/>
  <c r="W211" i="20"/>
  <c r="V211" i="20"/>
  <c r="W195" i="20"/>
  <c r="V195" i="20"/>
  <c r="X218" i="20"/>
  <c r="V187" i="20"/>
  <c r="W187" i="20"/>
  <c r="X158" i="20"/>
  <c r="V217" i="20"/>
  <c r="V186" i="20"/>
  <c r="W186" i="20"/>
  <c r="X186" i="20" s="1"/>
  <c r="V165" i="20"/>
  <c r="W165" i="20"/>
  <c r="X165" i="20" s="1"/>
  <c r="W156" i="20"/>
  <c r="X156" i="20" s="1"/>
  <c r="V156" i="20"/>
  <c r="W135" i="20"/>
  <c r="X135" i="20" s="1"/>
  <c r="V135" i="20"/>
  <c r="W119" i="20"/>
  <c r="X119" i="20" s="1"/>
  <c r="V119" i="20"/>
  <c r="X222" i="20"/>
  <c r="X126" i="20"/>
  <c r="V183" i="20"/>
  <c r="W183" i="20"/>
  <c r="W134" i="20"/>
  <c r="V134" i="20"/>
  <c r="X214" i="20"/>
  <c r="V154" i="20"/>
  <c r="V226" i="20"/>
  <c r="W226" i="20"/>
  <c r="V194" i="20"/>
  <c r="W194" i="20"/>
  <c r="V117" i="20"/>
  <c r="W117" i="20"/>
  <c r="X117" i="20" s="1"/>
  <c r="X136" i="20"/>
  <c r="X128" i="20"/>
  <c r="X116" i="20"/>
  <c r="V99" i="20"/>
  <c r="W99" i="20"/>
  <c r="X99" i="20" s="1"/>
  <c r="V87" i="20"/>
  <c r="W87" i="20"/>
  <c r="V188" i="20"/>
  <c r="X114" i="20"/>
  <c r="V103" i="20"/>
  <c r="W103" i="20"/>
  <c r="X103" i="20" s="1"/>
  <c r="W79" i="20"/>
  <c r="X79" i="20" s="1"/>
  <c r="V79" i="20"/>
  <c r="W67" i="20"/>
  <c r="X67" i="20" s="1"/>
  <c r="V67" i="20"/>
  <c r="W35" i="20"/>
  <c r="X35" i="20" s="1"/>
  <c r="V35" i="20"/>
  <c r="W177" i="20"/>
  <c r="X177" i="20" s="1"/>
  <c r="V74" i="20"/>
  <c r="W74" i="20"/>
  <c r="X74" i="20" s="1"/>
  <c r="V58" i="20"/>
  <c r="W58" i="20"/>
  <c r="X58" i="20" s="1"/>
  <c r="V46" i="20"/>
  <c r="W46" i="20"/>
  <c r="X46" i="20" s="1"/>
  <c r="V30" i="20"/>
  <c r="W30" i="20"/>
  <c r="X30" i="20" s="1"/>
  <c r="V168" i="20"/>
  <c r="V64" i="20"/>
  <c r="X26" i="20"/>
  <c r="W89" i="20"/>
  <c r="X89" i="20" s="1"/>
  <c r="V32" i="20"/>
  <c r="X3" i="20"/>
  <c r="V92" i="20"/>
  <c r="V17" i="20"/>
  <c r="W17" i="20"/>
  <c r="X17" i="20" s="1"/>
  <c r="V77" i="20"/>
  <c r="V11" i="20"/>
  <c r="W11" i="20"/>
  <c r="X11" i="20" s="1"/>
  <c r="W76" i="20"/>
  <c r="X76" i="20" s="1"/>
  <c r="V15" i="20"/>
  <c r="W15" i="20"/>
  <c r="X15" i="20" s="1"/>
  <c r="V427" i="20"/>
  <c r="W427" i="20"/>
  <c r="X427" i="20" s="1"/>
  <c r="W412" i="20"/>
  <c r="X412" i="20" s="1"/>
  <c r="V412" i="20"/>
  <c r="X415" i="20"/>
  <c r="X373" i="20"/>
  <c r="X311" i="20"/>
  <c r="V179" i="20"/>
  <c r="W179" i="20"/>
  <c r="X179" i="20" s="1"/>
  <c r="X173" i="20"/>
  <c r="X96" i="20"/>
  <c r="W71" i="20"/>
  <c r="X71" i="20" s="1"/>
  <c r="V71" i="20"/>
  <c r="X62" i="20"/>
  <c r="W56" i="20"/>
  <c r="X56" i="20" s="1"/>
  <c r="X470" i="20"/>
  <c r="X454" i="20"/>
  <c r="V467" i="20"/>
  <c r="V435" i="20"/>
  <c r="W435" i="20"/>
  <c r="X435" i="20" s="1"/>
  <c r="W420" i="20"/>
  <c r="X420" i="20" s="1"/>
  <c r="V420" i="20"/>
  <c r="V436" i="20"/>
  <c r="W436" i="20"/>
  <c r="X436" i="20" s="1"/>
  <c r="V424" i="20"/>
  <c r="W424" i="20"/>
  <c r="X424" i="20" s="1"/>
  <c r="X476" i="20"/>
  <c r="X417" i="20"/>
  <c r="W398" i="20"/>
  <c r="X398" i="20" s="1"/>
  <c r="V386" i="20"/>
  <c r="W386" i="20"/>
  <c r="X386" i="20" s="1"/>
  <c r="V393" i="20"/>
  <c r="W393" i="20"/>
  <c r="X393" i="20" s="1"/>
  <c r="X380" i="20"/>
  <c r="V384" i="20"/>
  <c r="W384" i="20"/>
  <c r="X384" i="20" s="1"/>
  <c r="W410" i="20"/>
  <c r="X410" i="20" s="1"/>
  <c r="X350" i="20"/>
  <c r="V349" i="20"/>
  <c r="W349" i="20"/>
  <c r="X349" i="20" s="1"/>
  <c r="W288" i="20"/>
  <c r="X288" i="20" s="1"/>
  <c r="V288" i="20"/>
  <c r="X303" i="20"/>
  <c r="W291" i="20"/>
  <c r="V291" i="20"/>
  <c r="V322" i="20"/>
  <c r="W322" i="20"/>
  <c r="X322" i="20" s="1"/>
  <c r="V320" i="20"/>
  <c r="W320" i="20"/>
  <c r="X320" i="20" s="1"/>
  <c r="X307" i="20"/>
  <c r="X256" i="20"/>
  <c r="W238" i="20"/>
  <c r="X238" i="20" s="1"/>
  <c r="V238" i="20"/>
  <c r="V255" i="20"/>
  <c r="W255" i="20"/>
  <c r="X255" i="20" s="1"/>
  <c r="W254" i="20"/>
  <c r="X254" i="20" s="1"/>
  <c r="X187" i="20"/>
  <c r="X164" i="20"/>
  <c r="X157" i="20"/>
  <c r="V205" i="20"/>
  <c r="X155" i="20"/>
  <c r="V174" i="20"/>
  <c r="W174" i="20"/>
  <c r="X174" i="20" s="1"/>
  <c r="X183" i="20"/>
  <c r="X167" i="20"/>
  <c r="W239" i="20"/>
  <c r="X239" i="20" s="1"/>
  <c r="X226" i="20"/>
  <c r="X194" i="20"/>
  <c r="X144" i="20"/>
  <c r="X87" i="20"/>
  <c r="V124" i="20"/>
  <c r="X64" i="20"/>
  <c r="W188" i="20"/>
  <c r="X188" i="20" s="1"/>
  <c r="V122" i="20"/>
  <c r="W122" i="20"/>
  <c r="W55" i="20"/>
  <c r="X55" i="20" s="1"/>
  <c r="V55" i="20"/>
  <c r="V132" i="20"/>
  <c r="X38" i="20"/>
  <c r="W168" i="20"/>
  <c r="X168" i="20" s="1"/>
  <c r="V16" i="20"/>
  <c r="W16" i="20"/>
  <c r="X16" i="20" s="1"/>
  <c r="V10" i="20"/>
  <c r="W10" i="20"/>
  <c r="X10" i="20" s="1"/>
  <c r="V49" i="20"/>
  <c r="V2" i="20"/>
  <c r="W2" i="20"/>
  <c r="X2" i="20" s="1"/>
  <c r="W92" i="20"/>
  <c r="X92" i="20" s="1"/>
  <c r="V23" i="20"/>
  <c r="W23" i="20"/>
  <c r="W77" i="20"/>
  <c r="X77" i="20" s="1"/>
  <c r="X41" i="20"/>
  <c r="V4" i="20"/>
  <c r="W4" i="20"/>
  <c r="X4" i="20" s="1"/>
  <c r="V24" i="20"/>
  <c r="V52" i="20"/>
  <c r="X12" i="20"/>
  <c r="V6" i="20"/>
  <c r="W6" i="20"/>
  <c r="X6" i="20" s="1"/>
  <c r="X456" i="20"/>
  <c r="V433" i="20"/>
  <c r="W433" i="20"/>
  <c r="X433" i="20" s="1"/>
  <c r="X361" i="20"/>
  <c r="X334" i="20"/>
  <c r="W474" i="20"/>
  <c r="X474" i="20" s="1"/>
  <c r="V474" i="20"/>
  <c r="W458" i="20"/>
  <c r="X458" i="20" s="1"/>
  <c r="V458" i="20"/>
  <c r="W442" i="20"/>
  <c r="X442" i="20" s="1"/>
  <c r="V442" i="20"/>
  <c r="W477" i="20"/>
  <c r="X477" i="20" s="1"/>
  <c r="V477" i="20"/>
  <c r="W461" i="20"/>
  <c r="X461" i="20" s="1"/>
  <c r="V461" i="20"/>
  <c r="W445" i="20"/>
  <c r="X445" i="20" s="1"/>
  <c r="V445" i="20"/>
  <c r="X432" i="20"/>
  <c r="V430" i="20"/>
  <c r="W430" i="20"/>
  <c r="X430" i="20" s="1"/>
  <c r="X419" i="20"/>
  <c r="X407" i="20"/>
  <c r="V423" i="20"/>
  <c r="W423" i="20"/>
  <c r="X423" i="20" s="1"/>
  <c r="W411" i="20"/>
  <c r="X411" i="20" s="1"/>
  <c r="V411" i="20"/>
  <c r="X434" i="20"/>
  <c r="X468" i="20"/>
  <c r="X428" i="20"/>
  <c r="V398" i="20"/>
  <c r="V392" i="20"/>
  <c r="W392" i="20"/>
  <c r="X392" i="20" s="1"/>
  <c r="X389" i="20"/>
  <c r="X390" i="20"/>
  <c r="X379" i="20"/>
  <c r="V431" i="20"/>
  <c r="W431" i="20"/>
  <c r="X431" i="20" s="1"/>
  <c r="V374" i="20"/>
  <c r="W374" i="20"/>
  <c r="X374" i="20" s="1"/>
  <c r="V370" i="20"/>
  <c r="W370" i="20"/>
  <c r="X370" i="20" s="1"/>
  <c r="V366" i="20"/>
  <c r="W366" i="20"/>
  <c r="X366" i="20" s="1"/>
  <c r="V362" i="20"/>
  <c r="W362" i="20"/>
  <c r="X362" i="20" s="1"/>
  <c r="V378" i="20"/>
  <c r="W378" i="20"/>
  <c r="W347" i="20"/>
  <c r="X347" i="20" s="1"/>
  <c r="V347" i="20"/>
  <c r="V356" i="20"/>
  <c r="W356" i="20"/>
  <c r="X356" i="20" s="1"/>
  <c r="V341" i="20"/>
  <c r="W341" i="20"/>
  <c r="X341" i="20" s="1"/>
  <c r="V337" i="20"/>
  <c r="W337" i="20"/>
  <c r="X337" i="20" s="1"/>
  <c r="V333" i="20"/>
  <c r="W333" i="20"/>
  <c r="X333" i="20" s="1"/>
  <c r="V329" i="20"/>
  <c r="W329" i="20"/>
  <c r="X329" i="20" s="1"/>
  <c r="V325" i="20"/>
  <c r="W325" i="20"/>
  <c r="X325" i="20" s="1"/>
  <c r="V315" i="20"/>
  <c r="W315" i="20"/>
  <c r="X315" i="20" s="1"/>
  <c r="W346" i="20"/>
  <c r="V346" i="20"/>
  <c r="V340" i="20"/>
  <c r="W340" i="20"/>
  <c r="X340" i="20" s="1"/>
  <c r="V336" i="20"/>
  <c r="W336" i="20"/>
  <c r="X336" i="20" s="1"/>
  <c r="V332" i="20"/>
  <c r="W332" i="20"/>
  <c r="X332" i="20" s="1"/>
  <c r="V328" i="20"/>
  <c r="W328" i="20"/>
  <c r="X328" i="20" s="1"/>
  <c r="X321" i="20"/>
  <c r="W287" i="20"/>
  <c r="X287" i="20" s="1"/>
  <c r="V287" i="20"/>
  <c r="W280" i="20"/>
  <c r="X280" i="20" s="1"/>
  <c r="V280" i="20"/>
  <c r="X291" i="20"/>
  <c r="W250" i="20"/>
  <c r="X250" i="20" s="1"/>
  <c r="X247" i="20"/>
  <c r="X223" i="20"/>
  <c r="W314" i="20"/>
  <c r="X314" i="20" s="1"/>
  <c r="V237" i="20"/>
  <c r="W237" i="20"/>
  <c r="X237" i="20" s="1"/>
  <c r="W223" i="20"/>
  <c r="V223" i="20"/>
  <c r="W207" i="20"/>
  <c r="X207" i="20" s="1"/>
  <c r="V207" i="20"/>
  <c r="W191" i="20"/>
  <c r="X191" i="20" s="1"/>
  <c r="V191" i="20"/>
  <c r="V275" i="20"/>
  <c r="W275" i="20"/>
  <c r="V326" i="20"/>
  <c r="W326" i="20"/>
  <c r="X326" i="20" s="1"/>
  <c r="W193" i="20"/>
  <c r="X193" i="20" s="1"/>
  <c r="V193" i="20"/>
  <c r="V163" i="20"/>
  <c r="W163" i="20"/>
  <c r="X163" i="20" s="1"/>
  <c r="V230" i="20"/>
  <c r="W230" i="20"/>
  <c r="W182" i="20"/>
  <c r="X182" i="20" s="1"/>
  <c r="V182" i="20"/>
  <c r="V190" i="20"/>
  <c r="W190" i="20"/>
  <c r="X154" i="20"/>
  <c r="W131" i="20"/>
  <c r="X131" i="20" s="1"/>
  <c r="V131" i="20"/>
  <c r="W115" i="20"/>
  <c r="X115" i="20" s="1"/>
  <c r="V115" i="20"/>
  <c r="X134" i="20"/>
  <c r="V209" i="20"/>
  <c r="W142" i="20"/>
  <c r="X142" i="20" s="1"/>
  <c r="V142" i="20"/>
  <c r="V259" i="20"/>
  <c r="W259" i="20"/>
  <c r="V151" i="20"/>
  <c r="W151" i="20"/>
  <c r="X151" i="20" s="1"/>
  <c r="V239" i="20"/>
  <c r="V113" i="20"/>
  <c r="W113" i="20"/>
  <c r="X113" i="20" s="1"/>
  <c r="V171" i="20"/>
  <c r="W171" i="20"/>
  <c r="W133" i="20"/>
  <c r="X133" i="20" s="1"/>
  <c r="W125" i="20"/>
  <c r="X125" i="20" s="1"/>
  <c r="V166" i="20"/>
  <c r="V137" i="20"/>
  <c r="V110" i="20"/>
  <c r="W110" i="20"/>
  <c r="X110" i="20" s="1"/>
  <c r="X86" i="20"/>
  <c r="W149" i="20"/>
  <c r="X149" i="20" s="1"/>
  <c r="X122" i="20"/>
  <c r="V146" i="20"/>
  <c r="V144" i="20"/>
  <c r="V111" i="20"/>
  <c r="W111" i="20"/>
  <c r="X111" i="20" s="1"/>
  <c r="V100" i="20"/>
  <c r="W100" i="20"/>
  <c r="X100" i="20" s="1"/>
  <c r="W75" i="20"/>
  <c r="X75" i="20" s="1"/>
  <c r="V75" i="20"/>
  <c r="W43" i="20"/>
  <c r="X43" i="20" s="1"/>
  <c r="V43" i="20"/>
  <c r="W169" i="20"/>
  <c r="X169" i="20" s="1"/>
  <c r="V97" i="20"/>
  <c r="W97" i="20"/>
  <c r="W94" i="20"/>
  <c r="X94" i="20" s="1"/>
  <c r="V94" i="20"/>
  <c r="V70" i="20"/>
  <c r="W70" i="20"/>
  <c r="X70" i="20" s="1"/>
  <c r="V54" i="20"/>
  <c r="W54" i="20"/>
  <c r="X54" i="20" s="1"/>
  <c r="V42" i="20"/>
  <c r="W42" i="20"/>
  <c r="X42" i="20" s="1"/>
  <c r="W181" i="20"/>
  <c r="X181" i="20" s="1"/>
  <c r="V158" i="20"/>
  <c r="V73" i="20"/>
  <c r="V65" i="20"/>
  <c r="V57" i="20"/>
  <c r="V60" i="20"/>
  <c r="X33" i="20"/>
  <c r="V80" i="20"/>
  <c r="V29" i="20"/>
  <c r="W29" i="20"/>
  <c r="X29" i="20" s="1"/>
  <c r="X23" i="20"/>
  <c r="V14" i="20"/>
  <c r="W14" i="20"/>
  <c r="X14" i="20" s="1"/>
  <c r="V53" i="20"/>
  <c r="V37" i="20"/>
  <c r="W37" i="20"/>
  <c r="X37" i="20" s="1"/>
  <c r="X9" i="20"/>
  <c r="X396" i="20"/>
  <c r="X198" i="20"/>
  <c r="W138" i="20"/>
  <c r="X138" i="20" s="1"/>
  <c r="V138" i="20"/>
  <c r="X466" i="20"/>
  <c r="X429" i="20"/>
  <c r="V439" i="20"/>
  <c r="W439" i="20"/>
  <c r="X439" i="20" s="1"/>
  <c r="V440" i="20"/>
  <c r="W440" i="20"/>
  <c r="X440" i="20" s="1"/>
  <c r="V400" i="20"/>
  <c r="W400" i="20"/>
  <c r="X400" i="20" s="1"/>
  <c r="X387" i="20"/>
  <c r="W375" i="20"/>
  <c r="X375" i="20" s="1"/>
  <c r="V375" i="20"/>
  <c r="W422" i="20"/>
  <c r="X422" i="20" s="1"/>
  <c r="V409" i="20"/>
  <c r="W409" i="20"/>
  <c r="X409" i="20" s="1"/>
  <c r="V405" i="20"/>
  <c r="W405" i="20"/>
  <c r="X405" i="20" s="1"/>
  <c r="V401" i="20"/>
  <c r="W401" i="20"/>
  <c r="X401" i="20" s="1"/>
  <c r="V397" i="20"/>
  <c r="W397" i="20"/>
  <c r="X397" i="20" s="1"/>
  <c r="X395" i="20"/>
  <c r="X378" i="20"/>
  <c r="V379" i="20"/>
  <c r="V371" i="20"/>
  <c r="W371" i="20"/>
  <c r="X371" i="20" s="1"/>
  <c r="V367" i="20"/>
  <c r="W367" i="20"/>
  <c r="X367" i="20" s="1"/>
  <c r="V363" i="20"/>
  <c r="W363" i="20"/>
  <c r="X363" i="20" s="1"/>
  <c r="V359" i="20"/>
  <c r="W359" i="20"/>
  <c r="X359" i="20" s="1"/>
  <c r="V388" i="20"/>
  <c r="W388" i="20"/>
  <c r="X388" i="20" s="1"/>
  <c r="V352" i="20"/>
  <c r="W352" i="20"/>
  <c r="X352" i="20" s="1"/>
  <c r="X346" i="20"/>
  <c r="S258" i="20"/>
  <c r="W258" i="20" s="1"/>
  <c r="X258" i="20" s="1"/>
  <c r="W276" i="20"/>
  <c r="X276" i="20" s="1"/>
  <c r="V276" i="20"/>
  <c r="X312" i="20"/>
  <c r="W299" i="20"/>
  <c r="X299" i="20" s="1"/>
  <c r="V299" i="20"/>
  <c r="V318" i="20"/>
  <c r="W318" i="20"/>
  <c r="X318" i="20" s="1"/>
  <c r="V316" i="20"/>
  <c r="W316" i="20"/>
  <c r="X316" i="20" s="1"/>
  <c r="W283" i="20"/>
  <c r="X283" i="20" s="1"/>
  <c r="V283" i="20"/>
  <c r="V241" i="20"/>
  <c r="W241" i="20"/>
  <c r="X241" i="20" s="1"/>
  <c r="X284" i="20"/>
  <c r="X236" i="20"/>
  <c r="X275" i="20"/>
  <c r="V271" i="20"/>
  <c r="W271" i="20"/>
  <c r="X271" i="20" s="1"/>
  <c r="W189" i="20"/>
  <c r="X189" i="20" s="1"/>
  <c r="V189" i="20"/>
  <c r="X230" i="20"/>
  <c r="V210" i="20"/>
  <c r="W210" i="20"/>
  <c r="X210" i="20" s="1"/>
  <c r="X190" i="20"/>
  <c r="W178" i="20"/>
  <c r="X178" i="20" s="1"/>
  <c r="V178" i="20"/>
  <c r="V234" i="20"/>
  <c r="W234" i="20"/>
  <c r="X234" i="20" s="1"/>
  <c r="V185" i="20"/>
  <c r="W185" i="20"/>
  <c r="X185" i="20" s="1"/>
  <c r="W130" i="20"/>
  <c r="X130" i="20" s="1"/>
  <c r="V130" i="20"/>
  <c r="X259" i="20"/>
  <c r="X171" i="20"/>
  <c r="X85" i="20"/>
  <c r="W102" i="20"/>
  <c r="X102" i="20" s="1"/>
  <c r="V102" i="20"/>
  <c r="X72" i="20"/>
  <c r="W84" i="20"/>
  <c r="X84" i="20" s="1"/>
  <c r="V84" i="20"/>
  <c r="W106" i="20"/>
  <c r="X106" i="20" s="1"/>
  <c r="V106" i="20"/>
  <c r="X97" i="20"/>
  <c r="W63" i="20"/>
  <c r="X63" i="20" s="1"/>
  <c r="V63" i="20"/>
  <c r="W31" i="20"/>
  <c r="X31" i="20" s="1"/>
  <c r="V31" i="20"/>
  <c r="X82" i="20"/>
  <c r="X66" i="20"/>
  <c r="X50" i="20"/>
  <c r="X34" i="20"/>
  <c r="W98" i="20"/>
  <c r="X98" i="20" s="1"/>
  <c r="V98" i="20"/>
  <c r="V91" i="20"/>
  <c r="W91" i="20"/>
  <c r="X91" i="20" s="1"/>
  <c r="W73" i="20"/>
  <c r="X73" i="20" s="1"/>
  <c r="W65" i="20"/>
  <c r="X65" i="20" s="1"/>
  <c r="W57" i="20"/>
  <c r="X57" i="20" s="1"/>
  <c r="V85" i="20"/>
  <c r="X19" i="20"/>
  <c r="X45" i="20"/>
  <c r="X20" i="20"/>
  <c r="W80" i="20"/>
  <c r="X80" i="20" s="1"/>
  <c r="X25" i="20"/>
  <c r="V20" i="20"/>
  <c r="W20" i="20"/>
  <c r="V18" i="20"/>
  <c r="W18" i="20"/>
  <c r="X18" i="20" s="1"/>
  <c r="V11" i="17"/>
  <c r="V112" i="17"/>
  <c r="V418" i="17"/>
  <c r="V106" i="17"/>
  <c r="V379" i="17"/>
  <c r="V479" i="17"/>
  <c r="V50" i="17"/>
  <c r="V138" i="17"/>
  <c r="V174" i="17"/>
  <c r="V323" i="17"/>
  <c r="V402" i="17"/>
  <c r="V289" i="17"/>
  <c r="V128" i="17"/>
  <c r="V284" i="17"/>
  <c r="V389" i="17"/>
  <c r="V429" i="17"/>
  <c r="V286" i="17"/>
  <c r="V277" i="17"/>
  <c r="V368" i="17"/>
  <c r="V428" i="17"/>
  <c r="V98" i="17"/>
  <c r="V230" i="17"/>
  <c r="V443" i="17"/>
  <c r="V22" i="17"/>
  <c r="V175" i="17"/>
  <c r="V89" i="17"/>
  <c r="V179" i="17"/>
  <c r="V387" i="17"/>
  <c r="V204" i="17"/>
  <c r="V101" i="17"/>
  <c r="V43" i="17"/>
  <c r="V477" i="17"/>
  <c r="V53" i="17"/>
  <c r="V140" i="17"/>
  <c r="V212" i="17"/>
  <c r="V172" i="17"/>
  <c r="V115" i="17"/>
  <c r="V238" i="17"/>
  <c r="V164" i="17"/>
  <c r="V260" i="17"/>
  <c r="V314" i="17"/>
  <c r="V399" i="17"/>
  <c r="V437" i="17"/>
  <c r="V409" i="17"/>
  <c r="V154" i="17"/>
  <c r="V24" i="17"/>
  <c r="V94" i="17"/>
  <c r="V293" i="17"/>
  <c r="V427" i="17"/>
  <c r="V159" i="17"/>
  <c r="V113" i="17"/>
  <c r="V143" i="17"/>
  <c r="V109" i="17"/>
  <c r="V446" i="17"/>
  <c r="V247" i="17"/>
  <c r="V257" i="17"/>
  <c r="V270" i="17"/>
  <c r="V434" i="17"/>
  <c r="V246" i="17"/>
  <c r="V398" i="17"/>
  <c r="V478" i="17"/>
  <c r="V151" i="17"/>
  <c r="V401" i="17"/>
  <c r="V71" i="17"/>
  <c r="V196" i="17"/>
  <c r="V367" i="17"/>
  <c r="V349" i="17"/>
  <c r="V114" i="17"/>
  <c r="V36" i="17"/>
  <c r="V61" i="17"/>
  <c r="V262" i="17"/>
  <c r="V365" i="17"/>
  <c r="V199" i="17"/>
  <c r="V376" i="17"/>
  <c r="V202" i="17"/>
  <c r="V131" i="17"/>
  <c r="V77" i="17"/>
  <c r="V348" i="17"/>
  <c r="V456" i="17"/>
  <c r="V298" i="17"/>
  <c r="V7" i="17"/>
  <c r="V426" i="17"/>
  <c r="V41" i="17"/>
  <c r="V294" i="17"/>
  <c r="V424" i="17"/>
  <c r="V3" i="17"/>
  <c r="V283" i="17"/>
  <c r="V116" i="17"/>
  <c r="V282" i="17"/>
  <c r="V311" i="17"/>
  <c r="V189" i="17"/>
  <c r="V86" i="17"/>
  <c r="V324" i="17"/>
  <c r="V461" i="17"/>
  <c r="V338" i="17"/>
  <c r="V96" i="17"/>
  <c r="V475" i="17"/>
  <c r="V242" i="17"/>
  <c r="V382" i="17"/>
  <c r="V249" i="17"/>
  <c r="V455" i="17"/>
  <c r="V295" i="17"/>
  <c r="V220" i="17"/>
  <c r="V54" i="17"/>
  <c r="V47" i="17"/>
  <c r="V191" i="17"/>
  <c r="V145" i="17"/>
  <c r="V69" i="17"/>
  <c r="V369" i="17"/>
  <c r="V120" i="17"/>
  <c r="V34" i="17"/>
  <c r="V70" i="17"/>
  <c r="V6" i="17"/>
  <c r="V16" i="17"/>
  <c r="V66" i="17"/>
  <c r="V422" i="17"/>
  <c r="V203" i="17"/>
  <c r="V440" i="17"/>
  <c r="V449" i="17"/>
  <c r="V178" i="17"/>
  <c r="V183" i="17"/>
  <c r="V87" i="17"/>
  <c r="V372" i="17"/>
  <c r="V201" i="17"/>
  <c r="V75" i="17"/>
  <c r="V129" i="17"/>
  <c r="V309" i="17"/>
  <c r="V471" i="17"/>
  <c r="V219" i="17"/>
  <c r="V281" i="17"/>
  <c r="V227" i="17"/>
  <c r="V347" i="17"/>
  <c r="V463" i="17"/>
  <c r="V439" i="17"/>
  <c r="V299" i="17"/>
  <c r="V15" i="17"/>
  <c r="V258" i="17"/>
  <c r="V155" i="17"/>
  <c r="V361" i="17"/>
  <c r="V417" i="17"/>
  <c r="V118" i="17"/>
  <c r="V410" i="17"/>
  <c r="V328" i="17"/>
  <c r="V280" i="17"/>
  <c r="V325" i="17"/>
  <c r="V378" i="17"/>
  <c r="V423" i="17"/>
  <c r="V73" i="17"/>
  <c r="V37" i="17"/>
  <c r="V206" i="17"/>
  <c r="V192" i="17"/>
  <c r="V5" i="17"/>
  <c r="V291" i="17"/>
  <c r="V67" i="17"/>
  <c r="V307" i="17"/>
  <c r="V68" i="17"/>
  <c r="V312" i="17"/>
  <c r="V302" i="17"/>
  <c r="V316" i="17"/>
  <c r="V39" i="17"/>
  <c r="V452" i="17"/>
  <c r="V141" i="17"/>
  <c r="V362" i="17"/>
  <c r="V274" i="17"/>
  <c r="V9" i="17"/>
  <c r="V395" i="17"/>
  <c r="V354" i="17"/>
  <c r="V187" i="17"/>
  <c r="V363" i="17"/>
  <c r="V149" i="17"/>
  <c r="V165" i="17"/>
  <c r="V370" i="17"/>
  <c r="V223" i="17"/>
  <c r="V267" i="17"/>
  <c r="V23" i="17"/>
  <c r="V221" i="17"/>
  <c r="V346" i="17"/>
  <c r="V169" i="17"/>
  <c r="V144" i="17"/>
  <c r="V157" i="17"/>
  <c r="V122" i="17"/>
  <c r="V301" i="17"/>
  <c r="V64" i="17"/>
  <c r="V467" i="17"/>
  <c r="V397" i="17"/>
  <c r="V273" i="17"/>
  <c r="V331" i="17"/>
  <c r="V390" i="17"/>
  <c r="V476" i="17"/>
  <c r="V465" i="17"/>
  <c r="V438" i="17"/>
  <c r="V435" i="17"/>
  <c r="V403" i="17"/>
  <c r="V26" i="17"/>
  <c r="V269" i="17"/>
  <c r="V152" i="17"/>
  <c r="V177" i="17"/>
  <c r="V444" i="17"/>
  <c r="V329" i="17"/>
  <c r="V344" i="17"/>
  <c r="V419" i="17"/>
  <c r="V55" i="17"/>
  <c r="V49" i="17"/>
  <c r="V351" i="17"/>
  <c r="V62" i="17"/>
  <c r="V13" i="17"/>
  <c r="V226" i="17"/>
  <c r="V160" i="17"/>
  <c r="V72" i="17"/>
  <c r="V56" i="17"/>
  <c r="V340" i="17"/>
  <c r="V380" i="17"/>
  <c r="V12" i="17"/>
  <c r="V208" i="17"/>
  <c r="V271" i="17"/>
  <c r="V33" i="17"/>
  <c r="V142" i="17"/>
  <c r="V205" i="17"/>
  <c r="V170" i="17"/>
  <c r="V52" i="17"/>
  <c r="V237" i="17"/>
  <c r="V320" i="17"/>
  <c r="V451" i="17"/>
  <c r="V462" i="17"/>
  <c r="V107" i="17"/>
  <c r="V25" i="17"/>
  <c r="V460" i="17"/>
  <c r="V420" i="17"/>
  <c r="V385" i="17"/>
  <c r="V326" i="17"/>
  <c r="V19" i="17"/>
  <c r="V162" i="17"/>
  <c r="V188" i="17"/>
  <c r="V400" i="17"/>
  <c r="V250" i="17"/>
  <c r="V375" i="17"/>
  <c r="V285" i="17"/>
  <c r="V134" i="17"/>
  <c r="V176" i="17"/>
  <c r="V459" i="17"/>
  <c r="V332" i="17"/>
  <c r="V80" i="17"/>
  <c r="V450" i="17"/>
  <c r="V406" i="17"/>
  <c r="V124" i="17"/>
  <c r="V17" i="17"/>
  <c r="V305" i="17"/>
  <c r="V158" i="17"/>
  <c r="V217" i="17"/>
  <c r="V454" i="17"/>
  <c r="V252" i="17"/>
  <c r="V296" i="17"/>
  <c r="V139" i="17"/>
  <c r="V184" i="17"/>
  <c r="V126" i="17"/>
  <c r="V317" i="17"/>
  <c r="V10" i="17"/>
  <c r="V448" i="17"/>
  <c r="V425" i="17"/>
  <c r="V108" i="17"/>
  <c r="V168" i="17"/>
  <c r="V421" i="17"/>
  <c r="V60" i="17"/>
  <c r="V136" i="17"/>
  <c r="V405" i="17"/>
  <c r="V445" i="17"/>
  <c r="V276" i="17"/>
  <c r="V123" i="17"/>
  <c r="V335" i="17"/>
  <c r="V458" i="17"/>
  <c r="V377" i="17"/>
  <c r="V297" i="17"/>
  <c r="V364" i="17"/>
  <c r="V306" i="17"/>
  <c r="V333" i="17"/>
  <c r="V253" i="17"/>
  <c r="V416" i="17"/>
  <c r="V336" i="17"/>
  <c r="V95" i="17"/>
  <c r="V38" i="17"/>
  <c r="V251" i="17"/>
  <c r="V319" i="17"/>
  <c r="V2" i="17"/>
  <c r="V121" i="17"/>
  <c r="V472" i="17"/>
  <c r="V234" i="17"/>
  <c r="V135" i="17"/>
  <c r="V215" i="17"/>
  <c r="V198" i="17"/>
  <c r="V193" i="17"/>
  <c r="V453" i="17"/>
  <c r="V127" i="17"/>
  <c r="V92" i="17"/>
  <c r="V360" i="17"/>
  <c r="V334" i="17"/>
  <c r="V216" i="17"/>
  <c r="V356" i="17"/>
  <c r="V213" i="17"/>
  <c r="V352" i="17"/>
  <c r="V353" i="17"/>
  <c r="V232" i="17"/>
  <c r="V171" i="17"/>
  <c r="V341" i="17"/>
  <c r="V59" i="17"/>
  <c r="V150" i="17"/>
  <c r="V51" i="17"/>
  <c r="V275" i="17"/>
  <c r="V82" i="17"/>
  <c r="V415" i="17"/>
  <c r="V233" i="17"/>
  <c r="V74" i="17"/>
  <c r="V388" i="17"/>
  <c r="V153" i="17"/>
  <c r="V359" i="17"/>
  <c r="V218" i="17"/>
  <c r="V44" i="17"/>
  <c r="V40" i="17"/>
  <c r="V290" i="17"/>
  <c r="V255" i="17"/>
  <c r="V322" i="17"/>
  <c r="V119" i="17"/>
  <c r="V42" i="17"/>
  <c r="V20" i="17"/>
  <c r="V272" i="17"/>
  <c r="V441" i="17"/>
  <c r="V384" i="17"/>
  <c r="V264" i="17"/>
  <c r="V469" i="17"/>
  <c r="V27" i="17"/>
  <c r="V132" i="17"/>
  <c r="V225" i="17"/>
  <c r="V93" i="17"/>
  <c r="V214" i="17"/>
  <c r="V58" i="17"/>
  <c r="V386" i="17"/>
  <c r="V474" i="17"/>
  <c r="V407" i="17"/>
  <c r="V78" i="17"/>
  <c r="V166" i="17"/>
  <c r="V163" i="17"/>
  <c r="V57" i="17"/>
  <c r="V371" i="17"/>
  <c r="V105" i="17"/>
  <c r="V228" i="17"/>
  <c r="V350" i="17"/>
  <c r="V464" i="17"/>
  <c r="V303" i="17"/>
  <c r="V266" i="17"/>
  <c r="V194" i="17"/>
  <c r="V125" i="17"/>
  <c r="V308" i="17"/>
  <c r="V254" i="17"/>
  <c r="V343" i="17"/>
  <c r="V180" i="17"/>
  <c r="V133" i="17"/>
  <c r="V63" i="17"/>
  <c r="V287" i="17"/>
  <c r="V436" i="17"/>
  <c r="V457" i="17"/>
  <c r="V447" i="17"/>
  <c r="V235" i="17"/>
  <c r="V197" i="17"/>
  <c r="V261" i="17"/>
  <c r="V148" i="17"/>
  <c r="V366" i="17"/>
  <c r="V200" i="17"/>
  <c r="V256" i="17"/>
  <c r="V35" i="17"/>
  <c r="V209" i="17"/>
  <c r="V28" i="17"/>
  <c r="V210" i="17"/>
  <c r="V167" i="17"/>
  <c r="V355" i="17"/>
  <c r="V48" i="17"/>
  <c r="V46" i="17"/>
  <c r="V391" i="17"/>
  <c r="V21" i="17"/>
  <c r="V393" i="17"/>
  <c r="V76" i="17"/>
  <c r="V229" i="17"/>
  <c r="V473" i="17"/>
  <c r="V185" i="17"/>
  <c r="V241" i="17"/>
  <c r="V374" i="17"/>
  <c r="V315" i="17"/>
  <c r="V147" i="17"/>
  <c r="V18" i="17"/>
  <c r="V161" i="17"/>
  <c r="V130" i="17"/>
  <c r="V373" i="17"/>
  <c r="V470" i="17"/>
  <c r="V224" i="17"/>
  <c r="V300" i="17"/>
  <c r="V321" i="17"/>
  <c r="V466" i="17"/>
  <c r="V468" i="17"/>
  <c r="V432" i="17"/>
  <c r="V83" i="17"/>
  <c r="V85" i="17"/>
  <c r="V173" i="17"/>
  <c r="V411" i="17"/>
  <c r="V433" i="17"/>
  <c r="V327" i="17"/>
  <c r="V414" i="17"/>
  <c r="V263" i="17"/>
  <c r="V90" i="17"/>
  <c r="V278" i="17"/>
  <c r="V110" i="17"/>
  <c r="V137" i="17"/>
  <c r="V79" i="17"/>
  <c r="V240" i="17"/>
  <c r="V231" i="17"/>
  <c r="V30" i="17"/>
  <c r="V243" i="17"/>
  <c r="V102" i="17"/>
  <c r="V358" i="17"/>
  <c r="V4" i="17"/>
  <c r="V304" i="17"/>
  <c r="V288" i="17"/>
  <c r="V413" i="17"/>
  <c r="V330" i="17"/>
  <c r="V97" i="17"/>
  <c r="V111" i="17"/>
  <c r="V236" i="17"/>
  <c r="V207" i="17"/>
  <c r="V104" i="17"/>
  <c r="V14" i="17"/>
  <c r="V117" i="17"/>
  <c r="V265" i="17"/>
  <c r="V222" i="17"/>
  <c r="V182" i="17"/>
  <c r="V431" i="17"/>
  <c r="V65" i="17"/>
  <c r="V412" i="17"/>
  <c r="V239" i="17"/>
  <c r="V31" i="17"/>
  <c r="V404" i="17"/>
  <c r="V190" i="17"/>
  <c r="V103" i="17"/>
  <c r="V313" i="17"/>
  <c r="V337" i="17"/>
  <c r="V45" i="17"/>
  <c r="V8" i="17"/>
  <c r="V99" i="17"/>
  <c r="V248" i="17"/>
  <c r="V245" i="17"/>
  <c r="V29" i="17"/>
  <c r="V310" i="17"/>
  <c r="V381" i="17"/>
  <c r="V292" i="17"/>
  <c r="V156" i="17"/>
  <c r="V408" i="17"/>
  <c r="V430" i="17"/>
  <c r="V146" i="17"/>
  <c r="V195" i="17"/>
  <c r="V259" i="17"/>
  <c r="V345" i="17"/>
  <c r="V442" i="17"/>
  <c r="V357" i="17"/>
  <c r="V318" i="17"/>
  <c r="V392" i="17"/>
  <c r="V244" i="17"/>
  <c r="V81" i="17"/>
  <c r="V383" i="17"/>
  <c r="V394" i="17"/>
  <c r="V186" i="17"/>
  <c r="V211" i="17"/>
  <c r="V279" i="17"/>
  <c r="V339" i="17"/>
  <c r="V181" i="17"/>
  <c r="V91" i="17"/>
  <c r="V88" i="17"/>
  <c r="V84" i="17"/>
  <c r="V268" i="17"/>
  <c r="W257" i="17"/>
  <c r="X257" i="17" s="1"/>
  <c r="W270" i="17"/>
  <c r="X270" i="17" s="1"/>
  <c r="W434" i="17"/>
  <c r="X434" i="17" s="1"/>
  <c r="W246" i="17"/>
  <c r="X246" i="17" s="1"/>
  <c r="W398" i="17"/>
  <c r="X398" i="17" s="1"/>
  <c r="W478" i="17"/>
  <c r="X478" i="17" s="1"/>
  <c r="W151" i="17"/>
  <c r="X151" i="17" s="1"/>
  <c r="W401" i="17"/>
  <c r="X401" i="17" s="1"/>
  <c r="W71" i="17"/>
  <c r="X71" i="17" s="1"/>
  <c r="W196" i="17"/>
  <c r="X196" i="17" s="1"/>
  <c r="W367" i="17"/>
  <c r="X367" i="17" s="1"/>
  <c r="W349" i="17"/>
  <c r="X349" i="17" s="1"/>
  <c r="W114" i="17"/>
  <c r="X114" i="17" s="1"/>
  <c r="W36" i="17"/>
  <c r="X36" i="17" s="1"/>
  <c r="W61" i="17"/>
  <c r="X61" i="17" s="1"/>
  <c r="W262" i="17"/>
  <c r="X262" i="17" s="1"/>
  <c r="W365" i="17"/>
  <c r="X365" i="17" s="1"/>
  <c r="W199" i="17"/>
  <c r="X199" i="17" s="1"/>
  <c r="W376" i="17"/>
  <c r="X376" i="17" s="1"/>
  <c r="W202" i="17"/>
  <c r="X202" i="17" s="1"/>
  <c r="W131" i="17"/>
  <c r="X131" i="17" s="1"/>
  <c r="W77" i="17"/>
  <c r="X77" i="17" s="1"/>
  <c r="W348" i="17"/>
  <c r="X348" i="17" s="1"/>
  <c r="W456" i="17"/>
  <c r="X456" i="17" s="1"/>
  <c r="W298" i="17"/>
  <c r="X298" i="17" s="1"/>
  <c r="W7" i="17"/>
  <c r="X7" i="17" s="1"/>
  <c r="W426" i="17"/>
  <c r="X426" i="17" s="1"/>
  <c r="W41" i="17"/>
  <c r="X41" i="17" s="1"/>
  <c r="W294" i="17"/>
  <c r="X294" i="17" s="1"/>
  <c r="W424" i="17"/>
  <c r="X424" i="17" s="1"/>
  <c r="W3" i="17"/>
  <c r="X3" i="17" s="1"/>
  <c r="W283" i="17"/>
  <c r="X283" i="17" s="1"/>
  <c r="W116" i="17"/>
  <c r="X116" i="17" s="1"/>
  <c r="W282" i="17"/>
  <c r="X282" i="17" s="1"/>
  <c r="W311" i="17"/>
  <c r="X311" i="17" s="1"/>
  <c r="W189" i="17"/>
  <c r="X189" i="17" s="1"/>
  <c r="W86" i="17"/>
  <c r="X86" i="17" s="1"/>
  <c r="W324" i="17"/>
  <c r="X324" i="17" s="1"/>
  <c r="W295" i="17"/>
  <c r="X295" i="17" s="1"/>
  <c r="W47" i="17"/>
  <c r="X47" i="17" s="1"/>
  <c r="W191" i="17"/>
  <c r="X191" i="17" s="1"/>
  <c r="W120" i="17"/>
  <c r="X120" i="17" s="1"/>
  <c r="W107" i="17"/>
  <c r="X107" i="17" s="1"/>
  <c r="W396" i="17"/>
  <c r="X396" i="17" s="1"/>
  <c r="W472" i="17"/>
  <c r="X472" i="17" s="1"/>
  <c r="W342" i="17"/>
  <c r="X342" i="17" s="1"/>
  <c r="W100" i="17"/>
  <c r="X100" i="17" s="1"/>
  <c r="W32" i="17"/>
  <c r="X32" i="17" s="1"/>
  <c r="W461" i="17"/>
  <c r="X461" i="17" s="1"/>
  <c r="W96" i="17"/>
  <c r="X96" i="17" s="1"/>
  <c r="W249" i="17"/>
  <c r="X249" i="17" s="1"/>
  <c r="W145" i="17"/>
  <c r="X145" i="17" s="1"/>
  <c r="W69" i="17"/>
  <c r="X69" i="17" s="1"/>
  <c r="W369" i="17"/>
  <c r="X369" i="17" s="1"/>
  <c r="W34" i="17"/>
  <c r="X34" i="17" s="1"/>
  <c r="W338" i="17"/>
  <c r="X338" i="17" s="1"/>
  <c r="W475" i="17"/>
  <c r="X475" i="17" s="1"/>
  <c r="W242" i="17"/>
  <c r="X242" i="17" s="1"/>
  <c r="W382" i="17"/>
  <c r="X382" i="17" s="1"/>
  <c r="W455" i="17"/>
  <c r="X455" i="17" s="1"/>
  <c r="W220" i="17"/>
  <c r="X220" i="17" s="1"/>
  <c r="W54" i="17"/>
  <c r="X54" i="17" s="1"/>
  <c r="W11" i="17"/>
  <c r="X11" i="17" s="1"/>
  <c r="W112" i="17"/>
  <c r="X112" i="17" s="1"/>
  <c r="W418" i="17"/>
  <c r="X418" i="17" s="1"/>
  <c r="W106" i="17"/>
  <c r="X106" i="17" s="1"/>
  <c r="W379" i="17"/>
  <c r="X379" i="17" s="1"/>
  <c r="W479" i="17"/>
  <c r="X479" i="17" s="1"/>
  <c r="W50" i="17"/>
  <c r="X50" i="17" s="1"/>
  <c r="W138" i="17"/>
  <c r="X138" i="17" s="1"/>
  <c r="W174" i="17"/>
  <c r="X174" i="17" s="1"/>
  <c r="W323" i="17"/>
  <c r="X323" i="17" s="1"/>
  <c r="W402" i="17"/>
  <c r="X402" i="17" s="1"/>
  <c r="W289" i="17"/>
  <c r="X289" i="17" s="1"/>
  <c r="W128" i="17"/>
  <c r="X128" i="17" s="1"/>
  <c r="W284" i="17"/>
  <c r="X284" i="17" s="1"/>
  <c r="W389" i="17"/>
  <c r="X389" i="17" s="1"/>
  <c r="W429" i="17"/>
  <c r="X429" i="17" s="1"/>
  <c r="W286" i="17"/>
  <c r="X286" i="17" s="1"/>
  <c r="W277" i="17"/>
  <c r="X277" i="17" s="1"/>
  <c r="W368" i="17"/>
  <c r="X368" i="17" s="1"/>
  <c r="W428" i="17"/>
  <c r="X428" i="17" s="1"/>
  <c r="W98" i="17"/>
  <c r="X98" i="17" s="1"/>
  <c r="W230" i="17"/>
  <c r="X230" i="17" s="1"/>
  <c r="W443" i="17"/>
  <c r="X443" i="17" s="1"/>
  <c r="W22" i="17"/>
  <c r="X22" i="17" s="1"/>
  <c r="W175" i="17"/>
  <c r="X175" i="17" s="1"/>
  <c r="W89" i="17"/>
  <c r="X89" i="17" s="1"/>
  <c r="W179" i="17"/>
  <c r="X179" i="17" s="1"/>
  <c r="W387" i="17"/>
  <c r="X387" i="17" s="1"/>
  <c r="W204" i="17"/>
  <c r="X204" i="17" s="1"/>
  <c r="W101" i="17"/>
  <c r="X101" i="17" s="1"/>
  <c r="W43" i="17"/>
  <c r="X43" i="17" s="1"/>
  <c r="W477" i="17"/>
  <c r="X477" i="17" s="1"/>
  <c r="W53" i="17"/>
  <c r="X53" i="17" s="1"/>
  <c r="W140" i="17"/>
  <c r="X140" i="17" s="1"/>
  <c r="W212" i="17"/>
  <c r="X212" i="17" s="1"/>
  <c r="W172" i="17"/>
  <c r="X172" i="17" s="1"/>
  <c r="W115" i="17"/>
  <c r="X115" i="17" s="1"/>
  <c r="W238" i="17"/>
  <c r="X238" i="17" s="1"/>
  <c r="W164" i="17"/>
  <c r="X164" i="17" s="1"/>
  <c r="W260" i="17"/>
  <c r="X260" i="17" s="1"/>
  <c r="W314" i="17"/>
  <c r="X314" i="17" s="1"/>
  <c r="W399" i="17"/>
  <c r="X399" i="17" s="1"/>
  <c r="W437" i="17"/>
  <c r="X437" i="17" s="1"/>
  <c r="W409" i="17"/>
  <c r="X409" i="17" s="1"/>
  <c r="W446" i="17"/>
  <c r="X446" i="17" s="1"/>
  <c r="W4" i="17"/>
  <c r="X4" i="17" s="1"/>
  <c r="W154" i="17"/>
  <c r="X154" i="17" s="1"/>
  <c r="W24" i="17"/>
  <c r="X24" i="17" s="1"/>
  <c r="W133" i="17"/>
  <c r="X133" i="17" s="1"/>
  <c r="W94" i="17"/>
  <c r="X94" i="17" s="1"/>
  <c r="W293" i="17"/>
  <c r="X293" i="17" s="1"/>
  <c r="W247" i="17"/>
  <c r="X247" i="17" s="1"/>
  <c r="W223" i="17"/>
  <c r="X223" i="17" s="1"/>
  <c r="W427" i="17"/>
  <c r="X427" i="17" s="1"/>
  <c r="W159" i="17"/>
  <c r="X159" i="17" s="1"/>
  <c r="W113" i="17"/>
  <c r="X113" i="17" s="1"/>
  <c r="W127" i="17"/>
  <c r="X127" i="17" s="1"/>
  <c r="W143" i="17"/>
  <c r="X143" i="17" s="1"/>
  <c r="W70" i="17"/>
  <c r="X70" i="17" s="1"/>
  <c r="W6" i="17"/>
  <c r="X6" i="17" s="1"/>
  <c r="W16" i="17"/>
  <c r="X16" i="17" s="1"/>
  <c r="W66" i="17"/>
  <c r="X66" i="17" s="1"/>
  <c r="W422" i="17"/>
  <c r="X422" i="17" s="1"/>
  <c r="W203" i="17"/>
  <c r="X203" i="17" s="1"/>
  <c r="W440" i="17"/>
  <c r="X440" i="17" s="1"/>
  <c r="W449" i="17"/>
  <c r="X449" i="17" s="1"/>
  <c r="W178" i="17"/>
  <c r="X178" i="17" s="1"/>
  <c r="W183" i="17"/>
  <c r="X183" i="17" s="1"/>
  <c r="W87" i="17"/>
  <c r="X87" i="17" s="1"/>
  <c r="W372" i="17"/>
  <c r="X372" i="17" s="1"/>
  <c r="W201" i="17"/>
  <c r="X201" i="17" s="1"/>
  <c r="W75" i="17"/>
  <c r="X75" i="17" s="1"/>
  <c r="W129" i="17"/>
  <c r="X129" i="17" s="1"/>
  <c r="W309" i="17"/>
  <c r="X309" i="17" s="1"/>
  <c r="W471" i="17"/>
  <c r="X471" i="17" s="1"/>
  <c r="W219" i="17"/>
  <c r="X219" i="17" s="1"/>
  <c r="W281" i="17"/>
  <c r="X281" i="17" s="1"/>
  <c r="W227" i="17"/>
  <c r="X227" i="17" s="1"/>
  <c r="W347" i="17"/>
  <c r="X347" i="17" s="1"/>
  <c r="W463" i="17"/>
  <c r="X463" i="17" s="1"/>
  <c r="W439" i="17"/>
  <c r="X439" i="17" s="1"/>
  <c r="W299" i="17"/>
  <c r="X299" i="17" s="1"/>
  <c r="W15" i="17"/>
  <c r="X15" i="17" s="1"/>
  <c r="W258" i="17"/>
  <c r="X258" i="17" s="1"/>
  <c r="W155" i="17"/>
  <c r="X155" i="17" s="1"/>
  <c r="W361" i="17"/>
  <c r="X361" i="17" s="1"/>
  <c r="W417" i="17"/>
  <c r="X417" i="17" s="1"/>
  <c r="W118" i="17"/>
  <c r="X118" i="17" s="1"/>
  <c r="W410" i="17"/>
  <c r="X410" i="17" s="1"/>
  <c r="W328" i="17"/>
  <c r="X328" i="17" s="1"/>
  <c r="W280" i="17"/>
  <c r="X280" i="17" s="1"/>
  <c r="W325" i="17"/>
  <c r="X325" i="17" s="1"/>
  <c r="W378" i="17"/>
  <c r="X378" i="17" s="1"/>
  <c r="W423" i="17"/>
  <c r="X423" i="17" s="1"/>
  <c r="W73" i="17"/>
  <c r="X73" i="17" s="1"/>
  <c r="W37" i="17"/>
  <c r="X37" i="17" s="1"/>
  <c r="W206" i="17"/>
  <c r="X206" i="17" s="1"/>
  <c r="W192" i="17"/>
  <c r="X192" i="17" s="1"/>
  <c r="W5" i="17"/>
  <c r="X5" i="17" s="1"/>
  <c r="W291" i="17"/>
  <c r="X291" i="17" s="1"/>
  <c r="W67" i="17"/>
  <c r="X67" i="17" s="1"/>
  <c r="W307" i="17"/>
  <c r="X307" i="17" s="1"/>
  <c r="W68" i="17"/>
  <c r="X68" i="17" s="1"/>
  <c r="W312" i="17"/>
  <c r="X312" i="17" s="1"/>
  <c r="W302" i="17"/>
  <c r="X302" i="17" s="1"/>
  <c r="W316" i="17"/>
  <c r="X316" i="17" s="1"/>
  <c r="W39" i="17"/>
  <c r="X39" i="17" s="1"/>
  <c r="W452" i="17"/>
  <c r="X452" i="17" s="1"/>
  <c r="W141" i="17"/>
  <c r="X141" i="17" s="1"/>
  <c r="W362" i="17"/>
  <c r="X362" i="17" s="1"/>
  <c r="W274" i="17"/>
  <c r="X274" i="17" s="1"/>
  <c r="W9" i="17"/>
  <c r="X9" i="17" s="1"/>
  <c r="W395" i="17"/>
  <c r="X395" i="17" s="1"/>
  <c r="W354" i="17"/>
  <c r="X354" i="17" s="1"/>
  <c r="W187" i="17"/>
  <c r="X187" i="17" s="1"/>
  <c r="W363" i="17"/>
  <c r="X363" i="17" s="1"/>
  <c r="W149" i="17"/>
  <c r="X149" i="17" s="1"/>
  <c r="W165" i="17"/>
  <c r="X165" i="17" s="1"/>
  <c r="W370" i="17"/>
  <c r="X370" i="17" s="1"/>
  <c r="W267" i="17"/>
  <c r="X267" i="17" s="1"/>
  <c r="W23" i="17"/>
  <c r="X23" i="17" s="1"/>
  <c r="W221" i="17"/>
  <c r="X221" i="17" s="1"/>
  <c r="W346" i="17"/>
  <c r="X346" i="17" s="1"/>
  <c r="W169" i="17"/>
  <c r="X169" i="17" s="1"/>
  <c r="W144" i="17"/>
  <c r="X144" i="17" s="1"/>
  <c r="W157" i="17"/>
  <c r="X157" i="17" s="1"/>
  <c r="W122" i="17"/>
  <c r="X122" i="17" s="1"/>
  <c r="W301" i="17"/>
  <c r="X301" i="17" s="1"/>
  <c r="W64" i="17"/>
  <c r="X64" i="17" s="1"/>
  <c r="W467" i="17"/>
  <c r="X467" i="17" s="1"/>
  <c r="W397" i="17"/>
  <c r="X397" i="17" s="1"/>
  <c r="W273" i="17"/>
  <c r="X273" i="17" s="1"/>
  <c r="W331" i="17"/>
  <c r="X331" i="17" s="1"/>
  <c r="W390" i="17"/>
  <c r="X390" i="17" s="1"/>
  <c r="W476" i="17"/>
  <c r="X476" i="17" s="1"/>
  <c r="W465" i="17"/>
  <c r="X465" i="17" s="1"/>
  <c r="W438" i="17"/>
  <c r="X438" i="17" s="1"/>
  <c r="W435" i="17"/>
  <c r="X435" i="17" s="1"/>
  <c r="W403" i="17"/>
  <c r="X403" i="17" s="1"/>
  <c r="W26" i="17"/>
  <c r="X26" i="17" s="1"/>
  <c r="W269" i="17"/>
  <c r="X269" i="17" s="1"/>
  <c r="W152" i="17"/>
  <c r="X152" i="17" s="1"/>
  <c r="W177" i="17"/>
  <c r="X177" i="17" s="1"/>
  <c r="W444" i="17"/>
  <c r="X444" i="17" s="1"/>
  <c r="W329" i="17"/>
  <c r="X329" i="17" s="1"/>
  <c r="W344" i="17"/>
  <c r="X344" i="17" s="1"/>
  <c r="W419" i="17"/>
  <c r="X419" i="17" s="1"/>
  <c r="W55" i="17"/>
  <c r="X55" i="17" s="1"/>
  <c r="W49" i="17"/>
  <c r="X49" i="17" s="1"/>
  <c r="W351" i="17"/>
  <c r="X351" i="17" s="1"/>
  <c r="W62" i="17"/>
  <c r="X62" i="17" s="1"/>
  <c r="W13" i="17"/>
  <c r="X13" i="17" s="1"/>
  <c r="W226" i="17"/>
  <c r="X226" i="17" s="1"/>
  <c r="W160" i="17"/>
  <c r="X160" i="17" s="1"/>
  <c r="W72" i="17"/>
  <c r="X72" i="17" s="1"/>
  <c r="W56" i="17"/>
  <c r="X56" i="17" s="1"/>
  <c r="W340" i="17"/>
  <c r="X340" i="17" s="1"/>
  <c r="W380" i="17"/>
  <c r="X380" i="17" s="1"/>
  <c r="W12" i="17"/>
  <c r="X12" i="17" s="1"/>
  <c r="W208" i="17"/>
  <c r="X208" i="17" s="1"/>
  <c r="W271" i="17"/>
  <c r="X271" i="17" s="1"/>
  <c r="W33" i="17"/>
  <c r="X33" i="17" s="1"/>
  <c r="W142" i="17"/>
  <c r="X142" i="17" s="1"/>
  <c r="W205" i="17"/>
  <c r="X205" i="17" s="1"/>
  <c r="W170" i="17"/>
  <c r="X170" i="17" s="1"/>
  <c r="W52" i="17"/>
  <c r="X52" i="17" s="1"/>
  <c r="W237" i="17"/>
  <c r="X237" i="17" s="1"/>
  <c r="W320" i="17"/>
  <c r="X320" i="17" s="1"/>
  <c r="W451" i="17"/>
  <c r="X451" i="17" s="1"/>
  <c r="W462" i="17"/>
  <c r="X462" i="17" s="1"/>
  <c r="W109" i="17"/>
  <c r="X109" i="17" s="1"/>
  <c r="W25" i="17"/>
  <c r="X25" i="17" s="1"/>
  <c r="W460" i="17"/>
  <c r="X460" i="17" s="1"/>
  <c r="W420" i="17"/>
  <c r="X420" i="17" s="1"/>
  <c r="W385" i="17"/>
  <c r="X385" i="17" s="1"/>
  <c r="W326" i="17"/>
  <c r="X326" i="17" s="1"/>
  <c r="W19" i="17"/>
  <c r="X19" i="17" s="1"/>
  <c r="W162" i="17"/>
  <c r="X162" i="17" s="1"/>
  <c r="W188" i="17"/>
  <c r="X188" i="17" s="1"/>
  <c r="W400" i="17"/>
  <c r="X400" i="17" s="1"/>
  <c r="W250" i="17"/>
  <c r="X250" i="17" s="1"/>
  <c r="W375" i="17"/>
  <c r="X375" i="17" s="1"/>
  <c r="W285" i="17"/>
  <c r="X285" i="17" s="1"/>
  <c r="W134" i="17"/>
  <c r="X134" i="17" s="1"/>
  <c r="W176" i="17"/>
  <c r="X176" i="17" s="1"/>
  <c r="W459" i="17"/>
  <c r="X459" i="17" s="1"/>
  <c r="W332" i="17"/>
  <c r="X332" i="17" s="1"/>
  <c r="W80" i="17"/>
  <c r="X80" i="17" s="1"/>
  <c r="W450" i="17"/>
  <c r="X450" i="17" s="1"/>
  <c r="W406" i="17"/>
  <c r="X406" i="17" s="1"/>
  <c r="W124" i="17"/>
  <c r="X124" i="17" s="1"/>
  <c r="W17" i="17"/>
  <c r="X17" i="17" s="1"/>
  <c r="W305" i="17"/>
  <c r="X305" i="17" s="1"/>
  <c r="W158" i="17"/>
  <c r="X158" i="17" s="1"/>
  <c r="W217" i="17"/>
  <c r="X217" i="17" s="1"/>
  <c r="W454" i="17"/>
  <c r="X454" i="17" s="1"/>
  <c r="W252" i="17"/>
  <c r="X252" i="17" s="1"/>
  <c r="W296" i="17"/>
  <c r="X296" i="17" s="1"/>
  <c r="W139" i="17"/>
  <c r="X139" i="17" s="1"/>
  <c r="W184" i="17"/>
  <c r="X184" i="17" s="1"/>
  <c r="W126" i="17"/>
  <c r="X126" i="17" s="1"/>
  <c r="W317" i="17"/>
  <c r="X317" i="17" s="1"/>
  <c r="W10" i="17"/>
  <c r="X10" i="17" s="1"/>
  <c r="W448" i="17"/>
  <c r="X448" i="17" s="1"/>
  <c r="W425" i="17"/>
  <c r="X425" i="17" s="1"/>
  <c r="W108" i="17"/>
  <c r="X108" i="17" s="1"/>
  <c r="W168" i="17"/>
  <c r="X168" i="17" s="1"/>
  <c r="W421" i="17"/>
  <c r="X421" i="17" s="1"/>
  <c r="W60" i="17"/>
  <c r="X60" i="17" s="1"/>
  <c r="W136" i="17"/>
  <c r="X136" i="17" s="1"/>
  <c r="W405" i="17"/>
  <c r="X405" i="17" s="1"/>
  <c r="W445" i="17"/>
  <c r="X445" i="17" s="1"/>
  <c r="W276" i="17"/>
  <c r="X276" i="17" s="1"/>
  <c r="W123" i="17"/>
  <c r="X123" i="17" s="1"/>
  <c r="W335" i="17"/>
  <c r="X335" i="17" s="1"/>
  <c r="W458" i="17"/>
  <c r="X458" i="17" s="1"/>
  <c r="W377" i="17"/>
  <c r="X377" i="17" s="1"/>
  <c r="W297" i="17"/>
  <c r="X297" i="17" s="1"/>
  <c r="W364" i="17"/>
  <c r="X364" i="17" s="1"/>
  <c r="W306" i="17"/>
  <c r="X306" i="17" s="1"/>
  <c r="W333" i="17"/>
  <c r="X333" i="17" s="1"/>
  <c r="W253" i="17"/>
  <c r="X253" i="17" s="1"/>
  <c r="W416" i="17"/>
  <c r="X416" i="17" s="1"/>
  <c r="W336" i="17"/>
  <c r="X336" i="17" s="1"/>
  <c r="W95" i="17"/>
  <c r="X95" i="17" s="1"/>
  <c r="W38" i="17"/>
  <c r="X38" i="17" s="1"/>
  <c r="W251" i="17"/>
  <c r="X251" i="17" s="1"/>
  <c r="W319" i="17"/>
  <c r="X319" i="17" s="1"/>
  <c r="W2" i="17"/>
  <c r="X2" i="17" s="1"/>
  <c r="W121" i="17"/>
  <c r="X121" i="17" s="1"/>
  <c r="W234" i="17"/>
  <c r="X234" i="17" s="1"/>
  <c r="W135" i="17"/>
  <c r="X135" i="17" s="1"/>
  <c r="W215" i="17"/>
  <c r="X215" i="17" s="1"/>
  <c r="W198" i="17"/>
  <c r="X198" i="17" s="1"/>
  <c r="W193" i="17"/>
  <c r="X193" i="17" s="1"/>
  <c r="W453" i="17"/>
  <c r="X453" i="17" s="1"/>
  <c r="W92" i="17"/>
  <c r="X92" i="17" s="1"/>
  <c r="W360" i="17"/>
  <c r="X360" i="17" s="1"/>
  <c r="W334" i="17"/>
  <c r="X334" i="17" s="1"/>
  <c r="W216" i="17"/>
  <c r="X216" i="17" s="1"/>
  <c r="W356" i="17"/>
  <c r="X356" i="17" s="1"/>
  <c r="W213" i="17"/>
  <c r="X213" i="17" s="1"/>
  <c r="W352" i="17"/>
  <c r="X352" i="17" s="1"/>
  <c r="W353" i="17"/>
  <c r="X353" i="17" s="1"/>
  <c r="W232" i="17"/>
  <c r="X232" i="17" s="1"/>
  <c r="W171" i="17"/>
  <c r="X171" i="17" s="1"/>
  <c r="W341" i="17"/>
  <c r="X341" i="17" s="1"/>
  <c r="W59" i="17"/>
  <c r="X59" i="17" s="1"/>
  <c r="W150" i="17"/>
  <c r="X150" i="17" s="1"/>
  <c r="W51" i="17"/>
  <c r="X51" i="17" s="1"/>
  <c r="W275" i="17"/>
  <c r="X275" i="17" s="1"/>
  <c r="W82" i="17"/>
  <c r="X82" i="17" s="1"/>
  <c r="W415" i="17"/>
  <c r="X415" i="17" s="1"/>
  <c r="W233" i="17"/>
  <c r="X233" i="17" s="1"/>
  <c r="W74" i="17"/>
  <c r="X74" i="17" s="1"/>
  <c r="W388" i="17"/>
  <c r="X388" i="17" s="1"/>
  <c r="W153" i="17"/>
  <c r="X153" i="17" s="1"/>
  <c r="W359" i="17"/>
  <c r="X359" i="17" s="1"/>
  <c r="W218" i="17"/>
  <c r="X218" i="17" s="1"/>
  <c r="W44" i="17"/>
  <c r="X44" i="17" s="1"/>
  <c r="W40" i="17"/>
  <c r="X40" i="17" s="1"/>
  <c r="W290" i="17"/>
  <c r="X290" i="17" s="1"/>
  <c r="W255" i="17"/>
  <c r="X255" i="17" s="1"/>
  <c r="W322" i="17"/>
  <c r="X322" i="17" s="1"/>
  <c r="W119" i="17"/>
  <c r="X119" i="17" s="1"/>
  <c r="W42" i="17"/>
  <c r="X42" i="17" s="1"/>
  <c r="W20" i="17"/>
  <c r="X20" i="17" s="1"/>
  <c r="W272" i="17"/>
  <c r="X272" i="17" s="1"/>
  <c r="W441" i="17"/>
  <c r="X441" i="17" s="1"/>
  <c r="W384" i="17"/>
  <c r="X384" i="17" s="1"/>
  <c r="W264" i="17"/>
  <c r="X264" i="17" s="1"/>
  <c r="W469" i="17"/>
  <c r="X469" i="17" s="1"/>
  <c r="W27" i="17"/>
  <c r="X27" i="17" s="1"/>
  <c r="W132" i="17"/>
  <c r="X132" i="17" s="1"/>
  <c r="W225" i="17"/>
  <c r="X225" i="17" s="1"/>
  <c r="W93" i="17"/>
  <c r="X93" i="17" s="1"/>
  <c r="W214" i="17"/>
  <c r="X214" i="17" s="1"/>
  <c r="W58" i="17"/>
  <c r="X58" i="17" s="1"/>
  <c r="W386" i="17"/>
  <c r="X386" i="17" s="1"/>
  <c r="W474" i="17"/>
  <c r="X474" i="17" s="1"/>
  <c r="W407" i="17"/>
  <c r="X407" i="17" s="1"/>
  <c r="W78" i="17"/>
  <c r="X78" i="17" s="1"/>
  <c r="W166" i="17"/>
  <c r="X166" i="17" s="1"/>
  <c r="W163" i="17"/>
  <c r="X163" i="17" s="1"/>
  <c r="W57" i="17"/>
  <c r="X57" i="17" s="1"/>
  <c r="W371" i="17"/>
  <c r="X371" i="17" s="1"/>
  <c r="W105" i="17"/>
  <c r="X105" i="17" s="1"/>
  <c r="W228" i="17"/>
  <c r="X228" i="17" s="1"/>
  <c r="W350" i="17"/>
  <c r="X350" i="17" s="1"/>
  <c r="W464" i="17"/>
  <c r="X464" i="17" s="1"/>
  <c r="W303" i="17"/>
  <c r="X303" i="17" s="1"/>
  <c r="W266" i="17"/>
  <c r="X266" i="17" s="1"/>
  <c r="W194" i="17"/>
  <c r="X194" i="17" s="1"/>
  <c r="W125" i="17"/>
  <c r="X125" i="17" s="1"/>
  <c r="W308" i="17"/>
  <c r="X308" i="17" s="1"/>
  <c r="W254" i="17"/>
  <c r="X254" i="17" s="1"/>
  <c r="W343" i="17"/>
  <c r="X343" i="17" s="1"/>
  <c r="W180" i="17"/>
  <c r="X180" i="17" s="1"/>
  <c r="W63" i="17"/>
  <c r="X63" i="17" s="1"/>
  <c r="W287" i="17"/>
  <c r="X287" i="17" s="1"/>
  <c r="W436" i="17"/>
  <c r="X436" i="17" s="1"/>
  <c r="W457" i="17"/>
  <c r="X457" i="17" s="1"/>
  <c r="W447" i="17"/>
  <c r="X447" i="17" s="1"/>
  <c r="W235" i="17"/>
  <c r="X235" i="17" s="1"/>
  <c r="W197" i="17"/>
  <c r="X197" i="17" s="1"/>
  <c r="W261" i="17"/>
  <c r="X261" i="17" s="1"/>
  <c r="W148" i="17"/>
  <c r="X148" i="17" s="1"/>
  <c r="W366" i="17"/>
  <c r="X366" i="17" s="1"/>
  <c r="W200" i="17"/>
  <c r="X200" i="17" s="1"/>
  <c r="W256" i="17"/>
  <c r="X256" i="17" s="1"/>
  <c r="W35" i="17"/>
  <c r="X35" i="17" s="1"/>
  <c r="W209" i="17"/>
  <c r="X209" i="17" s="1"/>
  <c r="W28" i="17"/>
  <c r="X28" i="17" s="1"/>
  <c r="W210" i="17"/>
  <c r="X210" i="17" s="1"/>
  <c r="W167" i="17"/>
  <c r="X167" i="17" s="1"/>
  <c r="W355" i="17"/>
  <c r="X355" i="17" s="1"/>
  <c r="W48" i="17"/>
  <c r="X48" i="17" s="1"/>
  <c r="W46" i="17"/>
  <c r="X46" i="17" s="1"/>
  <c r="W391" i="17"/>
  <c r="X391" i="17" s="1"/>
  <c r="W21" i="17"/>
  <c r="X21" i="17" s="1"/>
  <c r="W393" i="17"/>
  <c r="X393" i="17" s="1"/>
  <c r="W76" i="17"/>
  <c r="X76" i="17" s="1"/>
  <c r="W229" i="17"/>
  <c r="X229" i="17" s="1"/>
  <c r="W473" i="17"/>
  <c r="X473" i="17" s="1"/>
  <c r="W185" i="17"/>
  <c r="X185" i="17" s="1"/>
  <c r="W241" i="17"/>
  <c r="X241" i="17" s="1"/>
  <c r="W374" i="17"/>
  <c r="X374" i="17" s="1"/>
  <c r="W315" i="17"/>
  <c r="X315" i="17" s="1"/>
  <c r="W147" i="17"/>
  <c r="X147" i="17" s="1"/>
  <c r="W18" i="17"/>
  <c r="X18" i="17" s="1"/>
  <c r="W161" i="17"/>
  <c r="X161" i="17" s="1"/>
  <c r="W130" i="17"/>
  <c r="X130" i="17" s="1"/>
  <c r="W373" i="17"/>
  <c r="X373" i="17" s="1"/>
  <c r="W470" i="17"/>
  <c r="X470" i="17" s="1"/>
  <c r="W224" i="17"/>
  <c r="X224" i="17" s="1"/>
  <c r="W300" i="17"/>
  <c r="X300" i="17" s="1"/>
  <c r="W321" i="17"/>
  <c r="X321" i="17" s="1"/>
  <c r="W466" i="17"/>
  <c r="X466" i="17" s="1"/>
  <c r="W468" i="17"/>
  <c r="X468" i="17" s="1"/>
  <c r="W432" i="17"/>
  <c r="X432" i="17" s="1"/>
  <c r="W83" i="17"/>
  <c r="X83" i="17" s="1"/>
  <c r="W85" i="17"/>
  <c r="X85" i="17" s="1"/>
  <c r="W173" i="17"/>
  <c r="X173" i="17" s="1"/>
  <c r="W411" i="17"/>
  <c r="X411" i="17" s="1"/>
  <c r="W433" i="17"/>
  <c r="X433" i="17" s="1"/>
  <c r="W327" i="17"/>
  <c r="X327" i="17" s="1"/>
  <c r="W414" i="17"/>
  <c r="X414" i="17" s="1"/>
  <c r="W263" i="17"/>
  <c r="X263" i="17" s="1"/>
  <c r="W90" i="17"/>
  <c r="X90" i="17" s="1"/>
  <c r="W278" i="17"/>
  <c r="X278" i="17" s="1"/>
  <c r="W110" i="17"/>
  <c r="X110" i="17" s="1"/>
  <c r="W137" i="17"/>
  <c r="X137" i="17" s="1"/>
  <c r="W79" i="17"/>
  <c r="X79" i="17" s="1"/>
  <c r="W240" i="17"/>
  <c r="X240" i="17" s="1"/>
  <c r="W231" i="17"/>
  <c r="X231" i="17" s="1"/>
  <c r="W30" i="17"/>
  <c r="X30" i="17" s="1"/>
  <c r="W243" i="17"/>
  <c r="X243" i="17" s="1"/>
  <c r="W102" i="17"/>
  <c r="X102" i="17" s="1"/>
  <c r="W358" i="17"/>
  <c r="X358" i="17" s="1"/>
  <c r="W304" i="17"/>
  <c r="X304" i="17" s="1"/>
  <c r="W288" i="17"/>
  <c r="X288" i="17" s="1"/>
  <c r="W413" i="17"/>
  <c r="X413" i="17" s="1"/>
  <c r="W330" i="17"/>
  <c r="X330" i="17" s="1"/>
  <c r="W97" i="17"/>
  <c r="X97" i="17" s="1"/>
  <c r="W111" i="17"/>
  <c r="X111" i="17" s="1"/>
  <c r="W236" i="17"/>
  <c r="X236" i="17" s="1"/>
  <c r="W207" i="17"/>
  <c r="X207" i="17" s="1"/>
  <c r="W104" i="17"/>
  <c r="X104" i="17" s="1"/>
  <c r="W14" i="17"/>
  <c r="X14" i="17" s="1"/>
  <c r="W117" i="17"/>
  <c r="X117" i="17" s="1"/>
  <c r="W265" i="17"/>
  <c r="X265" i="17" s="1"/>
  <c r="W222" i="17"/>
  <c r="X222" i="17" s="1"/>
  <c r="W182" i="17"/>
  <c r="X182" i="17" s="1"/>
  <c r="W431" i="17"/>
  <c r="X431" i="17" s="1"/>
  <c r="W65" i="17"/>
  <c r="X65" i="17" s="1"/>
  <c r="W412" i="17"/>
  <c r="X412" i="17" s="1"/>
  <c r="W239" i="17"/>
  <c r="X239" i="17" s="1"/>
  <c r="W31" i="17"/>
  <c r="X31" i="17" s="1"/>
  <c r="W404" i="17"/>
  <c r="X404" i="17" s="1"/>
  <c r="W190" i="17"/>
  <c r="X190" i="17" s="1"/>
  <c r="W103" i="17"/>
  <c r="X103" i="17" s="1"/>
  <c r="W313" i="17"/>
  <c r="X313" i="17" s="1"/>
  <c r="W337" i="17"/>
  <c r="X337" i="17" s="1"/>
  <c r="W45" i="17"/>
  <c r="X45" i="17" s="1"/>
  <c r="W8" i="17"/>
  <c r="X8" i="17" s="1"/>
  <c r="W99" i="17"/>
  <c r="X99" i="17" s="1"/>
  <c r="W248" i="17"/>
  <c r="X248" i="17" s="1"/>
  <c r="W245" i="17"/>
  <c r="X245" i="17" s="1"/>
  <c r="W29" i="17"/>
  <c r="X29" i="17" s="1"/>
  <c r="W310" i="17"/>
  <c r="X310" i="17" s="1"/>
  <c r="W381" i="17"/>
  <c r="X381" i="17" s="1"/>
  <c r="W292" i="17"/>
  <c r="X292" i="17" s="1"/>
  <c r="W156" i="17"/>
  <c r="X156" i="17" s="1"/>
  <c r="W408" i="17"/>
  <c r="X408" i="17" s="1"/>
  <c r="W430" i="17"/>
  <c r="X430" i="17" s="1"/>
  <c r="W146" i="17"/>
  <c r="X146" i="17" s="1"/>
  <c r="W195" i="17"/>
  <c r="X195" i="17" s="1"/>
  <c r="W259" i="17"/>
  <c r="X259" i="17" s="1"/>
  <c r="W345" i="17"/>
  <c r="X345" i="17" s="1"/>
  <c r="W442" i="17"/>
  <c r="X442" i="17" s="1"/>
  <c r="W357" i="17"/>
  <c r="X357" i="17" s="1"/>
  <c r="W318" i="17"/>
  <c r="X318" i="17" s="1"/>
  <c r="W392" i="17"/>
  <c r="X392" i="17" s="1"/>
  <c r="W244" i="17"/>
  <c r="X244" i="17" s="1"/>
  <c r="W81" i="17"/>
  <c r="X81" i="17" s="1"/>
  <c r="W383" i="17"/>
  <c r="X383" i="17" s="1"/>
  <c r="W394" i="17"/>
  <c r="X394" i="17" s="1"/>
  <c r="W186" i="17"/>
  <c r="X186" i="17" s="1"/>
  <c r="W211" i="17"/>
  <c r="X211" i="17" s="1"/>
  <c r="W279" i="17"/>
  <c r="X279" i="17" s="1"/>
  <c r="W339" i="17"/>
  <c r="X339" i="17" s="1"/>
  <c r="W181" i="17"/>
  <c r="X181" i="17" s="1"/>
  <c r="W91" i="17"/>
  <c r="X91" i="17" s="1"/>
  <c r="W88" i="17"/>
  <c r="X88" i="17" s="1"/>
  <c r="W84" i="17"/>
  <c r="X84" i="17" s="1"/>
  <c r="W268" i="17"/>
  <c r="X268" i="17" s="1"/>
  <c r="V258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49695-4EE8-4FD1-A17F-51562160CFAF}" keepAlive="1" name="Requête - Clients_Churn_Part" description="Connexion à la requête « Clients_Churn_Part » dans le classeur." type="5" refreshedVersion="8" background="1" saveData="1">
    <dbPr connection="Provider=Microsoft.Mashup.OleDb.1;Data Source=$Workbook$;Location=Clients_Churn_Part;Extended Properties=&quot;&quot;" command="SELECT * FROM [Clients_Churn_Part]"/>
  </connection>
  <connection id="2" xr16:uid="{EA950DF2-6B9D-440C-AD09-1A6915D3D88F}" keepAlive="1" name="Requête - Clients_Churn_Part (2)" description="Connexion à la requête « Clients_Churn_Part (2) » dans le classeur." type="5" refreshedVersion="8" background="1" saveData="1">
    <dbPr connection="Provider=Microsoft.Mashup.OleDb.1;Data Source=$Workbook$;Location=&quot;Clients_Churn_Part (2)&quot;;Extended Properties=&quot;&quot;" command="SELECT * FROM [Clients_Churn_Part (2)]"/>
  </connection>
  <connection id="3" xr16:uid="{A4623FD2-12C5-493D-93BC-FE28D1D4D49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D539E0E2-26FB-47B2-B4BD-669E3A7BBB87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77E7705F-ADD7-43EE-AE46-76C2C9646EAB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6" xr16:uid="{967EDF71-9098-4FF4-8D82-E83C2E2A6F54}" keepAlive="1" name="Requête - Logs_Reseau_Part" description="Connexion à la requête « Logs_Reseau_Part » dans le classeur." type="5" refreshedVersion="8" background="1" saveData="1">
    <dbPr connection="Provider=Microsoft.Mashup.OleDb.1;Data Source=$Workbook$;Location=Logs_Reseau_Part;Extended Properties=&quot;&quot;" command="SELECT * FROM [Logs_Reseau_Part]"/>
  </connection>
  <connection id="7" xr16:uid="{15232FC9-728D-4E50-9F2F-78956F6EE484}" keepAlive="1" name="Requête - Logs_Reseau_Part (2)" description="Connexion à la requête « Logs_Reseau_Part (2) » dans le classeur." type="5" refreshedVersion="8" background="1" saveData="1">
    <dbPr connection="Provider=Microsoft.Mashup.OleDb.1;Data Source=$Workbook$;Location=&quot;Logs_Reseau_Part (2)&quot;;Extended Properties=&quot;&quot;" command="SELECT * FROM [Logs_Reseau_Part (2)]"/>
  </connection>
  <connection id="8" xr16:uid="{3EF1E4ED-BA76-4406-9326-7A4DAA786749}" keepAlive="1" name="Requête - Logs_Reseau_Part (3)" description="Connexion à la requête « Logs_Reseau_Part (3) » dans le classeur." type="5" refreshedVersion="8" background="1" saveData="1">
    <dbPr connection="Provider=Microsoft.Mashup.OleDb.1;Data Source=$Workbook$;Location=&quot;Logs_Reseau_Part (3)&quot;;Extended Properties=&quot;&quot;" command="SELECT * FROM [Logs_Reseau_Part (3)]"/>
  </connection>
  <connection id="9" xr16:uid="{27318935-D32C-4E3E-8B83-036AFFB01748}" keepAlive="1" name="Requête - Logs_Reseau_Part (4)" description="Connexion à la requête « Logs_Reseau_Part (4) » dans le classeur." type="5" refreshedVersion="8" background="1" saveData="1">
    <dbPr connection="Provider=Microsoft.Mashup.OleDb.1;Data Source=$Workbook$;Location=&quot;Logs_Reseau_Part (4)&quot;;Extended Properties=&quot;&quot;" command="SELECT * FROM [Logs_Reseau_Part (4)]"/>
  </connection>
  <connection id="10" xr16:uid="{60F34183-8006-4881-8A09-29807EE9B752}" keepAlive="1" name="Requête - Logs_Reseau_Part (5)" description="Connexion à la requête « Logs_Reseau_Part (5) » dans le classeur." type="5" refreshedVersion="8" background="1" saveData="1">
    <dbPr connection="Provider=Microsoft.Mashup.OleDb.1;Data Source=$Workbook$;Location=&quot;Logs_Reseau_Part (5)&quot;;Extended Properties=&quot;&quot;" command="SELECT * FROM [Logs_Reseau_Part (5)]"/>
  </connection>
  <connection id="11" xr16:uid="{E402592A-D380-4487-89C7-D9CEAADF7DA9}" keepAlive="1" name="Requête - Logs_Reseau_Part (6)" description="Connexion à la requête « Logs_Reseau_Part (6) » dans le classeur." type="5" refreshedVersion="8" background="1" saveData="1">
    <dbPr connection="Provider=Microsoft.Mashup.OleDb.1;Data Source=$Workbook$;Location=&quot;Logs_Reseau_Part (6)&quot;;Extended Properties=&quot;&quot;" command="SELECT * FROM [Logs_Reseau_Part (6)]"/>
  </connection>
  <connection id="12" xr16:uid="{7CF0F779-A5D2-4FD5-B31A-7EDADFA67C60}" keepAlive="1" name="Requête - Logs_Reseau_Part (7)" description="Connexion à la requête « Logs_Reseau_Part (7) » dans le classeur." type="5" refreshedVersion="8" background="1" saveData="1">
    <dbPr connection="Provider=Microsoft.Mashup.OleDb.1;Data Source=$Workbook$;Location=&quot;Logs_Reseau_Part (7)&quot;;Extended Properties=&quot;&quot;" command="SELECT * FROM [Logs_Reseau_Part (7)]"/>
  </connection>
  <connection id="13" xr16:uid="{5A425FE4-57D9-4DAA-A6A5-24AA8A3D5414}" keepAlive="1" name="Requête - Logs_Reseau_Part (8)" description="Connexion à la requête « Logs_Reseau_Part (8) » dans le classeur." type="5" refreshedVersion="8" background="1" saveData="1">
    <dbPr connection="Provider=Microsoft.Mashup.OleDb.1;Data Source=$Workbook$;Location=&quot;Logs_Reseau_Part (8)&quot;;Extended Properties=&quot;&quot;" command="SELECT * FROM [Logs_Reseau_Part (8)]"/>
  </connection>
  <connection id="14" xr16:uid="{16C7166A-2BDF-40D3-963A-7FA54D883641}" keepAlive="1" name="Requête - Logs_Reseau_Part (9)" description="Connexion à la requête « Logs_Reseau_Part (9) » dans le classeur." type="5" refreshedVersion="8" background="1" saveData="1">
    <dbPr connection="Provider=Microsoft.Mashup.OleDb.1;Data Source=$Workbook$;Location=&quot;Logs_Reseau_Part (9)&quot;;Extended Properties=&quot;&quot;" command="SELECT * FROM [Logs_Reseau_Part (9)]"/>
  </connection>
  <connection id="15" xr16:uid="{FF54409A-453B-4226-8FF6-4832B07C915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6" xr16:uid="{C4DED9B5-A67D-4E25-9A0B-581EFDAF8E0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7" xr16:uid="{37B5CC87-69C5-42DA-964C-E76651304207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8" xr16:uid="{105B0695-4F43-4D3A-A3C6-8793063B7560}" keepAlive="1" name="Requête - Registre_Maintenance_Part" description="Connexion à la requête « Registre_Maintenance_Part » dans le classeur." type="5" refreshedVersion="8" background="1" saveData="1">
    <dbPr connection="Provider=Microsoft.Mashup.OleDb.1;Data Source=$Workbook$;Location=Registre_Maintenance_Part;Extended Properties=&quot;&quot;" command="SELECT * FROM [Registre_Maintenance_Part]"/>
  </connection>
  <connection id="19" xr16:uid="{27CDEEA4-30E7-4A12-9997-0D9AA36DB9D0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20" xr16:uid="{746B12B5-A275-4A22-93D4-FDB4BE88754E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21" xr16:uid="{2F5FD0EA-F224-470D-933A-D642F411100D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22" xr16:uid="{D5B9A7EA-EFE2-42DE-B730-B235691732B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23" xr16:uid="{DACB8264-5187-4E6D-B0FD-D505E6BE383A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24" xr16:uid="{DC537A6A-E693-4ECB-A3C6-AEF36854775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25" xr16:uid="{8E123283-96B9-414C-B785-CF952257C227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6" xr16:uid="{C29ACB6F-B64E-480F-AF86-9F02DCEEE1D2}" name="WorksheetConnection_MASTER_KADEA_TELCO.xlsx!Master" type="102" refreshedVersion="8" minRefreshableVersion="5">
    <extLst>
      <ext xmlns:x15="http://schemas.microsoft.com/office/spreadsheetml/2010/11/main" uri="{DE250136-89BD-433C-8126-D09CA5730AF9}">
        <x15:connection id="Master" autoDelete="1">
          <x15:rangePr sourceName="_xlcn.WorksheetConnection_MASTER_KADEA_TELCO.xlsxMaster"/>
        </x15:connection>
      </ext>
    </extLst>
  </connection>
</connections>
</file>

<file path=xl/sharedStrings.xml><?xml version="1.0" encoding="utf-8"?>
<sst xmlns="http://schemas.openxmlformats.org/spreadsheetml/2006/main" count="14145" uniqueCount="1590">
  <si>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</si>
  <si>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</si>
  <si>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</si>
  <si>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</si>
  <si>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</si>
  <si>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</si>
  <si>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</si>
  <si>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</si>
  <si>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</si>
  <si>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</si>
  <si>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</si>
  <si>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</si>
  <si>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</si>
  <si>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</si>
  <si>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</si>
  <si>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</si>
  <si>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</si>
  <si>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</si>
  <si>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</si>
  <si>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</si>
  <si>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</si>
  <si>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</si>
  <si>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</si>
  <si>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</si>
  <si>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</si>
  <si>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</si>
  <si>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</si>
  <si>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</si>
  <si>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</si>
  <si>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</si>
  <si>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</si>
  <si>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</si>
  <si>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</si>
  <si>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</si>
  <si>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</si>
  <si>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</si>
  <si>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</si>
  <si>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</si>
  <si>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</si>
  <si>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</si>
  <si>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</si>
  <si>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</si>
  <si>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</si>
  <si>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</si>
  <si>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</si>
  <si>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</si>
  <si>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</si>
  <si>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</si>
  <si>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</si>
  <si>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</si>
  <si>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</si>
  <si>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</si>
  <si>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</si>
  <si>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</si>
  <si>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</si>
  <si>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</si>
  <si>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</si>
  <si>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</si>
  <si>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</si>
  <si>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</si>
  <si>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</si>
  <si>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</si>
  <si>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</si>
  <si>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</si>
  <si>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</si>
  <si>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</si>
  <si>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</si>
  <si>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</si>
  <si>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</si>
  <si>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</si>
  <si>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</si>
  <si>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</si>
  <si>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</si>
  <si>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</si>
  <si>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</si>
  <si>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</si>
  <si>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</si>
  <si>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</si>
  <si>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</si>
  <si>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</si>
  <si>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</si>
  <si>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</si>
  <si>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</si>
  <si>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</si>
  <si>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</si>
  <si>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</si>
  <si>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</si>
  <si>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</si>
  <si>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</si>
  <si>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</si>
  <si>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</si>
  <si>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</si>
  <si>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</si>
  <si>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</si>
  <si>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CLI-00516</t>
  </si>
  <si>
    <t>CLI-01017</t>
  </si>
  <si>
    <t>CLI-01812</t>
  </si>
  <si>
    <t>CLI-01964</t>
  </si>
  <si>
    <t>CLI-00488</t>
  </si>
  <si>
    <t>CLI-00251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</si>
  <si>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</si>
  <si>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</si>
  <si>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</si>
  <si>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</si>
  <si>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</si>
  <si>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</si>
  <si>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</si>
  <si>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</si>
  <si>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</si>
  <si>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</si>
  <si>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</si>
  <si>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</si>
  <si>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</si>
  <si>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</si>
  <si>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</si>
  <si>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</si>
  <si>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</si>
  <si>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</si>
  <si>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</si>
  <si>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</si>
  <si>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</si>
  <si>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</si>
  <si>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</si>
  <si>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CLI-01768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</si>
  <si>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</si>
  <si>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</si>
  <si>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</si>
  <si>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</si>
  <si>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</si>
  <si>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</si>
  <si>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</si>
  <si>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</si>
  <si>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</si>
  <si>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</si>
  <si>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</si>
  <si>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</si>
  <si>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CLI-00505</t>
  </si>
  <si>
    <t>CLI-01802</t>
  </si>
  <si>
    <t>CLI-01607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</si>
  <si>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</si>
  <si>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</si>
  <si>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</si>
  <si>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</si>
  <si>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</si>
  <si>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</si>
  <si>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</si>
  <si>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</si>
  <si>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</si>
  <si>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</si>
  <si>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</si>
  <si>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</si>
  <si>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</si>
  <si>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</si>
  <si>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</si>
  <si>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</si>
  <si>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</si>
  <si>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</si>
  <si>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</si>
  <si>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</si>
  <si>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</si>
  <si>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</si>
  <si>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</si>
  <si>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</si>
  <si>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</si>
  <si>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</si>
  <si>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</si>
  <si>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</si>
  <si>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</si>
  <si>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</si>
  <si>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</si>
  <si>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</si>
  <si>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</si>
  <si>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</si>
  <si>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</si>
  <si>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</si>
  <si>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</si>
  <si>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</si>
  <si>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CLI-01933</t>
  </si>
  <si>
    <t>CLI-01685</t>
  </si>
  <si>
    <t>CLI-01550</t>
  </si>
  <si>
    <t>CLI-00483</t>
  </si>
  <si>
    <t>CLI-00610</t>
  </si>
  <si>
    <t>CLI-00431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</si>
  <si>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</si>
  <si>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</si>
  <si>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</si>
  <si>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</si>
  <si>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</si>
  <si>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</si>
  <si>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</si>
  <si>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</si>
  <si>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</si>
  <si>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</si>
  <si>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</si>
  <si>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</si>
  <si>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</si>
  <si>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</si>
  <si>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</si>
  <si>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</si>
  <si>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</si>
  <si>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</si>
  <si>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</si>
  <si>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</si>
  <si>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</si>
  <si>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</si>
  <si>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</si>
  <si>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</si>
  <si>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</si>
  <si>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</si>
  <si>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</si>
  <si>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CLI-01839</t>
  </si>
  <si>
    <t>CLI-01431</t>
  </si>
  <si>
    <t>CLI-00535</t>
  </si>
  <si>
    <t>CLI-01037</t>
  </si>
  <si>
    <t>CLI-00136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</si>
  <si>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</si>
  <si>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</si>
  <si>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</si>
  <si>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</si>
  <si>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</si>
  <si>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</si>
  <si>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</si>
  <si>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</si>
  <si>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</si>
  <si>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</si>
  <si>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</si>
  <si>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</si>
  <si>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</si>
  <si>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</si>
  <si>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</si>
  <si>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</si>
  <si>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</si>
  <si>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</si>
  <si>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</si>
  <si>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</si>
  <si>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</si>
  <si>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</si>
  <si>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</si>
  <si>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</si>
  <si>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</si>
  <si>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CLI-01970</t>
  </si>
  <si>
    <t>CLI-01180</t>
  </si>
  <si>
    <t>CLI-00169</t>
  </si>
  <si>
    <t>CLI-00227</t>
  </si>
  <si>
    <t>CLI-00324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</si>
  <si>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</si>
  <si>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</si>
  <si>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</si>
  <si>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</si>
  <si>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</si>
  <si>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</si>
  <si>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</si>
  <si>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</si>
  <si>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</si>
  <si>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</si>
  <si>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</si>
  <si>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</si>
  <si>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</si>
  <si>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</si>
  <si>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</si>
  <si>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</si>
  <si>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</si>
  <si>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</si>
  <si>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CLI-01408</t>
  </si>
  <si>
    <t>CLI-01694</t>
  </si>
  <si>
    <t>CLI-00671</t>
  </si>
  <si>
    <t>CLI-01638</t>
  </si>
  <si>
    <t>Clients_Churn_Part_06.xlsx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</si>
  <si>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</si>
  <si>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</si>
  <si>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</si>
  <si>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</si>
  <si>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</si>
  <si>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</si>
  <si>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</si>
  <si>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</si>
  <si>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</si>
  <si>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</si>
  <si>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</si>
  <si>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</si>
  <si>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</si>
  <si>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</si>
  <si>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</si>
  <si>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</si>
  <si>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</si>
  <si>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</si>
  <si>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</si>
  <si>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</si>
  <si>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</si>
  <si>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</si>
  <si>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</si>
  <si>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</si>
  <si>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</si>
  <si>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</si>
  <si>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</si>
  <si>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</si>
  <si>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</si>
  <si>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</si>
  <si>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</si>
  <si>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</si>
  <si>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</si>
  <si>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</si>
  <si>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</si>
  <si>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</si>
  <si>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</si>
  <si>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</si>
  <si>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</si>
  <si>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</si>
  <si>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</si>
  <si>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</si>
  <si>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</si>
  <si>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</si>
  <si>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</si>
  <si>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</si>
  <si>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</si>
  <si>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</si>
  <si>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</si>
  <si>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</si>
  <si>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</si>
  <si>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</si>
  <si>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</si>
  <si>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</si>
  <si>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</si>
  <si>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</si>
  <si>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</si>
  <si>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</si>
  <si>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</si>
  <si>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</si>
  <si>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</si>
  <si>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CLI-00388</t>
  </si>
  <si>
    <t>CLI-00857</t>
  </si>
  <si>
    <t>CLI-00370</t>
  </si>
  <si>
    <t>CLI-01938</t>
  </si>
  <si>
    <t>CLI-01623</t>
  </si>
  <si>
    <t>CLI-00299</t>
  </si>
  <si>
    <t>CLI-00595</t>
  </si>
  <si>
    <t>CLI-01729</t>
  </si>
  <si>
    <t>CLI-01844</t>
  </si>
  <si>
    <t>CLI-01877</t>
  </si>
  <si>
    <t>CLI-00924</t>
  </si>
  <si>
    <t>CLI-00509</t>
  </si>
  <si>
    <t>CLI-01194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</si>
  <si>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</si>
  <si>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</si>
  <si>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</si>
  <si>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</si>
  <si>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</si>
  <si>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</si>
  <si>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</si>
  <si>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</si>
  <si>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</si>
  <si>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</si>
  <si>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</si>
  <si>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</si>
  <si>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</si>
  <si>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</si>
  <si>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</si>
  <si>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</si>
  <si>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</si>
  <si>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</si>
  <si>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</si>
  <si>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</si>
  <si>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</si>
  <si>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</si>
  <si>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</si>
  <si>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</si>
  <si>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</si>
  <si>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</si>
  <si>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</si>
  <si>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</si>
  <si>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</si>
  <si>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</si>
  <si>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CLI-01920</t>
  </si>
  <si>
    <t>CLI-00094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</si>
  <si>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</si>
  <si>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</si>
  <si>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</si>
  <si>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</si>
  <si>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</si>
  <si>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</si>
  <si>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</si>
  <si>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</si>
  <si>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</si>
  <si>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</si>
  <si>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</si>
  <si>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</si>
  <si>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</si>
  <si>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</si>
  <si>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CLI-01032</t>
  </si>
  <si>
    <t>CLI-01010</t>
  </si>
  <si>
    <t>CLI-00695</t>
  </si>
  <si>
    <t>CLI-00959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</si>
  <si>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</si>
  <si>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</si>
  <si>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</si>
  <si>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</si>
  <si>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</si>
  <si>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</si>
  <si>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</si>
  <si>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</si>
  <si>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</si>
  <si>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</si>
  <si>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</si>
  <si>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</si>
  <si>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</si>
  <si>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Clients_Churn_Part_09.xlsx</t>
  </si>
  <si>
    <t>CLI-00739</t>
  </si>
  <si>
    <t>CLI-00881</t>
  </si>
  <si>
    <t>CLI-01687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</si>
  <si>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</si>
  <si>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</si>
  <si>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</si>
  <si>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</si>
  <si>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</si>
  <si>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</si>
  <si>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</si>
  <si>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</si>
  <si>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</si>
  <si>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</si>
  <si>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</si>
  <si>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</si>
  <si>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</si>
  <si>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</si>
  <si>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</si>
  <si>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</si>
  <si>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</si>
  <si>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</si>
  <si>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</si>
  <si>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</si>
  <si>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</si>
  <si>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</si>
  <si>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</si>
  <si>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</si>
  <si>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</si>
  <si>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</si>
  <si>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</si>
  <si>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</si>
  <si>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</si>
  <si>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</si>
  <si>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</si>
  <si>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</si>
  <si>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</si>
  <si>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</si>
  <si>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</si>
  <si>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</si>
  <si>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</si>
  <si>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</si>
  <si>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CLI-01475</t>
  </si>
  <si>
    <t>CLI-00304</t>
  </si>
  <si>
    <t>CLI-00716</t>
  </si>
  <si>
    <t>CLI-00192</t>
  </si>
  <si>
    <t>CLI-00418</t>
  </si>
  <si>
    <t>Clients_Churn_Part_10.xlsx</t>
  </si>
  <si>
    <t>CLI-00582</t>
  </si>
  <si>
    <t>CLI-01682</t>
  </si>
  <si>
    <t>CLI-01536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</si>
  <si>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</si>
  <si>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</si>
  <si>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</si>
  <si>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</si>
  <si>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</si>
  <si>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</si>
  <si>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</si>
  <si>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</si>
  <si>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</si>
  <si>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</si>
  <si>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</si>
  <si>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</si>
  <si>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</si>
  <si>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</si>
  <si>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</si>
  <si>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</si>
  <si>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</si>
  <si>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</si>
  <si>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</si>
  <si>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</si>
  <si>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</si>
  <si>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</si>
  <si>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</si>
  <si>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</si>
  <si>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</si>
  <si>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</si>
  <si>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</si>
  <si>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CLI-01450</t>
  </si>
  <si>
    <t>CLI-01351</t>
  </si>
  <si>
    <t>CLI-01709</t>
  </si>
  <si>
    <t>CLI-01782</t>
  </si>
  <si>
    <t>CLI-00552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</si>
  <si>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</si>
  <si>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</si>
  <si>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</si>
  <si>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</si>
  <si>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</si>
  <si>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</si>
  <si>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</si>
  <si>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</si>
  <si>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CLI-01166</t>
  </si>
  <si>
    <t>CLI-00265</t>
  </si>
  <si>
    <t>CLI-00433</t>
  </si>
  <si>
    <t>CLI-00100</t>
  </si>
  <si>
    <t>CLI-01319</t>
  </si>
  <si>
    <t>CLI-01598</t>
  </si>
  <si>
    <t>CLI-01979</t>
  </si>
  <si>
    <t>CLI-00145</t>
  </si>
  <si>
    <t>CLI-01121</t>
  </si>
  <si>
    <t>CLI-01804</t>
  </si>
  <si>
    <t>CLI-00782</t>
  </si>
  <si>
    <t>CLI-00190</t>
  </si>
  <si>
    <t>CLI-00523</t>
  </si>
  <si>
    <t>CLI-00365</t>
  </si>
  <si>
    <t>CLI-00492</t>
  </si>
  <si>
    <t>CLI-01485</t>
  </si>
  <si>
    <t>CLI-01719</t>
  </si>
  <si>
    <t>CLI-01739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</si>
  <si>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</si>
  <si>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</si>
  <si>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</si>
  <si>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</si>
  <si>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</si>
  <si>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</si>
  <si>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</si>
  <si>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</si>
  <si>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</si>
  <si>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</si>
  <si>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</si>
  <si>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</si>
  <si>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</si>
  <si>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</si>
  <si>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</si>
  <si>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</si>
  <si>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</si>
  <si>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</si>
  <si>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</si>
  <si>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</si>
  <si>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</si>
  <si>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</si>
  <si>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CLI-00795</t>
  </si>
  <si>
    <t>CLI-00550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</si>
  <si>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</si>
  <si>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</si>
  <si>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</si>
  <si>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</si>
  <si>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</si>
  <si>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</si>
  <si>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</si>
  <si>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</si>
  <si>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</si>
  <si>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</si>
  <si>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</si>
  <si>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</si>
  <si>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</si>
  <si>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</si>
  <si>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</si>
  <si>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</si>
  <si>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</si>
  <si>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</si>
  <si>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</si>
  <si>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</si>
  <si>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</si>
  <si>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</si>
  <si>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</si>
  <si>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</si>
  <si>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</si>
  <si>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</si>
  <si>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</si>
  <si>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</si>
  <si>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</si>
  <si>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</si>
  <si>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</si>
  <si>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</si>
  <si>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</si>
  <si>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</si>
  <si>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</si>
  <si>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</si>
  <si>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</si>
  <si>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</si>
  <si>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</si>
  <si>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</si>
  <si>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</si>
  <si>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</si>
  <si>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</si>
  <si>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</si>
  <si>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</si>
  <si>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</si>
  <si>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</si>
  <si>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</si>
  <si>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</si>
  <si>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</si>
  <si>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</si>
  <si>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</si>
  <si>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</si>
  <si>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</si>
  <si>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</si>
  <si>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</si>
  <si>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</si>
  <si>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</si>
  <si>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</si>
  <si>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</si>
  <si>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</si>
  <si>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</si>
  <si>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</si>
  <si>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</si>
  <si>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</si>
  <si>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</si>
  <si>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</si>
  <si>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</si>
  <si>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</si>
  <si>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</si>
  <si>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</si>
  <si>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</si>
  <si>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</si>
  <si>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</si>
  <si>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</si>
  <si>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</si>
  <si>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</si>
  <si>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</si>
  <si>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</si>
  <si>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</si>
  <si>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</si>
  <si>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</si>
  <si>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CLI-00161</t>
  </si>
  <si>
    <t>CLI-01238</t>
  </si>
  <si>
    <t>CLI-00532</t>
  </si>
  <si>
    <t>CLI-01520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</si>
  <si>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</si>
  <si>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</si>
  <si>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</si>
  <si>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</si>
  <si>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</si>
  <si>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</si>
  <si>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</si>
  <si>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</si>
  <si>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</si>
  <si>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</si>
  <si>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</si>
  <si>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</si>
  <si>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</si>
  <si>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</si>
  <si>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</si>
  <si>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</si>
  <si>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</si>
  <si>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</si>
  <si>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</si>
  <si>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</si>
  <si>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</si>
  <si>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CLI-00257</t>
  </si>
  <si>
    <t>CLI-00277</t>
  </si>
  <si>
    <t>CLI-01714</t>
  </si>
  <si>
    <t>CLI-01701</t>
  </si>
  <si>
    <t>CLI-01949</t>
  </si>
  <si>
    <t>CLI-00386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</si>
  <si>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</si>
  <si>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</si>
  <si>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</si>
  <si>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</si>
  <si>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</si>
  <si>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</si>
  <si>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</si>
  <si>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</si>
  <si>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</si>
  <si>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</si>
  <si>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</si>
  <si>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</si>
  <si>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</si>
  <si>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</si>
  <si>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</si>
  <si>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</si>
  <si>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</si>
  <si>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</si>
  <si>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</si>
  <si>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</si>
  <si>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</si>
  <si>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</si>
  <si>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</si>
  <si>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</si>
  <si>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CLI-00413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</si>
  <si>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</si>
  <si>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</si>
  <si>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</si>
  <si>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</si>
  <si>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</si>
  <si>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</si>
  <si>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</si>
  <si>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</si>
  <si>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</si>
  <si>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</si>
  <si>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</si>
  <si>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</si>
  <si>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</si>
  <si>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</si>
  <si>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</si>
  <si>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</si>
  <si>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</si>
  <si>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</si>
  <si>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</si>
  <si>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</si>
  <si>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</si>
  <si>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</si>
  <si>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CLI-00125</t>
  </si>
  <si>
    <t>CLI-01082</t>
  </si>
  <si>
    <t>CLI-00039</t>
  </si>
  <si>
    <t>CLI-01832</t>
  </si>
  <si>
    <t>CLI-01181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</si>
  <si>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</si>
  <si>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</si>
  <si>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</si>
  <si>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</si>
  <si>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</si>
  <si>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</si>
  <si>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</si>
  <si>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</si>
  <si>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CLI-01568</t>
  </si>
  <si>
    <t>CLI-01479</t>
  </si>
  <si>
    <t>CLI-01697</t>
  </si>
  <si>
    <t>CLI-00394</t>
  </si>
  <si>
    <t>CLI-00962</t>
  </si>
  <si>
    <t>CLI-00705</t>
  </si>
  <si>
    <t>CLI-00898</t>
  </si>
  <si>
    <t>CLI-00476</t>
  </si>
  <si>
    <t>CLI-00450</t>
  </si>
  <si>
    <t>CLI-01204</t>
  </si>
  <si>
    <t>CLI-01830</t>
  </si>
  <si>
    <t>CLI-01488</t>
  </si>
  <si>
    <t>CLI-00960</t>
  </si>
  <si>
    <t>CLI-01463</t>
  </si>
  <si>
    <t>CLI-00601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</si>
  <si>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</si>
  <si>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</si>
  <si>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</si>
  <si>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</si>
  <si>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</si>
  <si>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</si>
  <si>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</si>
  <si>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</si>
  <si>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</si>
  <si>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</si>
  <si>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</si>
  <si>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</si>
  <si>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</si>
  <si>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</si>
  <si>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</si>
  <si>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</si>
  <si>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</si>
  <si>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</si>
  <si>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</si>
  <si>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</si>
  <si>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</si>
  <si>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</si>
  <si>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</si>
  <si>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</si>
  <si>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</si>
  <si>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</si>
  <si>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</si>
  <si>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</si>
  <si>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</si>
  <si>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</si>
  <si>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</si>
  <si>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</si>
  <si>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</si>
  <si>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</si>
  <si>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</si>
  <si>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</si>
  <si>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</si>
  <si>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</si>
  <si>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</si>
  <si>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</si>
  <si>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</si>
  <si>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</si>
  <si>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</si>
  <si>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</si>
  <si>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</si>
  <si>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</si>
  <si>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</si>
  <si>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</si>
  <si>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</si>
  <si>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</si>
  <si>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</si>
  <si>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</si>
  <si>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</si>
  <si>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</si>
  <si>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</si>
  <si>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</si>
  <si>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</si>
  <si>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</si>
  <si>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</si>
  <si>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</si>
  <si>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</si>
  <si>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</si>
  <si>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</si>
  <si>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</si>
  <si>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</si>
  <si>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</si>
  <si>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</si>
  <si>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</si>
  <si>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</si>
  <si>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</si>
  <si>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</si>
  <si>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</si>
  <si>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</si>
  <si>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</si>
  <si>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</si>
  <si>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</si>
  <si>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</si>
  <si>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</si>
  <si>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</si>
  <si>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</si>
  <si>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</si>
  <si>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</si>
  <si>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</si>
  <si>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</si>
  <si>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</si>
  <si>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</si>
  <si>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</si>
  <si>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</si>
  <si>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</si>
  <si>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</si>
  <si>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</si>
  <si>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</si>
  <si>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</si>
  <si>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</si>
  <si>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</si>
  <si>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</si>
  <si>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</si>
  <si>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</si>
  <si>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</si>
  <si>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</si>
  <si>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</si>
  <si>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</si>
  <si>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</si>
  <si>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</si>
  <si>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</si>
  <si>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</si>
  <si>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</si>
  <si>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</si>
  <si>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</si>
  <si>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</si>
  <si>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</si>
  <si>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</si>
  <si>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</si>
  <si>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</si>
  <si>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</si>
  <si>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</si>
  <si>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</si>
  <si>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</si>
  <si>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</si>
  <si>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</si>
  <si>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</si>
  <si>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</si>
  <si>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</si>
  <si>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</si>
  <si>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</si>
  <si>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</si>
  <si>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</si>
  <si>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</si>
  <si>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</si>
  <si>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</si>
  <si>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</si>
  <si>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</si>
  <si>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</si>
  <si>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</si>
  <si>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</si>
  <si>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</si>
  <si>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</si>
  <si>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</si>
  <si>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</si>
  <si>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</si>
  <si>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</si>
  <si>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</si>
  <si>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</si>
  <si>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</si>
  <si>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</si>
  <si>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</si>
  <si>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</si>
  <si>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</si>
  <si>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</si>
  <si>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</si>
  <si>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</si>
  <si>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</si>
  <si>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</si>
  <si>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</si>
  <si>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</si>
  <si>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</si>
  <si>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</si>
  <si>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</si>
  <si>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</si>
  <si>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</si>
  <si>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</si>
  <si>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</si>
  <si>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</si>
  <si>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</si>
  <si>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</si>
  <si>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</si>
  <si>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</si>
  <si>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</si>
  <si>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</si>
  <si>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</si>
  <si>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</si>
  <si>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</si>
  <si>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</si>
  <si>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</si>
  <si>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</si>
  <si>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</si>
  <si>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</si>
  <si>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</si>
  <si>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</si>
  <si>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</si>
  <si>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</si>
  <si>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</si>
  <si>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</si>
  <si>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</si>
  <si>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</si>
  <si>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</si>
  <si>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</si>
  <si>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</si>
  <si>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</si>
  <si>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</si>
  <si>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</si>
  <si>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</si>
  <si>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</si>
  <si>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</si>
  <si>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</si>
  <si>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</si>
  <si>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</si>
  <si>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</si>
  <si>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</si>
  <si>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</si>
  <si>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</si>
  <si>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</si>
  <si>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</si>
  <si>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</si>
  <si>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</si>
  <si>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</si>
  <si>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</si>
  <si>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</si>
  <si>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</si>
  <si>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</si>
  <si>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</si>
  <si>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</si>
  <si>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</si>
  <si>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</si>
  <si>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</si>
  <si>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</si>
  <si>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</si>
  <si>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</si>
  <si>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</si>
  <si>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</si>
  <si>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</si>
  <si>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</si>
  <si>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</si>
  <si>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</si>
  <si>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</si>
  <si>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</si>
  <si>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</si>
  <si>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</si>
  <si>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</si>
  <si>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</si>
  <si>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</si>
  <si>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</si>
  <si>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</si>
  <si>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</si>
  <si>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</si>
  <si>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</si>
  <si>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</si>
  <si>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</si>
  <si>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</si>
  <si>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</si>
  <si>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</si>
  <si>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</si>
  <si>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</si>
  <si>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</si>
  <si>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</si>
  <si>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</si>
  <si>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</si>
  <si>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</si>
  <si>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</si>
  <si>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</si>
  <si>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</si>
  <si>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</si>
  <si>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</si>
  <si>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</si>
  <si>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</si>
  <si>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</si>
  <si>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</si>
  <si>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</si>
  <si>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</si>
  <si>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</si>
  <si>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</si>
  <si>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</si>
  <si>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</si>
  <si>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</si>
  <si>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</si>
  <si>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</si>
  <si>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</si>
  <si>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</si>
  <si>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</si>
  <si>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</si>
  <si>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</si>
  <si>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</si>
  <si>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</si>
  <si>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</si>
  <si>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</si>
  <si>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</si>
  <si>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</si>
  <si>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</si>
  <si>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</si>
  <si>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</si>
  <si>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</si>
  <si>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</si>
  <si>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</si>
  <si>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</si>
  <si>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</si>
  <si>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</si>
  <si>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</si>
  <si>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</si>
  <si>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</si>
  <si>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</si>
  <si>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</si>
  <si>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</si>
  <si>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</si>
  <si>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</si>
  <si>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</si>
  <si>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</si>
  <si>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</si>
  <si>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</si>
  <si>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</si>
  <si>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</si>
  <si>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</si>
  <si>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</si>
  <si>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</si>
  <si>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</si>
  <si>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</si>
  <si>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</si>
  <si>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</si>
  <si>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</si>
  <si>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</si>
  <si>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</si>
  <si>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</si>
  <si>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</si>
  <si>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</si>
  <si>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</si>
  <si>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</si>
  <si>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</si>
  <si>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</si>
  <si>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</si>
  <si>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</si>
  <si>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</si>
  <si>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</si>
  <si>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</si>
  <si>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</si>
  <si>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</si>
  <si>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</si>
  <si>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</si>
  <si>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</si>
  <si>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</si>
  <si>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</si>
  <si>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</si>
  <si>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</si>
  <si>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</si>
  <si>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</si>
  <si>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</si>
  <si>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</si>
  <si>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</si>
  <si>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</si>
  <si>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</si>
  <si>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</si>
  <si>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</si>
  <si>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</si>
  <si>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</si>
  <si>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</si>
  <si>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</si>
  <si>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</si>
  <si>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</si>
  <si>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</si>
  <si>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</si>
  <si>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</si>
  <si>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</si>
  <si>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</si>
  <si>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</si>
  <si>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</si>
  <si>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</si>
  <si>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</si>
  <si>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</si>
  <si>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</si>
  <si>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</si>
  <si>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</si>
  <si>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</si>
  <si>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</si>
  <si>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</si>
  <si>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</si>
  <si>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</si>
  <si>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</si>
  <si>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</si>
  <si>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</si>
  <si>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</si>
  <si>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</si>
  <si>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</si>
  <si>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</si>
  <si>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</si>
  <si>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</si>
  <si>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</si>
  <si>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</si>
  <si>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</si>
  <si>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</si>
  <si>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</si>
  <si>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</si>
  <si>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</si>
  <si>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</si>
  <si>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</si>
  <si>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</si>
  <si>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</si>
  <si>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</si>
  <si>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</si>
  <si>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</si>
  <si>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</si>
  <si>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</si>
  <si>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</si>
  <si>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</si>
  <si>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</si>
  <si>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</si>
  <si>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</si>
  <si>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</si>
  <si>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</si>
  <si>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</si>
  <si>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</si>
  <si>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</si>
  <si>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</si>
  <si>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</si>
  <si>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</si>
  <si>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</si>
  <si>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</si>
  <si>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</si>
  <si>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</si>
  <si>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</si>
  <si>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</si>
  <si>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</si>
  <si>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</si>
  <si>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</si>
  <si>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</si>
  <si>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</si>
  <si>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</si>
  <si>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</si>
  <si>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</si>
  <si>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</si>
  <si>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</si>
  <si>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</si>
  <si>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</si>
  <si>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</si>
  <si>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</si>
  <si>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</si>
  <si>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</si>
  <si>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</si>
  <si>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</si>
  <si>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</si>
  <si>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</si>
  <si>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</si>
  <si>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</si>
  <si>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</si>
  <si>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</si>
  <si>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</si>
  <si>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</si>
  <si>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</si>
  <si>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</si>
  <si>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</si>
  <si>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</si>
  <si>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</si>
  <si>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</si>
  <si>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</si>
  <si>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</si>
  <si>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</si>
  <si>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</si>
  <si>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</si>
  <si>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</si>
  <si>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</si>
  <si>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</si>
  <si>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</si>
  <si>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</si>
  <si>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</si>
  <si>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</si>
  <si>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</si>
  <si>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</si>
  <si>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</si>
  <si>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</si>
  <si>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</si>
  <si>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</si>
  <si>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</si>
  <si>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</si>
  <si>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</si>
  <si>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</si>
  <si>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</si>
  <si>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</si>
  <si>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</si>
  <si>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</si>
  <si>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</si>
  <si>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</si>
  <si>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</si>
  <si>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</si>
  <si>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</si>
  <si>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</si>
  <si>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</si>
  <si>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</si>
  <si>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</si>
  <si>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</si>
  <si>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</si>
  <si>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</si>
  <si>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</si>
  <si>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</si>
  <si>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</si>
  <si>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</si>
  <si>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</si>
  <si>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</si>
  <si>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</si>
  <si>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</si>
  <si>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</si>
  <si>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</si>
  <si>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</si>
  <si>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</si>
  <si>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</si>
  <si>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</si>
  <si>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</si>
  <si>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</si>
  <si>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</si>
  <si>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</si>
  <si>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</si>
  <si>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</si>
  <si>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</si>
  <si>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</si>
  <si>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</si>
  <si>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</si>
  <si>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</si>
  <si>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</si>
  <si>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</si>
  <si>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</si>
  <si>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</si>
  <si>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</si>
  <si>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</si>
  <si>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</si>
  <si>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</si>
  <si>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</si>
  <si>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</si>
  <si>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</si>
  <si>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</si>
  <si>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</si>
  <si>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</si>
  <si>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</si>
  <si>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</si>
  <si>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</si>
  <si>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</si>
  <si>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</si>
  <si>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</si>
  <si>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</si>
  <si>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</si>
  <si>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</si>
  <si>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</si>
  <si>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</si>
  <si>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</si>
  <si>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</si>
  <si>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</si>
  <si>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</si>
  <si>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</si>
  <si>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</si>
  <si>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</si>
  <si>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</si>
  <si>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</si>
  <si>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</si>
  <si>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</si>
  <si>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</si>
  <si>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</si>
  <si>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</si>
  <si>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</si>
  <si>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</si>
  <si>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</si>
  <si>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</si>
  <si>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</si>
  <si>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</si>
  <si>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</si>
  <si>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</si>
  <si>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</si>
  <si>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</si>
  <si>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</si>
  <si>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</si>
  <si>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</si>
  <si>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</si>
  <si>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</si>
  <si>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</si>
  <si>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</si>
  <si>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</si>
  <si>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</si>
  <si>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</si>
  <si>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</si>
  <si>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</si>
  <si>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</si>
  <si>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</si>
  <si>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</si>
  <si>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</si>
  <si>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</si>
  <si>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</si>
  <si>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</si>
  <si>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</si>
  <si>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</si>
  <si>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</si>
  <si>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</si>
  <si>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</si>
  <si>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</si>
  <si>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</si>
  <si>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</si>
  <si>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</si>
  <si>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</si>
  <si>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</si>
  <si>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</si>
  <si>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</si>
  <si>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</si>
  <si>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</si>
  <si>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</si>
  <si>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</si>
  <si>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</si>
  <si>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</si>
  <si>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</si>
  <si>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</si>
  <si>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</si>
  <si>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</si>
  <si>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</si>
  <si>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</si>
  <si>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</si>
  <si>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</si>
  <si>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</si>
  <si>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</si>
  <si>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</si>
  <si>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</si>
  <si>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</si>
  <si>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</si>
  <si>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</si>
  <si>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</si>
  <si>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</si>
  <si>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</si>
  <si>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</si>
  <si>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</si>
  <si>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</si>
  <si>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</si>
  <si>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</si>
  <si>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</si>
  <si>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</si>
  <si>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</si>
  <si>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</si>
  <si>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</si>
  <si>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</si>
  <si>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</si>
  <si>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</si>
  <si>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</si>
  <si>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</si>
  <si>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</si>
  <si>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</si>
  <si>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</si>
  <si>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</si>
  <si>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</si>
  <si>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</si>
  <si>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</si>
  <si>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</si>
  <si>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</si>
  <si>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</si>
  <si>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</si>
  <si>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</si>
  <si>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</si>
  <si>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</si>
  <si>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</si>
  <si>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</si>
  <si>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</si>
  <si>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</si>
  <si>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</si>
  <si>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</si>
  <si>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</si>
  <si>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</si>
  <si>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</si>
  <si>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</si>
  <si>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</si>
  <si>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</si>
  <si>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</si>
  <si>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</si>
  <si>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</si>
  <si>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</si>
  <si>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</si>
  <si>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</si>
  <si>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</si>
  <si>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</si>
  <si>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</si>
  <si>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</si>
  <si>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</si>
  <si>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</si>
  <si>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</si>
  <si>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</si>
  <si>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</si>
  <si>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</si>
  <si>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</si>
  <si>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</si>
  <si>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</si>
  <si>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</si>
  <si>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</si>
  <si>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</si>
  <si>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</si>
  <si>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</si>
  <si>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</si>
  <si>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</si>
  <si>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</si>
  <si>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</si>
  <si>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</si>
  <si>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</si>
  <si>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</si>
  <si>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</si>
  <si>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</si>
  <si>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</si>
  <si>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</si>
  <si>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</si>
  <si>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</si>
  <si>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</si>
  <si>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</si>
  <si>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</si>
  <si>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Date_Panne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</si>
  <si>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</si>
  <si>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</si>
  <si>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</si>
  <si>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</si>
  <si>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</si>
  <si>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</si>
  <si>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</si>
  <si>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</si>
  <si>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</si>
  <si>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</si>
  <si>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</si>
  <si>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</si>
  <si>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</si>
  <si>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</si>
  <si>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</si>
  <si>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</si>
  <si>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</si>
  <si>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ANT-0202</t>
  </si>
  <si>
    <t>ANT-0752</t>
  </si>
  <si>
    <t>Nokia</t>
  </si>
  <si>
    <t>ANT-0647</t>
  </si>
  <si>
    <t>ANT-0593</t>
  </si>
  <si>
    <t>ANT-0605</t>
  </si>
  <si>
    <t>ANT-0038</t>
  </si>
  <si>
    <t>ANT-0267</t>
  </si>
  <si>
    <t>ANT-0916</t>
  </si>
  <si>
    <t>ANT-0993</t>
  </si>
  <si>
    <t>ANT-0751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</si>
  <si>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</si>
  <si>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</si>
  <si>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</si>
  <si>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</si>
  <si>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</si>
  <si>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</si>
  <si>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</si>
  <si>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</si>
  <si>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ANT-0780</t>
  </si>
  <si>
    <t>ANT-0500</t>
  </si>
  <si>
    <t>ANT-0065</t>
  </si>
  <si>
    <t>ANT-0048</t>
  </si>
  <si>
    <t>Registre_Maintenance_Part_03.xlsx</t>
  </si>
  <si>
    <t>ANT-0665</t>
  </si>
  <si>
    <t>ANT-0281</t>
  </si>
  <si>
    <t>ANT-0179</t>
  </si>
  <si>
    <t>ANT-0962</t>
  </si>
  <si>
    <t>ANT-0388</t>
  </si>
  <si>
    <t>ANT-0602</t>
  </si>
  <si>
    <t>ANT-0354</t>
  </si>
  <si>
    <t>ANT-0948</t>
  </si>
  <si>
    <t>ANT-0659</t>
  </si>
  <si>
    <t>ANT-0217</t>
  </si>
  <si>
    <t>ANT-0192</t>
  </si>
  <si>
    <t>Registre_Maintenance_Part_04.xlsx</t>
  </si>
  <si>
    <t>ANT-0939</t>
  </si>
  <si>
    <t>ANT-0425</t>
  </si>
  <si>
    <t>ANT-0491</t>
  </si>
  <si>
    <t>ANT-0216</t>
  </si>
  <si>
    <t>ANT-0525</t>
  </si>
  <si>
    <t>ANT-0151</t>
  </si>
  <si>
    <t>ANT-0171</t>
  </si>
  <si>
    <t>ANT-0265</t>
  </si>
  <si>
    <t>ANT-0876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</si>
  <si>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</si>
  <si>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</si>
  <si>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</si>
  <si>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</si>
  <si>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</si>
  <si>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</si>
  <si>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</si>
  <si>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</si>
  <si>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</si>
  <si>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</si>
  <si>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</si>
  <si>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</si>
  <si>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</si>
  <si>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</si>
  <si>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</si>
  <si>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</si>
  <si>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</si>
  <si>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</si>
  <si>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ANT-0796</t>
  </si>
  <si>
    <t>ANT-0789</t>
  </si>
  <si>
    <t>Registre_Maintenance_Part_06.xlsx</t>
  </si>
  <si>
    <t>ANT-0618</t>
  </si>
  <si>
    <t>ANT-0442</t>
  </si>
  <si>
    <t>ANT-0535</t>
  </si>
  <si>
    <t>ANT-0380</t>
  </si>
  <si>
    <t>ANT-0938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</si>
  <si>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</si>
  <si>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</si>
  <si>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</si>
  <si>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</si>
  <si>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</si>
  <si>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</si>
  <si>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</si>
  <si>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</si>
  <si>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</si>
  <si>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ANT-0849</t>
  </si>
  <si>
    <t>Registre_Maintenance_Part_07.xlsx</t>
  </si>
  <si>
    <t>ANT-0260</t>
  </si>
  <si>
    <t>ANT-0495</t>
  </si>
  <si>
    <t>ANT-0697</t>
  </si>
  <si>
    <t>ANT-0408</t>
  </si>
  <si>
    <t>ANT-0841</t>
  </si>
  <si>
    <t>ANT-0220</t>
  </si>
  <si>
    <t>ANT-0347</t>
  </si>
  <si>
    <t>ANT-0822</t>
  </si>
  <si>
    <t>ANT-0399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</si>
  <si>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</si>
  <si>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</si>
  <si>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</si>
  <si>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</si>
  <si>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</si>
  <si>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</si>
  <si>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</si>
  <si>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</si>
  <si>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</si>
  <si>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</si>
  <si>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</si>
  <si>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</si>
  <si>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</si>
  <si>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</si>
  <si>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</si>
  <si>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</si>
  <si>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</si>
  <si>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</si>
  <si>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ANT-0016</t>
  </si>
  <si>
    <t>ANT-0946</t>
  </si>
  <si>
    <t>Registre_Maintenance_Part_09.xlsx</t>
  </si>
  <si>
    <t>ANT-0356</t>
  </si>
  <si>
    <t>ANT-0589</t>
  </si>
  <si>
    <t>ANT-0005</t>
  </si>
  <si>
    <t>ANT-0636</t>
  </si>
  <si>
    <t>ANT-0519</t>
  </si>
  <si>
    <t>ANT-0603</t>
  </si>
  <si>
    <t>ANT-0755</t>
  </si>
  <si>
    <t>ANT-0349</t>
  </si>
  <si>
    <t>ANT-0120</t>
  </si>
  <si>
    <t>ANT-0827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</si>
  <si>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</si>
  <si>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</si>
  <si>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</si>
  <si>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</si>
  <si>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</si>
  <si>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</si>
  <si>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</si>
  <si>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</si>
  <si>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</si>
  <si>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ANT-0256</t>
  </si>
  <si>
    <t>ANT-0824</t>
  </si>
  <si>
    <t>ANT-0863</t>
  </si>
  <si>
    <t>ANT-0910</t>
  </si>
  <si>
    <t>ANT-0323</t>
  </si>
  <si>
    <t>ANT-0648</t>
  </si>
  <si>
    <t>ANT-0482</t>
  </si>
  <si>
    <t>ANT-0178</t>
  </si>
  <si>
    <t>ANT-0904</t>
  </si>
  <si>
    <t>Duree_Cumule_Panne_Min</t>
  </si>
  <si>
    <t>Plainte_Service_Client</t>
  </si>
  <si>
    <t>Equimentier</t>
  </si>
  <si>
    <t>ID_Clients</t>
  </si>
  <si>
    <t>Duree_Panne_Heure</t>
  </si>
  <si>
    <t>Étiquettes de lignes</t>
  </si>
  <si>
    <t>Total général</t>
  </si>
  <si>
    <t>Somme de Duree_Panne_Heure</t>
  </si>
  <si>
    <t>Nombre de Statut_Resolution</t>
  </si>
  <si>
    <t>Moyenne</t>
  </si>
  <si>
    <t>Type_Client</t>
  </si>
  <si>
    <t>Remise</t>
  </si>
  <si>
    <t>Duree_Cumule_Panne_Heure</t>
  </si>
  <si>
    <t>Remise_%</t>
  </si>
  <si>
    <t>Montant_Remise</t>
  </si>
  <si>
    <t>Anciennete_Annee</t>
  </si>
  <si>
    <t>Heure_Panne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</si>
</sst>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1" applyFont="1"/>
    <xf numFmtId="9" fontId="0" fillId="0" borderId="0" xfId="1" applyNumberFormat="1" applyFont="1"/>
  </cellXfs>
  <cellStyles count="2">
    <cellStyle name="Normal" xfId="0" builtinId="0"/>
    <cellStyle name="Pourcentage" xfId="1" builtinId="5"/>
  </cellStyles>
  <dxfs count="11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7</xdr:col>
      <xdr:colOff>1543050</xdr:colOff>
      <xdr:row>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_RDC">
              <a:extLst>
                <a:ext uri="{FF2B5EF4-FFF2-40B4-BE49-F238E27FC236}">
                  <a16:creationId xmlns:a16="http://schemas.microsoft.com/office/drawing/2014/main" id="{DDE00A70-D38B-454F-22A6-19DEA057DD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RD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95250"/>
              <a:ext cx="11353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D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sca MUTEBA" refreshedDate="46115.502940740742" backgroundQuery="1" createdVersion="8" refreshedVersion="8" minRefreshableVersion="3" recordCount="0" supportSubquery="1" supportAdvancedDrill="1" xr:uid="{F9A4AD0E-015B-4CEE-8E1D-60002C7B6595}">
  <cacheSource type="external" connectionId="25"/>
  <cacheFields count="3">
    <cacheField name="[Master].[Technologie].[Technologie]" caption="Technologie" numFmtId="0" hierarchy="10" level="1">
      <sharedItems count="3">
        <s v="3G"/>
        <s v="4G"/>
        <s v="5G"/>
      </sharedItems>
    </cacheField>
    <cacheField name="[Measures].[Somme de Duree_Panne_Heure]" caption="Somme de Duree_Panne_Heure" numFmtId="0" hierarchy="18" level="32767"/>
    <cacheField name="[Master].[Province_RDC].[Province_RDC]" caption="Province_RDC" numFmtId="0" hierarchy="1" level="1">
      <sharedItems containsSemiMixedTypes="0" containsNonDate="0" containsString="0"/>
    </cacheField>
  </cacheFields>
  <cacheHierarchies count="23">
    <cacheHierarchy uniqueName="[Master].[Source.Name]" caption="Source.Name" attribute="1" defaultMemberUniqueName="[Master].[Source.Name].[All]" allUniqueName="[Master].[Source.Name].[All]" dimensionUniqueName="[Master]" displayFolder="" count="0" memberValueDatatype="130" unbalanced="0"/>
    <cacheHierarchy uniqueName="[Master].[Province_RDC]" caption="Province_RDC" attribute="1" defaultMemberUniqueName="[Master].[Province_RDC].[All]" allUniqueName="[Master].[Province_RDC].[All]" dimensionUniqueName="[Master]" displayFolder="" count="2" memberValueDatatype="130" unbalanced="0">
      <fieldsUsage count="2">
        <fieldUsage x="-1"/>
        <fieldUsage x="2"/>
      </fieldsUsage>
    </cacheHierarchy>
    <cacheHierarchy uniqueName="[Master].[Cell_ID]" caption="Cell_ID" attribute="1" defaultMemberUniqueName="[Master].[Cell_ID].[All]" allUniqueName="[Master].[Cell_ID].[All]" dimensionUniqueName="[Master]" displayFolder="" count="0" memberValueDatatype="130" unbalanced="0"/>
    <cacheHierarchy uniqueName="[Master].[Date_Panne]" caption="Date_Panne" attribute="1" time="1" defaultMemberUniqueName="[Master].[Date_Panne].[All]" allUniqueName="[Master].[Date_Panne].[All]" dimensionUniqueName="[Master]" displayFolder="" count="0" memberValueDatatype="7" unbalanced="0"/>
    <cacheHierarchy uniqueName="[Master].[Date_Heure_Panne]" caption="Date_Heure_Panne" attribute="1" time="1" defaultMemberUniqueName="[Master].[Date_Heure_Panne].[All]" allUniqueName="[Master].[Date_Heure_Panne].[All]" dimensionUniqueName="[Master]" displayFolder="" count="0" memberValueDatatype="7" unbalanced="0"/>
    <cacheHierarchy uniqueName="[Master].[Duree_Panne_Min]" caption="Duree_Panne_Min" attribute="1" defaultMemberUniqueName="[Master].[Duree_Panne_Min].[All]" allUniqueName="[Master].[Duree_Panne_Min].[All]" dimensionUniqueName="[Master]" displayFolder="" count="0" memberValueDatatype="20" unbalanced="0"/>
    <cacheHierarchy uniqueName="[Master].[Duree_Panne_Heure]" caption="Duree_Panne_Heure" attribute="1" defaultMemberUniqueName="[Master].[Duree_Panne_Heure].[All]" allUniqueName="[Master].[Duree_Panne_Heure].[All]" dimensionUniqueName="[Master]" displayFolder="" count="0" memberValueDatatype="5" unbalanced="0"/>
    <cacheHierarchy uniqueName="[Master].[Statut_Resolution]" caption="Statut_Resolution" attribute="1" defaultMemberUniqueName="[Master].[Statut_Resolution].[All]" allUniqueName="[Master].[Statut_Resolution].[All]" dimensionUniqueName="[Master]" displayFolder="" count="0" memberValueDatatype="130" unbalanced="0"/>
    <cacheHierarchy uniqueName="[Master].[Latitude]" caption="Latitude" attribute="1" defaultMemberUniqueName="[Master].[Latitude].[All]" allUniqueName="[Master].[Latitude].[All]" dimensionUniqueName="[Master]" displayFolder="" count="0" memberValueDatatype="5" unbalanced="0"/>
    <cacheHierarchy uniqueName="[Master].[Longitude]" caption="Longitude" attribute="1" defaultMemberUniqueName="[Master].[Longitude].[All]" allUniqueName="[Master].[Longitude].[All]" dimensionUniqueName="[Master]" displayFolder="" count="0" memberValueDatatype="5" unbalanced="0"/>
    <cacheHierarchy uniqueName="[Master].[Technologie]" caption="Technologie" attribute="1" defaultMemberUniqueName="[Master].[Technologie].[All]" allUniqueName="[Master].[Technologie].[All]" dimensionUniqueName="[Master]" displayFolder="" count="2" memberValueDatatype="130" unbalanced="0">
      <fieldsUsage count="2">
        <fieldUsage x="-1"/>
        <fieldUsage x="0"/>
      </fieldsUsage>
    </cacheHierarchy>
    <cacheHierarchy uniqueName="[Master].[Equimentier]" caption="Equimentier" attribute="1" defaultMemberUniqueName="[Master].[Equimentier].[All]" allUniqueName="[Master].[Equimentier].[All]" dimensionUniqueName="[Master]" displayFolder="" count="0" memberValueDatatype="130" unbalanced="0"/>
    <cacheHierarchy uniqueName="[Master].[ID_Clients]" caption="ID_Clients" attribute="1" defaultMemberUniqueName="[Master].[ID_Clients].[All]" allUniqueName="[Master].[ID_Clients].[All]" dimensionUniqueName="[Master]" displayFolder="" count="0" memberValueDatatype="130" unbalanced="0"/>
    <cacheHierarchy uniqueName="[Master].[Anciennete_Mois]" caption="Anciennete_Mois" attribute="1" defaultMemberUniqueName="[Master].[Anciennete_Mois].[All]" allUniqueName="[Master].[Anciennete_Mois].[All]" dimensionUniqueName="[Master]" displayFolder="" count="0" memberValueDatatype="20" unbalanced="0"/>
    <cacheHierarchy uniqueName="[Master].[Type_Forfait]" caption="Type_Forfait" attribute="1" defaultMemberUniqueName="[Master].[Type_Forfait].[All]" allUniqueName="[Master].[Type_Forfait].[All]" dimensionUniqueName="[Master]" displayFolder="" count="0" memberValueDatatype="130" unbalanced="0"/>
    <cacheHierarchy uniqueName="[Master].[Duree_Cumule_Panne_Min]" caption="Duree_Cumule_Panne_Min" attribute="1" defaultMemberUniqueName="[Master].[Duree_Cumule_Panne_Min].[All]" allUniqueName="[Master].[Duree_Cumule_Panne_Min].[All]" dimensionUniqueName="[Master]" displayFolder="" count="0" memberValueDatatype="20" unbalanced="0"/>
    <cacheHierarchy uniqueName="[Master].[Facture_Mensuelle]" caption="Facture_Mensuelle" attribute="1" defaultMemberUniqueName="[Master].[Facture_Mensuelle].[All]" allUniqueName="[Master].[Facture_Mensuelle].[All]" dimensionUniqueName="[Master]" displayFolder="" count="0" memberValueDatatype="5" unbalanced="0"/>
    <cacheHierarchy uniqueName="[Master].[Plainte_Service_Client]" caption="Plainte_Service_Client" attribute="1" defaultMemberUniqueName="[Master].[Plainte_Service_Client].[All]" allUniqueName="[Master].[Plainte_Service_Client].[All]" dimensionUniqueName="[Master]" displayFolder="" count="0" memberValueDatatype="20" unbalanced="0"/>
    <cacheHierarchy uniqueName="[Measures].[Somme de Duree_Panne_Heure]" caption="Somme de Duree_Panne_Heure" measure="1" displayFolder="" measureGroup="Mast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Statut_Resolution]" caption="Nombre de Statut_Resolution" measure="1" displayFolder="" measureGroup="Mast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oyenne]" caption="Moyenne" measure="1" displayFolder="" measureGroup="Master" count="0"/>
    <cacheHierarchy uniqueName="[Measures].[__XL_Count Master]" caption="__XL_Count Master" measure="1" displayFolder="" measureGroup="Master" count="0" hidden="1"/>
    <cacheHierarchy uniqueName="[Measures].[__No measures defined]" caption="__No measures defined" measure="1" displayFolder="" count="0" hidden="1"/>
  </cacheHierarchies>
  <kpis count="0"/>
  <dimensions count="2">
    <dimension name="Master" uniqueName="[Master]" caption="Master"/>
    <dimension measure="1" name="Measures" uniqueName="[Measures]" caption="Measures"/>
  </dimensions>
  <measureGroups count="1">
    <measureGroup name="Master" caption="Mast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sca MUTEBA" refreshedDate="46117.916711458332" backgroundQuery="1" createdVersion="8" refreshedVersion="8" minRefreshableVersion="3" recordCount="0" supportSubquery="1" supportAdvancedDrill="1" xr:uid="{8501C6AD-06F6-48B2-9821-25E133E16BAC}">
  <cacheSource type="external" connectionId="25"/>
  <cacheFields count="3">
    <cacheField name="[Master].[Statut_Resolution].[Statut_Resolution]" caption="Statut_Resolution" numFmtId="0" hierarchy="7" level="1">
      <sharedItems count="2">
        <s v="En Cours"/>
        <s v="Non Résolu"/>
      </sharedItems>
    </cacheField>
    <cacheField name="[Measures].[Nombre de Statut_Resolution]" caption="Nombre de Statut_Resolution" numFmtId="0" hierarchy="19" level="32767"/>
    <cacheField name="[Measures].[Moyenne]" caption="Moyenne" numFmtId="0" hierarchy="20" level="32767"/>
  </cacheFields>
  <cacheHierarchies count="23">
    <cacheHierarchy uniqueName="[Master].[Source.Name]" caption="Source.Name" attribute="1" defaultMemberUniqueName="[Master].[Source.Name].[All]" allUniqueName="[Master].[Source.Name].[All]" dimensionUniqueName="[Master]" displayFolder="" count="0" memberValueDatatype="130" unbalanced="0"/>
    <cacheHierarchy uniqueName="[Master].[Province_RDC]" caption="Province_RDC" attribute="1" defaultMemberUniqueName="[Master].[Province_RDC].[All]" allUniqueName="[Master].[Province_RDC].[All]" dimensionUniqueName="[Master]" displayFolder="" count="2" memberValueDatatype="130" unbalanced="0"/>
    <cacheHierarchy uniqueName="[Master].[Cell_ID]" caption="Cell_ID" attribute="1" defaultMemberUniqueName="[Master].[Cell_ID].[All]" allUniqueName="[Master].[Cell_ID].[All]" dimensionUniqueName="[Master]" displayFolder="" count="0" memberValueDatatype="130" unbalanced="0"/>
    <cacheHierarchy uniqueName="[Master].[Date_Panne]" caption="Date_Panne" attribute="1" time="1" defaultMemberUniqueName="[Master].[Date_Panne].[All]" allUniqueName="[Master].[Date_Panne].[All]" dimensionUniqueName="[Master]" displayFolder="" count="0" memberValueDatatype="7" unbalanced="0"/>
    <cacheHierarchy uniqueName="[Master].[Date_Heure_Panne]" caption="Date_Heure_Panne" attribute="1" time="1" defaultMemberUniqueName="[Master].[Date_Heure_Panne].[All]" allUniqueName="[Master].[Date_Heure_Panne].[All]" dimensionUniqueName="[Master]" displayFolder="" count="0" memberValueDatatype="7" unbalanced="0"/>
    <cacheHierarchy uniqueName="[Master].[Duree_Panne_Min]" caption="Duree_Panne_Min" attribute="1" defaultMemberUniqueName="[Master].[Duree_Panne_Min].[All]" allUniqueName="[Master].[Duree_Panne_Min].[All]" dimensionUniqueName="[Master]" displayFolder="" count="0" memberValueDatatype="20" unbalanced="0"/>
    <cacheHierarchy uniqueName="[Master].[Duree_Panne_Heure]" caption="Duree_Panne_Heure" attribute="1" defaultMemberUniqueName="[Master].[Duree_Panne_Heure].[All]" allUniqueName="[Master].[Duree_Panne_Heure].[All]" dimensionUniqueName="[Master]" displayFolder="" count="0" memberValueDatatype="5" unbalanced="0"/>
    <cacheHierarchy uniqueName="[Master].[Statut_Resolution]" caption="Statut_Resolution" attribute="1" defaultMemberUniqueName="[Master].[Statut_Resolution].[All]" allUniqueName="[Master].[Statut_Resolution].[All]" dimensionUniqueName="[Master]" displayFolder="" count="2" memberValueDatatype="130" unbalanced="0">
      <fieldsUsage count="2">
        <fieldUsage x="-1"/>
        <fieldUsage x="0"/>
      </fieldsUsage>
    </cacheHierarchy>
    <cacheHierarchy uniqueName="[Master].[Latitude]" caption="Latitude" attribute="1" defaultMemberUniqueName="[Master].[Latitude].[All]" allUniqueName="[Master].[Latitude].[All]" dimensionUniqueName="[Master]" displayFolder="" count="0" memberValueDatatype="5" unbalanced="0"/>
    <cacheHierarchy uniqueName="[Master].[Longitude]" caption="Longitude" attribute="1" defaultMemberUniqueName="[Master].[Longitude].[All]" allUniqueName="[Master].[Longitude].[All]" dimensionUniqueName="[Master]" displayFolder="" count="0" memberValueDatatype="5" unbalanced="0"/>
    <cacheHierarchy uniqueName="[Master].[Technologie]" caption="Technologie" attribute="1" defaultMemberUniqueName="[Master].[Technologie].[All]" allUniqueName="[Master].[Technologie].[All]" dimensionUniqueName="[Master]" displayFolder="" count="2" memberValueDatatype="130" unbalanced="0"/>
    <cacheHierarchy uniqueName="[Master].[Equimentier]" caption="Equimentier" attribute="1" defaultMemberUniqueName="[Master].[Equimentier].[All]" allUniqueName="[Master].[Equimentier].[All]" dimensionUniqueName="[Master]" displayFolder="" count="0" memberValueDatatype="130" unbalanced="0"/>
    <cacheHierarchy uniqueName="[Master].[ID_Clients]" caption="ID_Clients" attribute="1" defaultMemberUniqueName="[Master].[ID_Clients].[All]" allUniqueName="[Master].[ID_Clients].[All]" dimensionUniqueName="[Master]" displayFolder="" count="0" memberValueDatatype="130" unbalanced="0"/>
    <cacheHierarchy uniqueName="[Master].[Anciennete_Mois]" caption="Anciennete_Mois" attribute="1" defaultMemberUniqueName="[Master].[Anciennete_Mois].[All]" allUniqueName="[Master].[Anciennete_Mois].[All]" dimensionUniqueName="[Master]" displayFolder="" count="0" memberValueDatatype="20" unbalanced="0"/>
    <cacheHierarchy uniqueName="[Master].[Type_Forfait]" caption="Type_Forfait" attribute="1" defaultMemberUniqueName="[Master].[Type_Forfait].[All]" allUniqueName="[Master].[Type_Forfait].[All]" dimensionUniqueName="[Master]" displayFolder="" count="0" memberValueDatatype="130" unbalanced="0"/>
    <cacheHierarchy uniqueName="[Master].[Duree_Cumule_Panne_Min]" caption="Duree_Cumule_Panne_Min" attribute="1" defaultMemberUniqueName="[Master].[Duree_Cumule_Panne_Min].[All]" allUniqueName="[Master].[Duree_Cumule_Panne_Min].[All]" dimensionUniqueName="[Master]" displayFolder="" count="0" memberValueDatatype="20" unbalanced="0"/>
    <cacheHierarchy uniqueName="[Master].[Facture_Mensuelle]" caption="Facture_Mensuelle" attribute="1" defaultMemberUniqueName="[Master].[Facture_Mensuelle].[All]" allUniqueName="[Master].[Facture_Mensuelle].[All]" dimensionUniqueName="[Master]" displayFolder="" count="0" memberValueDatatype="5" unbalanced="0"/>
    <cacheHierarchy uniqueName="[Master].[Plainte_Service_Client]" caption="Plainte_Service_Client" attribute="1" defaultMemberUniqueName="[Master].[Plainte_Service_Client].[All]" allUniqueName="[Master].[Plainte_Service_Client].[All]" dimensionUniqueName="[Master]" displayFolder="" count="0" memberValueDatatype="20" unbalanced="0"/>
    <cacheHierarchy uniqueName="[Measures].[Somme de Duree_Panne_Heure]" caption="Somme de Duree_Panne_Heure" measure="1" displayFolder="" measureGroup="Master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Statut_Resolution]" caption="Nombre de Statut_Resolution" measure="1" displayFolder="" measureGroup="Mast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oyenne]" caption="Moyenne" measure="1" displayFolder="" measureGroup="Master" count="0" oneField="1">
      <fieldsUsage count="1">
        <fieldUsage x="2"/>
      </fieldsUsage>
    </cacheHierarchy>
    <cacheHierarchy uniqueName="[Measures].[__XL_Count Master]" caption="__XL_Count Master" measure="1" displayFolder="" measureGroup="Master" count="0" hidden="1"/>
    <cacheHierarchy uniqueName="[Measures].[__No measures defined]" caption="__No measures defined" measure="1" displayFolder="" count="0" hidden="1"/>
  </cacheHierarchies>
  <kpis count="0"/>
  <dimensions count="2">
    <dimension name="Master" uniqueName="[Master]" caption="Master"/>
    <dimension measure="1" name="Measures" uniqueName="[Measures]" caption="Measures"/>
  </dimensions>
  <measureGroups count="1">
    <measureGroup name="Master" caption="Mast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sca MUTEBA" refreshedDate="46112.788800578703" backgroundQuery="1" createdVersion="3" refreshedVersion="8" minRefreshableVersion="3" recordCount="0" supportSubquery="1" supportAdvancedDrill="1" xr:uid="{33D7362C-9242-4D7C-9D89-EE36C9A4765E}">
  <cacheSource type="external" connectionId="2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Master].[Source.Name]" caption="Source.Name" attribute="1" defaultMemberUniqueName="[Master].[Source.Name].[All]" allUniqueName="[Master].[Source.Name].[All]" dimensionUniqueName="[Master]" displayFolder="" count="0" memberValueDatatype="130" unbalanced="0"/>
    <cacheHierarchy uniqueName="[Master].[Province_RDC]" caption="Province_RDC" attribute="1" defaultMemberUniqueName="[Master].[Province_RDC].[All]" allUniqueName="[Master].[Province_RDC].[All]" dimensionUniqueName="[Master]" displayFolder="" count="2" memberValueDatatype="130" unbalanced="0"/>
    <cacheHierarchy uniqueName="[Master].[Cell_ID]" caption="Cell_ID" attribute="1" defaultMemberUniqueName="[Master].[Cell_ID].[All]" allUniqueName="[Master].[Cell_ID].[All]" dimensionUniqueName="[Master]" displayFolder="" count="0" memberValueDatatype="130" unbalanced="0"/>
    <cacheHierarchy uniqueName="[Master].[Date_Panne]" caption="Date_Panne" attribute="1" time="1" defaultMemberUniqueName="[Master].[Date_Panne].[All]" allUniqueName="[Master].[Date_Panne].[All]" dimensionUniqueName="[Master]" displayFolder="" count="0" memberValueDatatype="7" unbalanced="0"/>
    <cacheHierarchy uniqueName="[Master].[Date_Heure_Panne]" caption="Date_Heure_Panne" attribute="1" time="1" defaultMemberUniqueName="[Master].[Date_Heure_Panne].[All]" allUniqueName="[Master].[Date_Heure_Panne].[All]" dimensionUniqueName="[Master]" displayFolder="" count="0" memberValueDatatype="7" unbalanced="0"/>
    <cacheHierarchy uniqueName="[Master].[Duree_Panne_Min]" caption="Duree_Panne_Min" attribute="1" defaultMemberUniqueName="[Master].[Duree_Panne_Min].[All]" allUniqueName="[Master].[Duree_Panne_Min].[All]" dimensionUniqueName="[Master]" displayFolder="" count="0" memberValueDatatype="20" unbalanced="0"/>
    <cacheHierarchy uniqueName="[Master].[Duree_Panne_Heure]" caption="Duree_Panne_Heure" attribute="1" defaultMemberUniqueName="[Master].[Duree_Panne_Heure].[All]" allUniqueName="[Master].[Duree_Panne_Heure].[All]" dimensionUniqueName="[Master]" displayFolder="" count="0" memberValueDatatype="5" unbalanced="0"/>
    <cacheHierarchy uniqueName="[Master].[Statut_Resolution]" caption="Statut_Resolution" attribute="1" defaultMemberUniqueName="[Master].[Statut_Resolution].[All]" allUniqueName="[Master].[Statut_Resolution].[All]" dimensionUniqueName="[Master]" displayFolder="" count="0" memberValueDatatype="130" unbalanced="0"/>
    <cacheHierarchy uniqueName="[Master].[Latitude]" caption="Latitude" attribute="1" defaultMemberUniqueName="[Master].[Latitude].[All]" allUniqueName="[Master].[Latitude].[All]" dimensionUniqueName="[Master]" displayFolder="" count="0" memberValueDatatype="5" unbalanced="0"/>
    <cacheHierarchy uniqueName="[Master].[Longitude]" caption="Longitude" attribute="1" defaultMemberUniqueName="[Master].[Longitude].[All]" allUniqueName="[Master].[Longitude].[All]" dimensionUniqueName="[Master]" displayFolder="" count="0" memberValueDatatype="5" unbalanced="0"/>
    <cacheHierarchy uniqueName="[Master].[Technologie]" caption="Technologie" attribute="1" defaultMemberUniqueName="[Master].[Technologie].[All]" allUniqueName="[Master].[Technologie].[All]" dimensionUniqueName="[Master]" displayFolder="" count="0" memberValueDatatype="130" unbalanced="0"/>
    <cacheHierarchy uniqueName="[Master].[Equimentier]" caption="Equimentier" attribute="1" defaultMemberUniqueName="[Master].[Equimentier].[All]" allUniqueName="[Master].[Equimentier].[All]" dimensionUniqueName="[Master]" displayFolder="" count="0" memberValueDatatype="130" unbalanced="0"/>
    <cacheHierarchy uniqueName="[Master].[ID_Clients]" caption="ID_Clients" attribute="1" defaultMemberUniqueName="[Master].[ID_Clients].[All]" allUniqueName="[Master].[ID_Clients].[All]" dimensionUniqueName="[Master]" displayFolder="" count="0" memberValueDatatype="130" unbalanced="0"/>
    <cacheHierarchy uniqueName="[Master].[Anciennete_Mois]" caption="Anciennete_Mois" attribute="1" defaultMemberUniqueName="[Master].[Anciennete_Mois].[All]" allUniqueName="[Master].[Anciennete_Mois].[All]" dimensionUniqueName="[Master]" displayFolder="" count="0" memberValueDatatype="20" unbalanced="0"/>
    <cacheHierarchy uniqueName="[Master].[Type_Forfait]" caption="Type_Forfait" attribute="1" defaultMemberUniqueName="[Master].[Type_Forfait].[All]" allUniqueName="[Master].[Type_Forfait].[All]" dimensionUniqueName="[Master]" displayFolder="" count="0" memberValueDatatype="130" unbalanced="0"/>
    <cacheHierarchy uniqueName="[Master].[Duree_Cumule_Panne_Min]" caption="Duree_Cumule_Panne_Min" attribute="1" defaultMemberUniqueName="[Master].[Duree_Cumule_Panne_Min].[All]" allUniqueName="[Master].[Duree_Cumule_Panne_Min].[All]" dimensionUniqueName="[Master]" displayFolder="" count="0" memberValueDatatype="20" unbalanced="0"/>
    <cacheHierarchy uniqueName="[Master].[Facture_Mensuelle]" caption="Facture_Mensuelle" attribute="1" defaultMemberUniqueName="[Master].[Facture_Mensuelle].[All]" allUniqueName="[Master].[Facture_Mensuelle].[All]" dimensionUniqueName="[Master]" displayFolder="" count="0" memberValueDatatype="5" unbalanced="0"/>
    <cacheHierarchy uniqueName="[Master].[Plainte_Service_Client]" caption="Plainte_Service_Client" attribute="1" defaultMemberUniqueName="[Master].[Plainte_Service_Client].[All]" allUniqueName="[Master].[Plainte_Service_Client].[All]" dimensionUniqueName="[Master]" displayFolder="" count="0" memberValueDatatype="20" unbalanced="0"/>
    <cacheHierarchy uniqueName="[Measures].[Somme de Duree_Panne_Heure]" caption="Somme de Duree_Panne_Heure" measure="1" displayFolder="" measureGroup="Master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Statut_Resolution]" caption="Nombre de Statut_Resolution" measure="1" displayFolder="" measureGroup="Mast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oyenne]" caption="Moyenne" measure="1" displayFolder="" measureGroup="Master" count="0"/>
    <cacheHierarchy uniqueName="[Measures].[__XL_Count Master]" caption="__XL_Count Master" measure="1" displayFolder="" measureGroup="Master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6909712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AE7DD-1E45-44C7-BB22-C507E008425F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>
  <location ref="D6:F9" firstHeaderRow="0" firstDataRow="1" firstDataCol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1" subtotal="count" baseField="0" baseItem="0"/>
    <dataField fld="2" subtotal="count" baseField="0" baseItem="0"/>
  </dataFields>
  <pivotHierarchies count="2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KADEA_TELCO.xlsx!Master">
        <x15:activeTabTopLevelEntity name="[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AA612-E32B-4DC4-B52D-980AB2AB6D8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7:B11" firstHeaderRow="1" firstDataRow="1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omme de Duree_Panne_Heure" fld="1" baseField="0" baseItem="0" numFmtId="2"/>
  </dataFields>
  <pivotHierarchies count="23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KADEA_TELCO.xlsx!Master">
        <x15:activeTabTopLevelEntity name="[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4" xr16:uid="{DE22530B-CAD2-4536-9CD4-ED0D76E7DA12}" autoFormatId="16" applyNumberFormats="0" applyBorderFormats="0" applyFontFormats="0" applyPatternFormats="0" applyAlignmentFormats="0" applyWidthHeightFormats="0">
  <queryTableRefresh nextId="30" unboundColumnsRight="16">
    <queryTableFields count="24">
      <queryTableField id="1" name="Source.Name" tableColumnId="1"/>
      <queryTableField id="9" dataBound="0" tableColumnId="7"/>
      <queryTableField id="3" name="Cell_ID" tableColumnId="3"/>
      <queryTableField id="6" dataBound="0" tableColumnId="6"/>
      <queryTableField id="2" name="Date_Heure_Panne" tableColumnId="2"/>
      <queryTableField id="4" name="Duree_Panne_Min" tableColumnId="4"/>
      <queryTableField id="22" dataBound="0" tableColumnId="18"/>
      <queryTableField id="5" name="Statut_Resolution" tableColumnId="5"/>
      <queryTableField id="10" dataBound="0" tableColumnId="8"/>
      <queryTableField id="11" dataBound="0" tableColumnId="9"/>
      <queryTableField id="12" dataBound="0" tableColumnId="10"/>
      <queryTableField id="13" dataBound="0" tableColumnId="11"/>
      <queryTableField id="16" dataBound="0" tableColumnId="12"/>
      <queryTableField id="17" dataBound="0" tableColumnId="13"/>
      <queryTableField id="18" dataBound="0" tableColumnId="14"/>
      <queryTableField id="19" dataBound="0" tableColumnId="15"/>
      <queryTableField id="20" dataBound="0" tableColumnId="16"/>
      <queryTableField id="21" dataBound="0" tableColumnId="17"/>
      <queryTableField id="23" dataBound="0" tableColumnId="19"/>
      <queryTableField id="24" dataBound="0" tableColumnId="20"/>
      <queryTableField id="25" dataBound="0" tableColumnId="21"/>
      <queryTableField id="27" dataBound="0" tableColumnId="23"/>
      <queryTableField id="26" dataBound="0" tableColumnId="22"/>
      <queryTableField id="29" dataBound="0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E2B2CAC-8D12-4F40-A27C-59DD50A0E0D3}" autoFormatId="16" applyNumberFormats="0" applyBorderFormats="0" applyFontFormats="0" applyPatternFormats="0" applyAlignmentFormats="0" applyWidthHeightFormats="0">
  <queryTableRefresh nextId="12">
    <queryTableFields count="8">
      <queryTableField id="3" name="Province_Client" tableColumnId="3"/>
      <queryTableField id="2" name="ID_Client" tableColumnId="2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" name="Source.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1" xr16:uid="{98BB5B5F-9DC6-4D62-ADE3-10BE89EBF657}" autoFormatId="16" applyNumberFormats="0" applyBorderFormats="0" applyFontFormats="0" applyPatternFormats="0" applyAlignmentFormats="0" applyWidthHeightFormats="0">
  <queryTableRefresh nextId="9">
    <queryTableFields count="6">
      <queryTableField id="1" name="Source.Name" tableColumnId="1"/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8" xr16:uid="{C3410C3A-6512-4A62-87CD-3A780655D234}" autoFormatId="16" applyNumberFormats="0" applyBorderFormats="0" applyFontFormats="0" applyPatternFormats="0" applyAlignmentFormats="0" applyWidthHeightFormats="0">
  <queryTableRefresh nextId="11">
    <queryTableFields count="7"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1" name="Source.Nam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2C3D8F0B-B48B-46FA-96A6-F21E3431EB9A}" autoFormatId="16" applyNumberFormats="0" applyBorderFormats="0" applyFontFormats="0" applyPatternFormats="0" applyAlignmentFormats="0" applyWidthHeightFormats="0">
  <queryTableRefresh nextId="15" unboundColumnsRight="5">
    <queryTableFields count="11">
      <queryTableField id="1" name="Source.Name" tableColumnId="1"/>
      <queryTableField id="3" name="Cell_ID" tableColumnId="3"/>
      <queryTableField id="6" dataBound="0" tableColumnId="6"/>
      <queryTableField id="2" name="Date_Heure_Panne" tableColumnId="2"/>
      <queryTableField id="4" name="Duree_Panne_Min" tableColumnId="4"/>
      <queryTableField id="5" name="Statut_Resolution" tableColumnId="5"/>
      <queryTableField id="9" dataBound="0" tableColumnId="7"/>
      <queryTableField id="10" dataBound="0" tableColumnId="8"/>
      <queryTableField id="11" dataBound="0" tableColumnId="9"/>
      <queryTableField id="12" dataBound="0" tableColumnId="10"/>
      <queryTableField id="13" dataBound="0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496B20CD-5810-4DF7-8629-AD666EFEE68A}" autoFormatId="16" applyNumberFormats="0" applyBorderFormats="0" applyFontFormats="0" applyPatternFormats="0" applyAlignmentFormats="0" applyWidthHeightFormats="0">
  <queryTableRefresh nextId="30" unboundColumnsRight="16">
    <queryTableFields count="24">
      <queryTableField id="1" name="Source.Name" tableColumnId="1"/>
      <queryTableField id="9" dataBound="0" tableColumnId="7"/>
      <queryTableField id="3" name="Cell_ID" tableColumnId="3"/>
      <queryTableField id="6" dataBound="0" tableColumnId="6"/>
      <queryTableField id="2" name="Date_Heure_Panne" tableColumnId="2"/>
      <queryTableField id="4" name="Duree_Panne_Min" tableColumnId="4"/>
      <queryTableField id="22" dataBound="0" tableColumnId="18"/>
      <queryTableField id="5" name="Statut_Resolution" tableColumnId="5"/>
      <queryTableField id="10" dataBound="0" tableColumnId="8"/>
      <queryTableField id="11" dataBound="0" tableColumnId="9"/>
      <queryTableField id="12" dataBound="0" tableColumnId="10"/>
      <queryTableField id="13" dataBound="0" tableColumnId="11"/>
      <queryTableField id="16" dataBound="0" tableColumnId="12"/>
      <queryTableField id="17" dataBound="0" tableColumnId="13"/>
      <queryTableField id="18" dataBound="0" tableColumnId="14"/>
      <queryTableField id="19" dataBound="0" tableColumnId="15"/>
      <queryTableField id="20" dataBound="0" tableColumnId="16"/>
      <queryTableField id="21" dataBound="0" tableColumnId="17"/>
      <queryTableField id="23" dataBound="0" tableColumnId="19"/>
      <queryTableField id="24" dataBound="0" tableColumnId="20"/>
      <queryTableField id="25" dataBound="0" tableColumnId="21"/>
      <queryTableField id="27" dataBound="0" tableColumnId="23"/>
      <queryTableField id="26" dataBound="0" tableColumnId="22"/>
      <queryTableField id="29" dataBound="0" tableColumnId="2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RDC" xr10:uid="{D75E27D9-D017-4D6A-AD83-26174F6315BB}" sourceName="[Master].[Province_RDC]">
  <pivotTables>
    <pivotTable tabId="18" name="Tableau croisé dynamique1"/>
    <pivotTable tabId="18" name="Tableau croisé dynamique2"/>
  </pivotTables>
  <data>
    <olap pivotCacheId="1969097128">
      <levels count="2">
        <level uniqueName="[Master].[Province_RDC].[(All)]" sourceCaption="(All)" count="0"/>
        <level uniqueName="[Master].[Province_RDC].[Province_RDC]" sourceCaption="Province_RDC" count="26">
          <ranges>
            <range startItem="0">
              <i n="[Master].[Province_RDC].&amp;[Bas-Uele]" c="Bas-Uele"/>
              <i n="[Master].[Province_RDC].&amp;[Equateur]" c="Equateur"/>
              <i n="[Master].[Province_RDC].&amp;[Haut-Katanga]" c="Haut-Katanga"/>
              <i n="[Master].[Province_RDC].&amp;[Haut-Lomami]" c="Haut-Lomami"/>
              <i n="[Master].[Province_RDC].&amp;[Haut-Uele]" c="Haut-Uele"/>
              <i n="[Master].[Province_RDC].&amp;[Ituri]" c="Ituri"/>
              <i n="[Master].[Province_RDC].&amp;[Kasai]" c="Kasai"/>
              <i n="[Master].[Province_RDC].&amp;[Kasai-Central]" c="Kasai-Central"/>
              <i n="[Master].[Province_RDC].&amp;[Kasai-Oriental]" c="Kasai-Oriental"/>
              <i n="[Master].[Province_RDC].&amp;[Kinshasa]" c="Kinshasa"/>
              <i n="[Master].[Province_RDC].&amp;[Kongo-Central]" c="Kongo-Central"/>
              <i n="[Master].[Province_RDC].&amp;[Kwango]" c="Kwango"/>
              <i n="[Master].[Province_RDC].&amp;[Kwilu]" c="Kwilu"/>
              <i n="[Master].[Province_RDC].&amp;[Lomami]" c="Lomami"/>
              <i n="[Master].[Province_RDC].&amp;[Lualaba]" c="Lualaba"/>
              <i n="[Master].[Province_RDC].&amp;[Mai-Ndombe]" c="Mai-Ndombe"/>
              <i n="[Master].[Province_RDC].&amp;[Maniema]" c="Maniema"/>
              <i n="[Master].[Province_RDC].&amp;[Mongala]" c="Mongala"/>
              <i n="[Master].[Province_RDC].&amp;[Nord-Kivu]" c="Nord-Kivu"/>
              <i n="[Master].[Province_RDC].&amp;[Nord-Ubangi]" c="Nord-Ubangi"/>
              <i n="[Master].[Province_RDC].&amp;[Sankuru]" c="Sankuru"/>
              <i n="[Master].[Province_RDC].&amp;[Sud-Kivu]" c="Sud-Kivu"/>
              <i n="[Master].[Province_RDC].&amp;[Sud-Ubangi]" c="Sud-Ubangi"/>
              <i n="[Master].[Province_RDC].&amp;[Tanganyika]" c="Tanganyika"/>
              <i n="[Master].[Province_RDC].&amp;[Tshopo]" c="Tshopo"/>
              <i n="[Master].[Province_RDC].&amp;[Tshuapa]" c="Tshuapa"/>
            </range>
          </ranges>
        </level>
      </levels>
      <selections count="1">
        <selection n="[Master].[Province_RDC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RDC" xr10:uid="{C63CE42E-2DE5-4122-8CD8-38A4BC5FEF16}" cache="Segment_Province_RDC" caption="Province_RDC" columnCount="13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737466-ABBC-4FDB-ADA0-1C3B1DC03C04}" name="Master8" displayName="Master8" ref="A1:X480" tableType="queryTable" totalsRowCount="1">
  <autoFilter ref="A1:X479" xr:uid="{5A591D3C-54D7-470A-A939-C0305E0B9961}"/>
  <tableColumns count="24">
    <tableColumn id="1" xr3:uid="{5D2E17FD-A80F-4FF9-BF67-F47CBA9D6A87}" uniqueName="1" name="Source.Name" queryTableFieldId="1" dataDxfId="115" totalsRowDxfId="114"/>
    <tableColumn id="7" xr3:uid="{5263776A-871F-48DC-A775-38A398796A3B}" uniqueName="7" name="Province_RDC" queryTableFieldId="9" dataDxfId="113" totalsRowDxfId="112">
      <calculatedColumnFormula>IFERROR(VLOOKUP(Master8[[#This Row],[Cell_ID]],Registre_Maintenance[],2,FALSE),"")</calculatedColumnFormula>
    </tableColumn>
    <tableColumn id="3" xr3:uid="{5AE3DFF6-1E88-411F-83FF-8A4DB1980C8D}" uniqueName="3" name="Cell_ID" queryTableFieldId="3" dataDxfId="111" totalsRowDxfId="110"/>
    <tableColumn id="6" xr3:uid="{425B5DC3-70BD-4DFC-BBCA-B55789758BB9}" uniqueName="6" name="Date_Panne" queryTableFieldId="6" dataDxfId="109" totalsRowDxfId="108"/>
    <tableColumn id="2" xr3:uid="{36647CDB-B96D-4F1A-BA2D-BEDDBC32DAF2}" uniqueName="2" name="Date_Heure_Panne" queryTableFieldId="2" dataDxfId="107" totalsRowDxfId="106"/>
    <tableColumn id="4" xr3:uid="{758CD6DA-651F-4623-AEDD-1BC7AAAE8916}" uniqueName="4" name="Duree_Panne_Min" queryTableFieldId="4"/>
    <tableColumn id="18" xr3:uid="{5ABCD9CA-F15A-46C2-BC2B-B7AC6255A7AE}" uniqueName="18" name="Duree_Panne_Heure" queryTableFieldId="22" dataDxfId="105" totalsRowDxfId="104">
      <calculatedColumnFormula>Master8[[#This Row],[Duree_Panne_Min]]/60</calculatedColumnFormula>
    </tableColumn>
    <tableColumn id="5" xr3:uid="{BDF2EFD7-3EC0-492C-8534-C11CA69CF36C}" uniqueName="5" name="Statut_Resolution" queryTableFieldId="5" dataDxfId="103" totalsRowDxfId="102"/>
    <tableColumn id="8" xr3:uid="{475C5567-5F4C-43F7-AE03-4287D20B6F8A}" uniqueName="8" name="Latitude" queryTableFieldId="10" dataDxfId="101" totalsRowDxfId="100">
      <calculatedColumnFormula>IFERROR(VLOOKUP(Master8[[#This Row],[Cell_ID]],Registre_Maintenance[],3,FALSE),"")</calculatedColumnFormula>
    </tableColumn>
    <tableColumn id="9" xr3:uid="{C2129225-F573-4462-A57E-08F9D6E4E3B7}" uniqueName="9" name="Longitude" queryTableFieldId="11" dataDxfId="99" totalsRowDxfId="98">
      <calculatedColumnFormula>IFERROR(VLOOKUP(Master8[[#This Row],[Cell_ID]],Registre_Maintenance[],4,FALSE),"")</calculatedColumnFormula>
    </tableColumn>
    <tableColumn id="10" xr3:uid="{A6167967-8327-45FA-9643-E948922F8DAA}" uniqueName="10" name="Technologie" queryTableFieldId="12" dataDxfId="97" totalsRowDxfId="96">
      <calculatedColumnFormula>IFERROR(VLOOKUP(Master8[[#This Row],[Cell_ID]],Registre_Maintenance[],5,FALSE),"")</calculatedColumnFormula>
    </tableColumn>
    <tableColumn id="11" xr3:uid="{21F3936E-0987-4236-BE2A-718920051C00}" uniqueName="11" name="Equimentier" queryTableFieldId="13" dataDxfId="95" totalsRowDxfId="94">
      <calculatedColumnFormula>IFERROR(VLOOKUP(Master8[[#This Row],[Cell_ID]],Registre_Maintenance[],6,FALSE),"")</calculatedColumnFormula>
    </tableColumn>
    <tableColumn id="12" xr3:uid="{4CF4F3AB-CD4B-4B15-A7DE-17CB6649424E}" uniqueName="12" name="ID_Clients" queryTableFieldId="16" dataDxfId="93" totalsRowDxfId="92">
      <calculatedColumnFormula>VLOOKUP(Master8[[#This Row],[Province_RDC]],Client[],2,FALSE)</calculatedColumnFormula>
    </tableColumn>
    <tableColumn id="13" xr3:uid="{8D7C0CAA-07F9-49F6-8F7E-081A59F4AE5D}" uniqueName="13" name="Anciennete_Mois" queryTableFieldId="17" dataDxfId="91" totalsRowDxfId="90">
      <calculatedColumnFormula>VLOOKUP(Master8[[#This Row],[Province_RDC]],Client[],3,FALSE)</calculatedColumnFormula>
    </tableColumn>
    <tableColumn id="14" xr3:uid="{6342CCB8-B2B2-4120-8846-5E0AE9902C15}" uniqueName="14" name="Type_Forfait" queryTableFieldId="18" dataDxfId="89" totalsRowDxfId="88">
      <calculatedColumnFormula>VLOOKUP(Master8[[#This Row],[Province_RDC]],Client[],4,FALSE)</calculatedColumnFormula>
    </tableColumn>
    <tableColumn id="15" xr3:uid="{7D338778-B1DF-4AB9-89A6-4F8140F4B6F3}" uniqueName="15" name="Duree_Cumule_Panne_Min" queryTableFieldId="19" dataDxfId="87" totalsRowDxfId="86">
      <calculatedColumnFormula>VLOOKUP(Master8[[#This Row],[Province_RDC]],Client[],5,FALSE)</calculatedColumnFormula>
    </tableColumn>
    <tableColumn id="16" xr3:uid="{6C260169-842B-4F2A-86F5-22D785023565}" uniqueName="16" name="Facture_Mensuelle" queryTableFieldId="20" dataDxfId="85" totalsRowDxfId="84">
      <calculatedColumnFormula>VLOOKUP(Master8[[#This Row],[Province_RDC]],Client[],6,FALSE)</calculatedColumnFormula>
    </tableColumn>
    <tableColumn id="17" xr3:uid="{056AB793-A50D-4BD5-B319-466E2BEAE54B}" uniqueName="17" name="Plainte_Service_Client" queryTableFieldId="21" dataDxfId="83" totalsRowDxfId="82">
      <calculatedColumnFormula>VLOOKUP(Master8[[#This Row],[Province_RDC]],Client[],7,FALSE)</calculatedColumnFormula>
    </tableColumn>
    <tableColumn id="19" xr3:uid="{1CFB5CC5-5C95-4602-8412-C06D01C18F3A}" uniqueName="19" name="Type_Client" queryTableFieldId="23" dataDxfId="81" totalsRowDxfId="80">
      <calculatedColumnFormula>IF(Master8[[#This Row],[Type_Forfait]]="Pro Monde","B2B","B2C")</calculatedColumnFormula>
    </tableColumn>
    <tableColumn id="20" xr3:uid="{9E4045A0-2917-4237-8A3A-C68A8315AFD0}" uniqueName="20" name="Anciennete_Annee" queryTableFieldId="24" dataDxfId="79" totalsRowDxfId="78">
      <calculatedColumnFormula>Master8[[#This Row],[Anciennete_Mois]]/12</calculatedColumnFormula>
    </tableColumn>
    <tableColumn id="21" xr3:uid="{C730A8E4-34B4-4BD8-88EE-D5F3B62B727C}" uniqueName="21" name="Duree_Cumule_Panne_Heure" queryTableFieldId="25" dataDxfId="77" totalsRowDxfId="76">
      <calculatedColumnFormula>Master8[[#This Row],[Duree_Cumule_Panne_Min]]/60</calculatedColumnFormula>
    </tableColumn>
    <tableColumn id="23" xr3:uid="{2C458630-F5A4-481A-9718-5E86E19D2988}" uniqueName="23" name="Remise_%" queryTableFieldId="27" dataDxfId="75" totalsRowDxfId="74" dataCellStyle="Pourcentage" totalsRowCellStyle="Pourcentage">
      <calculatedColumnFormula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calculatedColumnFormula>
    </tableColumn>
    <tableColumn id="22" xr3:uid="{EB662282-25F3-4CC9-84F6-364DBC970AE6}" uniqueName="22" name="Remise" queryTableFieldId="26" dataDxfId="73" totalsRowDxfId="72">
      <calculatedColumnFormula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calculatedColumnFormula>
    </tableColumn>
    <tableColumn id="24" xr3:uid="{1ED2D991-AD90-4D2B-A808-1C664CFD979B}" uniqueName="24" name="Montant_Remise" queryTableFieldId="29" dataDxfId="71" totalsRowDxfId="70">
      <calculatedColumnFormula>Master8[[#This Row],[Facture_Mensuelle]]*Master8[[#This Row],[Remise]]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ED448-6399-4B5B-878A-46EBF6998EB5}" name="Client" displayName="Client" ref="A1:H674" tableType="queryTable" totalsRowShown="0">
  <autoFilter ref="A1:H674" xr:uid="{F13ED448-6399-4B5B-878A-46EBF6998EB5}"/>
  <tableColumns count="8">
    <tableColumn id="3" xr3:uid="{677CA64B-418A-4F22-A6B2-66C7FFB89513}" uniqueName="3" name="Province_Client" queryTableFieldId="3" dataDxfId="69"/>
    <tableColumn id="2" xr3:uid="{3DEFDE9F-9C6B-4978-838F-67E36CA093FA}" uniqueName="2" name="ID_Client" queryTableFieldId="2" dataDxfId="68"/>
    <tableColumn id="4" xr3:uid="{619946CC-8E86-469F-A89B-398308527652}" uniqueName="4" name="Anciennete_Mois" queryTableFieldId="4"/>
    <tableColumn id="5" xr3:uid="{E8FC2F0A-A573-4E28-A0B6-40649C19EA86}" uniqueName="5" name="Type_Forfait" queryTableFieldId="5" dataDxfId="67"/>
    <tableColumn id="6" xr3:uid="{9A4650D8-DE29-4527-B205-1C0F2652CF70}" uniqueName="6" name="Duree_Cumulee_Panne_Min" queryTableFieldId="6"/>
    <tableColumn id="7" xr3:uid="{88C1476E-B123-478C-BFB9-897E74774A9C}" uniqueName="7" name="Facture_Mensuelle" queryTableFieldId="7"/>
    <tableColumn id="8" xr3:uid="{0B59FDD5-1889-4F9B-B261-0E013D1C757A}" uniqueName="8" name="Plaintes_Service_Client" queryTableFieldId="8"/>
    <tableColumn id="1" xr3:uid="{54701CC6-1C19-455B-8F71-B8F1EA37AA19}" uniqueName="1" name="Source.Name" queryTableFieldId="1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9AB528-B356-418D-882C-42098BE9C748}" name="Logs_Reseau" displayName="Logs_Reseau" ref="A1:F1069" tableType="queryTable" totalsRowShown="0">
  <autoFilter ref="A1:F1069" xr:uid="{5A591D3C-54D7-470A-A939-C0305E0B9961}"/>
  <sortState xmlns:xlrd2="http://schemas.microsoft.com/office/spreadsheetml/2017/richdata2" ref="A2:F1069">
    <sortCondition descending="1" ref="C1:C1074"/>
  </sortState>
  <tableColumns count="6">
    <tableColumn id="1" xr3:uid="{0F230D47-4F38-4991-BAF2-B7CF96CD834F}" uniqueName="1" name="Source.Name" queryTableFieldId="1" dataDxfId="65"/>
    <tableColumn id="6" xr3:uid="{3925AF90-3BDF-451B-B81D-1FC5F3D73B47}" uniqueName="6" name="Date_Panne" queryTableFieldId="6" dataDxfId="64"/>
    <tableColumn id="2" xr3:uid="{F21759F3-22BA-4E2D-8AB3-E51B9A5C326D}" uniqueName="2" name="Date_Heure_Panne" queryTableFieldId="2" dataDxfId="63"/>
    <tableColumn id="3" xr3:uid="{1AD3A2DF-32EB-45FC-870C-947A40B67878}" uniqueName="3" name="Cell_ID" queryTableFieldId="3" dataDxfId="62"/>
    <tableColumn id="4" xr3:uid="{C5F46BD5-71B5-4706-A9A1-332F103ACE27}" uniqueName="4" name="Duree_Panne_Min" queryTableFieldId="4"/>
    <tableColumn id="5" xr3:uid="{016D00B7-4F55-44A9-B73D-7A291418DDEB}" uniqueName="5" name="Statut_Resolution" queryTableFieldId="5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AF66-99B7-41D7-9CF7-22061EC677C5}" name="Registre_Maintenance" displayName="Registre_Maintenance" ref="A1:G418" tableType="queryTable" totalsRowShown="0">
  <autoFilter ref="A1:G418" xr:uid="{8A63AF66-99B7-41D7-9CF7-22061EC677C5}"/>
  <tableColumns count="7">
    <tableColumn id="2" xr3:uid="{6B408E2E-9F01-4314-9917-C2D0A5BAFF9E}" uniqueName="2" name="ID_Antenne" queryTableFieldId="2" dataDxfId="60"/>
    <tableColumn id="3" xr3:uid="{CABC38FA-6838-44E0-96D9-509BDEBE4A07}" uniqueName="3" name="Province_RDC" queryTableFieldId="3" dataDxfId="59"/>
    <tableColumn id="4" xr3:uid="{37BDF334-95A0-4383-BF70-3FA78678F3A4}" uniqueName="4" name="Latitude" queryTableFieldId="4"/>
    <tableColumn id="5" xr3:uid="{4632C155-7788-49C7-BDEC-7CA5CC581C05}" uniqueName="5" name="Longitude" queryTableFieldId="5"/>
    <tableColumn id="6" xr3:uid="{E7BC832E-A79F-44CC-A104-A9BBEF1D23BD}" uniqueName="6" name="Technologie" queryTableFieldId="6" dataDxfId="58"/>
    <tableColumn id="7" xr3:uid="{39E77513-958B-44D7-88F5-49FAB9C147A7}" uniqueName="7" name="Equipementier" queryTableFieldId="7" dataDxfId="57"/>
    <tableColumn id="1" xr3:uid="{34F64A05-5D7F-486A-8022-E950780E4F66}" uniqueName="1" name="Source.Name" queryTableFieldId="1" dataDxfId="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591D3C-54D7-470A-A939-C0305E0B9961}" name="Logs_Registre" displayName="Logs_Registre" ref="A1:K1069" tableType="queryTable" totalsRowShown="0">
  <autoFilter ref="A1:K1069" xr:uid="{5A591D3C-54D7-470A-A939-C0305E0B9961}"/>
  <sortState xmlns:xlrd2="http://schemas.microsoft.com/office/spreadsheetml/2017/richdata2" ref="A2:F1069">
    <sortCondition descending="1" ref="D1:D1074"/>
  </sortState>
  <tableColumns count="11">
    <tableColumn id="1" xr3:uid="{58C46FF6-7680-4BCB-A75D-FD383627AD49}" uniqueName="1" name="Source.Name" queryTableFieldId="1" dataDxfId="55"/>
    <tableColumn id="3" xr3:uid="{DAFCAA32-DC22-4F5C-97DD-BF894DE9DC77}" uniqueName="3" name="Cell_ID" queryTableFieldId="3" dataDxfId="54"/>
    <tableColumn id="6" xr3:uid="{1057BB7E-B1F9-43E4-B7DD-567B9EE758CC}" uniqueName="6" name="Date_Panne" queryTableFieldId="6" dataDxfId="53"/>
    <tableColumn id="2" xr3:uid="{955E35B9-6805-4009-861E-B2A3B6053E92}" uniqueName="2" name="Date_Heure_Panne" queryTableFieldId="2" dataDxfId="52"/>
    <tableColumn id="4" xr3:uid="{FA4C1CF0-256C-4802-8498-19A73CC0EBAF}" uniqueName="4" name="Duree_Panne_Min" queryTableFieldId="4"/>
    <tableColumn id="5" xr3:uid="{8EDC5304-F2A9-41C4-93AF-8523D38FC484}" uniqueName="5" name="Statut_Resolution" queryTableFieldId="5" dataDxfId="51"/>
    <tableColumn id="7" xr3:uid="{5494404D-4A0F-4F19-B487-4CA2C7096925}" uniqueName="7" name="Province_RDC" queryTableFieldId="9" dataDxfId="50">
      <calculatedColumnFormula>IFERROR(VLOOKUP(Logs_Registre[[#This Row],[Cell_ID]],Registre_Maintenance[],2,FALSE),"")</calculatedColumnFormula>
    </tableColumn>
    <tableColumn id="8" xr3:uid="{8D891580-B351-4D4A-B530-733B39933A44}" uniqueName="8" name="Latitude" queryTableFieldId="10" dataDxfId="49">
      <calculatedColumnFormula>IFERROR(VLOOKUP(Logs_Registre[[#This Row],[Cell_ID]],Registre_Maintenance[],3,FALSE),"")</calculatedColumnFormula>
    </tableColumn>
    <tableColumn id="9" xr3:uid="{5B2A6F6A-AF57-489F-96DD-F7C8E78E869A}" uniqueName="9" name="Longitude" queryTableFieldId="11" dataDxfId="48">
      <calculatedColumnFormula>IFERROR(VLOOKUP(Logs_Registre[[#This Row],[Cell_ID]],Registre_Maintenance[],4,FALSE),"")</calculatedColumnFormula>
    </tableColumn>
    <tableColumn id="10" xr3:uid="{0D74BE4D-1A39-4528-9382-D992740FE41B}" uniqueName="10" name="Technologie" queryTableFieldId="12" dataDxfId="47">
      <calculatedColumnFormula>IFERROR(VLOOKUP(Logs_Registre[[#This Row],[Cell_ID]],Registre_Maintenance[],5,FALSE),"")</calculatedColumnFormula>
    </tableColumn>
    <tableColumn id="11" xr3:uid="{6947CAF8-8C86-4F59-9123-D948EC684E0D}" uniqueName="11" name="Equimentier" queryTableFieldId="13" dataDxfId="46">
      <calculatedColumnFormula>IFERROR(VLOOKUP(Logs_Registre[[#This Row],[Cell_ID]],Registre_Maintenance[],6,FALSE),"")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94EACE-AED3-45D6-8B38-66FBAC781716}" name="Master" displayName="Master" ref="A1:X480" tableType="queryTable" totalsRowCount="1">
  <autoFilter ref="A1:X479" xr:uid="{5A591D3C-54D7-470A-A939-C0305E0B9961}"/>
  <sortState xmlns:xlrd2="http://schemas.microsoft.com/office/spreadsheetml/2017/richdata2" ref="A2:X479">
    <sortCondition descending="1" ref="G1:G479"/>
  </sortState>
  <tableColumns count="24">
    <tableColumn id="1" xr3:uid="{25928FEA-4D86-4880-AF20-6A9F905C7661}" uniqueName="1" name="Source.Name" queryTableFieldId="1" dataDxfId="45" totalsRowDxfId="44"/>
    <tableColumn id="7" xr3:uid="{DD468EF7-743F-438E-AD49-0C397EF5BE90}" uniqueName="7" name="Province_RDC" queryTableFieldId="9" dataDxfId="43" totalsRowDxfId="42">
      <calculatedColumnFormula>IFERROR(VLOOKUP(Master[[#This Row],[Cell_ID]],Registre_Maintenance[],2,FALSE),"")</calculatedColumnFormula>
    </tableColumn>
    <tableColumn id="3" xr3:uid="{15368648-731E-4827-8686-5786A5ABE0E7}" uniqueName="3" name="Cell_ID" queryTableFieldId="3" dataDxfId="41" totalsRowDxfId="40"/>
    <tableColumn id="6" xr3:uid="{11FDC72A-DD13-422B-9D56-DC2DA4337C2D}" uniqueName="6" name="Date_Panne" queryTableFieldId="6" dataDxfId="39" totalsRowDxfId="38"/>
    <tableColumn id="2" xr3:uid="{E0905C0D-5839-40CA-A446-486450B2ED55}" uniqueName="2" name="Heure_Panne" queryTableFieldId="2" dataDxfId="37" totalsRowDxfId="36"/>
    <tableColumn id="4" xr3:uid="{E02FDDFC-85DE-4DE3-B8E8-C62ED3D7D9D8}" uniqueName="4" name="Duree_Panne_Min" queryTableFieldId="4"/>
    <tableColumn id="18" xr3:uid="{26F94E3A-45B1-4D6A-A0ED-7168E1429A76}" uniqueName="18" name="Duree_Panne_Heure" queryTableFieldId="22" dataDxfId="35" totalsRowDxfId="34">
      <calculatedColumnFormula>Master[[#This Row],[Duree_Panne_Min]]/60</calculatedColumnFormula>
    </tableColumn>
    <tableColumn id="5" xr3:uid="{F14265C9-802F-4D5A-84B3-6FEEA95E7DAC}" uniqueName="5" name="Statut_Resolution" queryTableFieldId="5" dataDxfId="33" totalsRowDxfId="32"/>
    <tableColumn id="8" xr3:uid="{6BC8773C-D701-4D95-8A96-B790CD4371FB}" uniqueName="8" name="Latitude" queryTableFieldId="10" dataDxfId="31" totalsRowDxfId="30">
      <calculatedColumnFormula>IFERROR(VLOOKUP(Master[[#This Row],[Cell_ID]],Registre_Maintenance[],3,FALSE),"")</calculatedColumnFormula>
    </tableColumn>
    <tableColumn id="9" xr3:uid="{2B55A0CD-DA47-4990-B0CF-04CF1FADB09D}" uniqueName="9" name="Longitude" queryTableFieldId="11" dataDxfId="29" totalsRowDxfId="28">
      <calculatedColumnFormula>IFERROR(VLOOKUP(Master[[#This Row],[Cell_ID]],Registre_Maintenance[],4,FALSE),"")</calculatedColumnFormula>
    </tableColumn>
    <tableColumn id="10" xr3:uid="{5FD8F0E2-C1EA-4D32-BDF3-526035C6577C}" uniqueName="10" name="Technologie" queryTableFieldId="12" dataDxfId="27" totalsRowDxfId="26">
      <calculatedColumnFormula>IFERROR(VLOOKUP(Master[[#This Row],[Cell_ID]],Registre_Maintenance[],5,FALSE),"")</calculatedColumnFormula>
    </tableColumn>
    <tableColumn id="11" xr3:uid="{8B215FB9-04A2-4B74-BAF8-90C5E67CC719}" uniqueName="11" name="Equimentier" queryTableFieldId="13" dataDxfId="25" totalsRowDxfId="24">
      <calculatedColumnFormula>IFERROR(VLOOKUP(Master[[#This Row],[Cell_ID]],Registre_Maintenance[],6,FALSE),"")</calculatedColumnFormula>
    </tableColumn>
    <tableColumn id="12" xr3:uid="{DC055DAF-0F06-49E8-B84D-0118B715E991}" uniqueName="12" name="ID_Clients" queryTableFieldId="16" dataDxfId="23" totalsRowDxfId="22">
      <calculatedColumnFormula>VLOOKUP(Master[[#This Row],[Province_RDC]],Client[],2,FALSE)</calculatedColumnFormula>
    </tableColumn>
    <tableColumn id="13" xr3:uid="{0F090A87-A8B7-47FB-98A2-6467CCF3CB7A}" uniqueName="13" name="Anciennete_Mois" queryTableFieldId="17" dataDxfId="21" totalsRowDxfId="20">
      <calculatedColumnFormula>VLOOKUP(Master[[#This Row],[Province_RDC]],Client[],3,FALSE)</calculatedColumnFormula>
    </tableColumn>
    <tableColumn id="14" xr3:uid="{B1E1B4D5-4802-4968-B5D8-6F846D52DE07}" uniqueName="14" name="Type_Forfait" queryTableFieldId="18" dataDxfId="19" totalsRowDxfId="18">
      <calculatedColumnFormula>VLOOKUP(Master[[#This Row],[Province_RDC]],Client[],4,FALSE)</calculatedColumnFormula>
    </tableColumn>
    <tableColumn id="15" xr3:uid="{15662F8F-57F9-4CC0-A1D9-053FA182141B}" uniqueName="15" name="Duree_Cumule_Panne_Min" queryTableFieldId="19" dataDxfId="17" totalsRowDxfId="16">
      <calculatedColumnFormula>VLOOKUP(Master[[#This Row],[Province_RDC]],Client[],5,FALSE)</calculatedColumnFormula>
    </tableColumn>
    <tableColumn id="16" xr3:uid="{A3488E0D-AB9C-46CA-B6AC-46F40F45A2E5}" uniqueName="16" name="Facture_Mensuelle" queryTableFieldId="20" dataDxfId="15" totalsRowDxfId="14">
      <calculatedColumnFormula>VLOOKUP(Master[[#This Row],[Province_RDC]],Client[],6,FALSE)</calculatedColumnFormula>
    </tableColumn>
    <tableColumn id="17" xr3:uid="{2C2AE8F9-C0E9-4C50-B59E-32549A7F1FEE}" uniqueName="17" name="Plainte_Service_Client" queryTableFieldId="21" dataDxfId="13" totalsRowDxfId="12">
      <calculatedColumnFormula>VLOOKUP(Master[[#This Row],[Province_RDC]],Client[],7,FALSE)</calculatedColumnFormula>
    </tableColumn>
    <tableColumn id="19" xr3:uid="{EA9D8D0A-4B5F-4436-A4FD-BD5DAF442AB0}" uniqueName="19" name="Type_Client" queryTableFieldId="23" dataDxfId="11" totalsRowDxfId="10">
      <calculatedColumnFormula>IF(Master[[#This Row],[Type_Forfait]]="Pro Monde","B2B","B2C")</calculatedColumnFormula>
    </tableColumn>
    <tableColumn id="20" xr3:uid="{96CEC775-6E40-4F9F-A363-56CF1672D978}" uniqueName="20" name="Anciennete_Annee" queryTableFieldId="24" dataDxfId="9" totalsRowDxfId="8">
      <calculatedColumnFormula>Master[[#This Row],[Anciennete_Mois]]/12</calculatedColumnFormula>
    </tableColumn>
    <tableColumn id="21" xr3:uid="{09746F27-5C04-492D-9F9E-AD0EEAE1CDBE}" uniqueName="21" name="Duree_Cumule_Panne_Heure" queryTableFieldId="25" dataDxfId="7" totalsRowDxfId="6">
      <calculatedColumnFormula>Master[[#This Row],[Duree_Cumule_Panne_Min]]/60</calculatedColumnFormula>
    </tableColumn>
    <tableColumn id="23" xr3:uid="{F88B3CED-590A-468E-B0AC-6D07F4C2BE18}" uniqueName="23" name="Remise_%" queryTableFieldId="27" dataDxfId="5" totalsRowDxfId="4" dataCellStyle="Pourcentage" totalsRowCellStyle="Pourcentage">
      <calculatedColumnFormula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calculatedColumnFormula>
    </tableColumn>
    <tableColumn id="22" xr3:uid="{4617C8F7-3B58-4840-9461-4B834D7B1ABE}" uniqueName="22" name="Remise" queryTableFieldId="26" dataDxfId="3" totalsRowDxfId="2">
      <calculatedColumnFormula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calculatedColumnFormula>
    </tableColumn>
    <tableColumn id="24" xr3:uid="{EAD27044-B02C-4D8F-939C-F73334C899EC}" uniqueName="24" name="Montant_Remise" queryTableFieldId="29" dataDxfId="1" totalsRowDxfId="0">
      <calculatedColumnFormula>Master[[#This Row],[Facture_Mensuelle]]*Master[[#This Row],[Remise]]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29B9-8033-4CD6-A069-F43B3F91782D}">
  <dimension ref="A1:X480"/>
  <sheetViews>
    <sheetView topLeftCell="Q457" workbookViewId="0">
      <selection activeCell="Z477" sqref="Z477"/>
    </sheetView>
  </sheetViews>
  <sheetFormatPr baseColWidth="10" defaultRowHeight="15" x14ac:dyDescent="0.25"/>
  <cols>
    <col min="1" max="1" width="24.140625" bestFit="1" customWidth="1"/>
    <col min="2" max="2" width="21.7109375" customWidth="1"/>
    <col min="3" max="3" width="14.85546875" customWidth="1"/>
    <col min="4" max="4" width="24.140625" customWidth="1"/>
    <col min="5" max="5" width="22" customWidth="1"/>
    <col min="6" max="6" width="20" bestFit="1" customWidth="1"/>
    <col min="7" max="7" width="20" customWidth="1"/>
    <col min="8" max="8" width="26.140625" customWidth="1"/>
    <col min="14" max="14" width="19.140625" bestFit="1" customWidth="1"/>
    <col min="15" max="15" width="17.85546875" bestFit="1" customWidth="1"/>
    <col min="16" max="16" width="28" bestFit="1" customWidth="1"/>
    <col min="17" max="17" width="20.5703125" bestFit="1" customWidth="1"/>
    <col min="18" max="18" width="23.5703125" bestFit="1" customWidth="1"/>
    <col min="19" max="19" width="13.85546875" bestFit="1" customWidth="1"/>
    <col min="20" max="20" width="19.42578125" bestFit="1" customWidth="1"/>
    <col min="21" max="21" width="30" bestFit="1" customWidth="1"/>
    <col min="22" max="22" width="13" style="7" bestFit="1" customWidth="1"/>
    <col min="23" max="23" width="11.5703125" customWidth="1"/>
    <col min="24" max="24" width="18.7109375" style="6" bestFit="1" customWidth="1"/>
  </cols>
  <sheetData>
    <row r="1" spans="1:24" x14ac:dyDescent="0.25">
      <c r="A1" t="s">
        <v>0</v>
      </c>
      <c r="B1" t="s">
        <v>1417</v>
      </c>
      <c r="C1" t="s">
        <v>727</v>
      </c>
      <c r="D1" t="s">
        <v>1415</v>
      </c>
      <c r="E1" t="s">
        <v>726</v>
      </c>
      <c r="F1" t="s">
        <v>728</v>
      </c>
      <c r="G1" t="s">
        <v>1577</v>
      </c>
      <c r="H1" t="s">
        <v>729</v>
      </c>
      <c r="I1" t="s">
        <v>1418</v>
      </c>
      <c r="J1" t="s">
        <v>1419</v>
      </c>
      <c r="K1" t="s">
        <v>1420</v>
      </c>
      <c r="L1" t="s">
        <v>1575</v>
      </c>
      <c r="M1" t="s">
        <v>1576</v>
      </c>
      <c r="N1" t="s">
        <v>3</v>
      </c>
      <c r="O1" t="s">
        <v>4</v>
      </c>
      <c r="P1" t="s">
        <v>1573</v>
      </c>
      <c r="Q1" t="s">
        <v>6</v>
      </c>
      <c r="R1" t="s">
        <v>1574</v>
      </c>
      <c r="S1" t="s">
        <v>1583</v>
      </c>
      <c r="T1" t="s">
        <v>1588</v>
      </c>
      <c r="U1" t="s">
        <v>1585</v>
      </c>
      <c r="V1" s="7" t="s">
        <v>1586</v>
      </c>
      <c r="W1" t="s">
        <v>1584</v>
      </c>
      <c r="X1" s="6" t="s">
        <v>1587</v>
      </c>
    </row>
    <row r="2" spans="1:24" x14ac:dyDescent="0.25">
      <c r="A2" s="1" t="s">
        <v>1361</v>
      </c>
      <c r="B2" t="str">
        <f>IFERROR(VLOOKUP(Master8[[#This Row],[Cell_ID]],Registre_Maintenance[],2,FALSE),"")</f>
        <v>Tshuapa</v>
      </c>
      <c r="C2" s="1" t="s">
        <v>1146</v>
      </c>
      <c r="D2" s="2">
        <v>45230.913194444453</v>
      </c>
      <c r="E2" s="3">
        <v>45230.913194444453</v>
      </c>
      <c r="F2">
        <v>62</v>
      </c>
      <c r="G2">
        <f>Master8[[#This Row],[Duree_Panne_Min]]/60</f>
        <v>1.0333333333333334</v>
      </c>
      <c r="H2" s="1" t="s">
        <v>732</v>
      </c>
      <c r="I2">
        <f>IFERROR(VLOOKUP(Master8[[#This Row],[Cell_ID]],Registre_Maintenance[],3,FALSE),"")</f>
        <v>-1.9540519999999999</v>
      </c>
      <c r="J2">
        <f>IFERROR(VLOOKUP(Master8[[#This Row],[Cell_ID]],Registre_Maintenance[],4,FALSE),"")</f>
        <v>12.667945</v>
      </c>
      <c r="K2" t="str">
        <f>IFERROR(VLOOKUP(Master8[[#This Row],[Cell_ID]],Registre_Maintenance[],5,FALSE),"")</f>
        <v>4G</v>
      </c>
      <c r="L2" t="str">
        <f>IFERROR(VLOOKUP(Master8[[#This Row],[Cell_ID]],Registre_Maintenance[],6,FALSE),"")</f>
        <v>Huawei</v>
      </c>
      <c r="M2" s="1" t="str">
        <f>VLOOKUP(Master8[[#This Row],[Province_RDC]],Client[],2,FALSE)</f>
        <v>CLI-00894</v>
      </c>
      <c r="N2" s="1">
        <f>VLOOKUP(Master8[[#This Row],[Province_RDC]],Client[],3,FALSE)</f>
        <v>63</v>
      </c>
      <c r="O2" s="1" t="str">
        <f>VLOOKUP(Master8[[#This Row],[Province_RDC]],Client[],4,FALSE)</f>
        <v>Pro Monde</v>
      </c>
      <c r="P2" s="1">
        <f>VLOOKUP(Master8[[#This Row],[Province_RDC]],Client[],5,FALSE)</f>
        <v>205</v>
      </c>
      <c r="Q2" s="1">
        <f>VLOOKUP(Master8[[#This Row],[Province_RDC]],Client[],6,FALSE)</f>
        <v>89.19</v>
      </c>
      <c r="R2" s="1">
        <f>VLOOKUP(Master8[[#This Row],[Province_RDC]],Client[],7,FALSE)</f>
        <v>0</v>
      </c>
      <c r="S2" s="1" t="str">
        <f>IF(Master8[[#This Row],[Type_Forfait]]="Pro Monde","B2B","B2C")</f>
        <v>B2B</v>
      </c>
      <c r="T2" s="1">
        <f>Master8[[#This Row],[Anciennete_Mois]]/12</f>
        <v>5.25</v>
      </c>
      <c r="U2" s="1">
        <f>Master8[[#This Row],[Duree_Cumule_Panne_Min]]/60</f>
        <v>3.4166666666666665</v>
      </c>
      <c r="V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2" s="6">
        <f>Master8[[#This Row],[Facture_Mensuelle]]*Master8[[#This Row],[Remise]]</f>
        <v>8.9190000000000005</v>
      </c>
    </row>
    <row r="3" spans="1:24" x14ac:dyDescent="0.25">
      <c r="A3" s="1" t="s">
        <v>1308</v>
      </c>
      <c r="B3" t="str">
        <f>IFERROR(VLOOKUP(Master8[[#This Row],[Cell_ID]],Registre_Maintenance[],2,FALSE),"")</f>
        <v>Tshuapa</v>
      </c>
      <c r="C3" s="1" t="s">
        <v>1313</v>
      </c>
      <c r="D3" s="2">
        <v>45229.631249999999</v>
      </c>
      <c r="E3" s="3">
        <v>45229.631249999999</v>
      </c>
      <c r="F3">
        <v>81</v>
      </c>
      <c r="G3">
        <f>Master8[[#This Row],[Duree_Panne_Min]]/60</f>
        <v>1.35</v>
      </c>
      <c r="H3" s="1" t="s">
        <v>732</v>
      </c>
      <c r="I3">
        <f>IFERROR(VLOOKUP(Master8[[#This Row],[Cell_ID]],Registre_Maintenance[],3,FALSE),"")</f>
        <v>-10.574821</v>
      </c>
      <c r="J3">
        <f>IFERROR(VLOOKUP(Master8[[#This Row],[Cell_ID]],Registre_Maintenance[],4,FALSE),"")</f>
        <v>25.324966</v>
      </c>
      <c r="K3" t="str">
        <f>IFERROR(VLOOKUP(Master8[[#This Row],[Cell_ID]],Registre_Maintenance[],5,FALSE),"")</f>
        <v>5G</v>
      </c>
      <c r="L3" t="str">
        <f>IFERROR(VLOOKUP(Master8[[#This Row],[Cell_ID]],Registre_Maintenance[],6,FALSE),"")</f>
        <v>Ericsson</v>
      </c>
      <c r="M3" s="1" t="str">
        <f>VLOOKUP(Master8[[#This Row],[Province_RDC]],Client[],2,FALSE)</f>
        <v>CLI-00894</v>
      </c>
      <c r="N3" s="1">
        <f>VLOOKUP(Master8[[#This Row],[Province_RDC]],Client[],3,FALSE)</f>
        <v>63</v>
      </c>
      <c r="O3" s="1" t="str">
        <f>VLOOKUP(Master8[[#This Row],[Province_RDC]],Client[],4,FALSE)</f>
        <v>Pro Monde</v>
      </c>
      <c r="P3" s="1">
        <f>VLOOKUP(Master8[[#This Row],[Province_RDC]],Client[],5,FALSE)</f>
        <v>205</v>
      </c>
      <c r="Q3" s="1">
        <f>VLOOKUP(Master8[[#This Row],[Province_RDC]],Client[],6,FALSE)</f>
        <v>89.19</v>
      </c>
      <c r="R3" s="1">
        <f>VLOOKUP(Master8[[#This Row],[Province_RDC]],Client[],7,FALSE)</f>
        <v>0</v>
      </c>
      <c r="S3" s="1" t="str">
        <f>IF(Master8[[#This Row],[Type_Forfait]]="Pro Monde","B2B","B2C")</f>
        <v>B2B</v>
      </c>
      <c r="T3" s="1">
        <f>Master8[[#This Row],[Anciennete_Mois]]/12</f>
        <v>5.25</v>
      </c>
      <c r="U3" s="1">
        <f>Master8[[#This Row],[Duree_Cumule_Panne_Min]]/60</f>
        <v>3.4166666666666665</v>
      </c>
      <c r="V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" s="6">
        <f>Master8[[#This Row],[Facture_Mensuelle]]*Master8[[#This Row],[Remise]]</f>
        <v>8.9190000000000005</v>
      </c>
    </row>
    <row r="4" spans="1:24" x14ac:dyDescent="0.25">
      <c r="A4" s="1" t="s">
        <v>1165</v>
      </c>
      <c r="B4" t="str">
        <f>IFERROR(VLOOKUP(Master8[[#This Row],[Cell_ID]],Registre_Maintenance[],2,FALSE),"")</f>
        <v>Tshuapa</v>
      </c>
      <c r="C4" s="1" t="s">
        <v>1017</v>
      </c>
      <c r="D4" s="2">
        <v>45225.979166666657</v>
      </c>
      <c r="E4" s="3">
        <v>45225.979166666657</v>
      </c>
      <c r="F4">
        <v>6</v>
      </c>
      <c r="G4">
        <f>Master8[[#This Row],[Duree_Panne_Min]]/60</f>
        <v>0.1</v>
      </c>
      <c r="H4" s="1" t="s">
        <v>732</v>
      </c>
      <c r="I4">
        <f>IFERROR(VLOOKUP(Master8[[#This Row],[Cell_ID]],Registre_Maintenance[],3,FALSE),"")</f>
        <v>-10.577049000000001</v>
      </c>
      <c r="J4">
        <f>IFERROR(VLOOKUP(Master8[[#This Row],[Cell_ID]],Registre_Maintenance[],4,FALSE),"")</f>
        <v>23.721854</v>
      </c>
      <c r="K4" t="str">
        <f>IFERROR(VLOOKUP(Master8[[#This Row],[Cell_ID]],Registre_Maintenance[],5,FALSE),"")</f>
        <v>4G</v>
      </c>
      <c r="L4" t="str">
        <f>IFERROR(VLOOKUP(Master8[[#This Row],[Cell_ID]],Registre_Maintenance[],6,FALSE),"")</f>
        <v>ZTE</v>
      </c>
      <c r="M4" s="1" t="str">
        <f>VLOOKUP(Master8[[#This Row],[Province_RDC]],Client[],2,FALSE)</f>
        <v>CLI-00894</v>
      </c>
      <c r="N4" s="1">
        <f>VLOOKUP(Master8[[#This Row],[Province_RDC]],Client[],3,FALSE)</f>
        <v>63</v>
      </c>
      <c r="O4" s="1" t="str">
        <f>VLOOKUP(Master8[[#This Row],[Province_RDC]],Client[],4,FALSE)</f>
        <v>Pro Monde</v>
      </c>
      <c r="P4" s="1">
        <f>VLOOKUP(Master8[[#This Row],[Province_RDC]],Client[],5,FALSE)</f>
        <v>205</v>
      </c>
      <c r="Q4" s="1">
        <f>VLOOKUP(Master8[[#This Row],[Province_RDC]],Client[],6,FALSE)</f>
        <v>89.19</v>
      </c>
      <c r="R4" s="1">
        <f>VLOOKUP(Master8[[#This Row],[Province_RDC]],Client[],7,FALSE)</f>
        <v>0</v>
      </c>
      <c r="S4" s="1" t="str">
        <f>IF(Master8[[#This Row],[Type_Forfait]]="Pro Monde","B2B","B2C")</f>
        <v>B2B</v>
      </c>
      <c r="T4" s="1">
        <f>Master8[[#This Row],[Anciennete_Mois]]/12</f>
        <v>5.25</v>
      </c>
      <c r="U4" s="1">
        <f>Master8[[#This Row],[Duree_Cumule_Panne_Min]]/60</f>
        <v>3.4166666666666665</v>
      </c>
      <c r="V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4" s="6">
        <f>Master8[[#This Row],[Facture_Mensuelle]]*Master8[[#This Row],[Remise]]</f>
        <v>8.9190000000000005</v>
      </c>
    </row>
    <row r="5" spans="1:24" x14ac:dyDescent="0.25">
      <c r="A5" s="1" t="s">
        <v>1138</v>
      </c>
      <c r="B5" t="str">
        <f>IFERROR(VLOOKUP(Master8[[#This Row],[Cell_ID]],Registre_Maintenance[],2,FALSE),"")</f>
        <v>Tshuapa</v>
      </c>
      <c r="C5" s="1" t="s">
        <v>1143</v>
      </c>
      <c r="D5" s="2">
        <v>45224.347916666673</v>
      </c>
      <c r="E5" s="3">
        <v>45224.347916666673</v>
      </c>
      <c r="F5">
        <v>14</v>
      </c>
      <c r="G5">
        <f>Master8[[#This Row],[Duree_Panne_Min]]/60</f>
        <v>0.23333333333333334</v>
      </c>
      <c r="H5" s="1" t="s">
        <v>732</v>
      </c>
      <c r="I5">
        <f>IFERROR(VLOOKUP(Master8[[#This Row],[Cell_ID]],Registre_Maintenance[],3,FALSE),"")</f>
        <v>-7.789663</v>
      </c>
      <c r="J5">
        <f>IFERROR(VLOOKUP(Master8[[#This Row],[Cell_ID]],Registre_Maintenance[],4,FALSE),"")</f>
        <v>26.529098000000001</v>
      </c>
      <c r="K5" t="str">
        <f>IFERROR(VLOOKUP(Master8[[#This Row],[Cell_ID]],Registre_Maintenance[],5,FALSE),"")</f>
        <v>5G</v>
      </c>
      <c r="L5" t="str">
        <f>IFERROR(VLOOKUP(Master8[[#This Row],[Cell_ID]],Registre_Maintenance[],6,FALSE),"")</f>
        <v>Nokia</v>
      </c>
      <c r="M5" s="1" t="str">
        <f>VLOOKUP(Master8[[#This Row],[Province_RDC]],Client[],2,FALSE)</f>
        <v>CLI-00894</v>
      </c>
      <c r="N5" s="1">
        <f>VLOOKUP(Master8[[#This Row],[Province_RDC]],Client[],3,FALSE)</f>
        <v>63</v>
      </c>
      <c r="O5" s="1" t="str">
        <f>VLOOKUP(Master8[[#This Row],[Province_RDC]],Client[],4,FALSE)</f>
        <v>Pro Monde</v>
      </c>
      <c r="P5" s="1">
        <f>VLOOKUP(Master8[[#This Row],[Province_RDC]],Client[],5,FALSE)</f>
        <v>205</v>
      </c>
      <c r="Q5" s="1">
        <f>VLOOKUP(Master8[[#This Row],[Province_RDC]],Client[],6,FALSE)</f>
        <v>89.19</v>
      </c>
      <c r="R5" s="1">
        <f>VLOOKUP(Master8[[#This Row],[Province_RDC]],Client[],7,FALSE)</f>
        <v>0</v>
      </c>
      <c r="S5" s="1" t="str">
        <f>IF(Master8[[#This Row],[Type_Forfait]]="Pro Monde","B2B","B2C")</f>
        <v>B2B</v>
      </c>
      <c r="T5" s="1">
        <f>Master8[[#This Row],[Anciennete_Mois]]/12</f>
        <v>5.25</v>
      </c>
      <c r="U5" s="1">
        <f>Master8[[#This Row],[Duree_Cumule_Panne_Min]]/60</f>
        <v>3.4166666666666665</v>
      </c>
      <c r="V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5" s="6">
        <f>Master8[[#This Row],[Facture_Mensuelle]]*Master8[[#This Row],[Remise]]</f>
        <v>8.9190000000000005</v>
      </c>
    </row>
    <row r="6" spans="1:24" x14ac:dyDescent="0.25">
      <c r="A6" s="1" t="s">
        <v>999</v>
      </c>
      <c r="B6" t="str">
        <f>IFERROR(VLOOKUP(Master8[[#This Row],[Cell_ID]],Registre_Maintenance[],2,FALSE),"")</f>
        <v>Tshuapa</v>
      </c>
      <c r="C6" s="1" t="s">
        <v>1015</v>
      </c>
      <c r="D6" s="2">
        <v>45223.450694444437</v>
      </c>
      <c r="E6" s="3">
        <v>45223.450694444437</v>
      </c>
      <c r="F6">
        <v>14</v>
      </c>
      <c r="G6">
        <f>Master8[[#This Row],[Duree_Panne_Min]]/60</f>
        <v>0.23333333333333334</v>
      </c>
      <c r="H6" s="1" t="s">
        <v>737</v>
      </c>
      <c r="I6">
        <f>IFERROR(VLOOKUP(Master8[[#This Row],[Cell_ID]],Registre_Maintenance[],3,FALSE),"")</f>
        <v>-2.571777</v>
      </c>
      <c r="J6">
        <f>IFERROR(VLOOKUP(Master8[[#This Row],[Cell_ID]],Registre_Maintenance[],4,FALSE),"")</f>
        <v>12.120642</v>
      </c>
      <c r="K6" t="str">
        <f>IFERROR(VLOOKUP(Master8[[#This Row],[Cell_ID]],Registre_Maintenance[],5,FALSE),"")</f>
        <v>3G</v>
      </c>
      <c r="L6" t="str">
        <f>IFERROR(VLOOKUP(Master8[[#This Row],[Cell_ID]],Registre_Maintenance[],6,FALSE),"")</f>
        <v>Huawei</v>
      </c>
      <c r="M6" s="1" t="str">
        <f>VLOOKUP(Master8[[#This Row],[Province_RDC]],Client[],2,FALSE)</f>
        <v>CLI-00894</v>
      </c>
      <c r="N6" s="1">
        <f>VLOOKUP(Master8[[#This Row],[Province_RDC]],Client[],3,FALSE)</f>
        <v>63</v>
      </c>
      <c r="O6" s="1" t="str">
        <f>VLOOKUP(Master8[[#This Row],[Province_RDC]],Client[],4,FALSE)</f>
        <v>Pro Monde</v>
      </c>
      <c r="P6" s="1">
        <f>VLOOKUP(Master8[[#This Row],[Province_RDC]],Client[],5,FALSE)</f>
        <v>205</v>
      </c>
      <c r="Q6" s="1">
        <f>VLOOKUP(Master8[[#This Row],[Province_RDC]],Client[],6,FALSE)</f>
        <v>89.19</v>
      </c>
      <c r="R6" s="1">
        <f>VLOOKUP(Master8[[#This Row],[Province_RDC]],Client[],7,FALSE)</f>
        <v>0</v>
      </c>
      <c r="S6" s="1" t="str">
        <f>IF(Master8[[#This Row],[Type_Forfait]]="Pro Monde","B2B","B2C")</f>
        <v>B2B</v>
      </c>
      <c r="T6" s="1">
        <f>Master8[[#This Row],[Anciennete_Mois]]/12</f>
        <v>5.25</v>
      </c>
      <c r="U6" s="1">
        <f>Master8[[#This Row],[Duree_Cumule_Panne_Min]]/60</f>
        <v>3.4166666666666665</v>
      </c>
      <c r="V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6" s="6">
        <f>Master8[[#This Row],[Facture_Mensuelle]]*Master8[[#This Row],[Remise]]</f>
        <v>8.9190000000000005</v>
      </c>
    </row>
    <row r="7" spans="1:24" x14ac:dyDescent="0.25">
      <c r="A7" s="1" t="s">
        <v>1219</v>
      </c>
      <c r="B7" t="str">
        <f>IFERROR(VLOOKUP(Master8[[#This Row],[Cell_ID]],Registre_Maintenance[],2,FALSE),"")</f>
        <v>Tshuapa</v>
      </c>
      <c r="C7" s="1" t="s">
        <v>1143</v>
      </c>
      <c r="D7" s="2">
        <v>45221.780555555553</v>
      </c>
      <c r="E7" s="3">
        <v>45221.780555555553</v>
      </c>
      <c r="F7">
        <v>67</v>
      </c>
      <c r="G7">
        <f>Master8[[#This Row],[Duree_Panne_Min]]/60</f>
        <v>1.1166666666666667</v>
      </c>
      <c r="H7" s="1" t="s">
        <v>732</v>
      </c>
      <c r="I7">
        <f>IFERROR(VLOOKUP(Master8[[#This Row],[Cell_ID]],Registre_Maintenance[],3,FALSE),"")</f>
        <v>-7.789663</v>
      </c>
      <c r="J7">
        <f>IFERROR(VLOOKUP(Master8[[#This Row],[Cell_ID]],Registre_Maintenance[],4,FALSE),"")</f>
        <v>26.529098000000001</v>
      </c>
      <c r="K7" t="str">
        <f>IFERROR(VLOOKUP(Master8[[#This Row],[Cell_ID]],Registre_Maintenance[],5,FALSE),"")</f>
        <v>5G</v>
      </c>
      <c r="L7" t="str">
        <f>IFERROR(VLOOKUP(Master8[[#This Row],[Cell_ID]],Registre_Maintenance[],6,FALSE),"")</f>
        <v>Nokia</v>
      </c>
      <c r="M7" s="1" t="str">
        <f>VLOOKUP(Master8[[#This Row],[Province_RDC]],Client[],2,FALSE)</f>
        <v>CLI-00894</v>
      </c>
      <c r="N7" s="1">
        <f>VLOOKUP(Master8[[#This Row],[Province_RDC]],Client[],3,FALSE)</f>
        <v>63</v>
      </c>
      <c r="O7" s="1" t="str">
        <f>VLOOKUP(Master8[[#This Row],[Province_RDC]],Client[],4,FALSE)</f>
        <v>Pro Monde</v>
      </c>
      <c r="P7" s="1">
        <f>VLOOKUP(Master8[[#This Row],[Province_RDC]],Client[],5,FALSE)</f>
        <v>205</v>
      </c>
      <c r="Q7" s="1">
        <f>VLOOKUP(Master8[[#This Row],[Province_RDC]],Client[],6,FALSE)</f>
        <v>89.19</v>
      </c>
      <c r="R7" s="1">
        <f>VLOOKUP(Master8[[#This Row],[Province_RDC]],Client[],7,FALSE)</f>
        <v>0</v>
      </c>
      <c r="S7" s="1" t="str">
        <f>IF(Master8[[#This Row],[Type_Forfait]]="Pro Monde","B2B","B2C")</f>
        <v>B2B</v>
      </c>
      <c r="T7" s="1">
        <f>Master8[[#This Row],[Anciennete_Mois]]/12</f>
        <v>5.25</v>
      </c>
      <c r="U7" s="1">
        <f>Master8[[#This Row],[Duree_Cumule_Panne_Min]]/60</f>
        <v>3.4166666666666665</v>
      </c>
      <c r="V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7" s="6">
        <f>Master8[[#This Row],[Facture_Mensuelle]]*Master8[[#This Row],[Remise]]</f>
        <v>8.9190000000000005</v>
      </c>
    </row>
    <row r="8" spans="1:24" x14ac:dyDescent="0.25">
      <c r="A8" s="1" t="s">
        <v>978</v>
      </c>
      <c r="B8" t="str">
        <f>IFERROR(VLOOKUP(Master8[[#This Row],[Cell_ID]],Registre_Maintenance[],2,FALSE),"")</f>
        <v>Tshuapa</v>
      </c>
      <c r="C8" s="1" t="s">
        <v>991</v>
      </c>
      <c r="D8" s="2">
        <v>45221.27847222222</v>
      </c>
      <c r="E8" s="3">
        <v>45221.27847222222</v>
      </c>
      <c r="F8">
        <v>83</v>
      </c>
      <c r="G8">
        <f>Master8[[#This Row],[Duree_Panne_Min]]/60</f>
        <v>1.3833333333333333</v>
      </c>
      <c r="H8" s="1" t="s">
        <v>737</v>
      </c>
      <c r="I8">
        <f>IFERROR(VLOOKUP(Master8[[#This Row],[Cell_ID]],Registre_Maintenance[],3,FALSE),"")</f>
        <v>-12.292039000000001</v>
      </c>
      <c r="J8">
        <f>IFERROR(VLOOKUP(Master8[[#This Row],[Cell_ID]],Registre_Maintenance[],4,FALSE),"")</f>
        <v>27.538202999999999</v>
      </c>
      <c r="K8" t="str">
        <f>IFERROR(VLOOKUP(Master8[[#This Row],[Cell_ID]],Registre_Maintenance[],5,FALSE),"")</f>
        <v>3G</v>
      </c>
      <c r="L8" t="str">
        <f>IFERROR(VLOOKUP(Master8[[#This Row],[Cell_ID]],Registre_Maintenance[],6,FALSE),"")</f>
        <v>Huawei</v>
      </c>
      <c r="M8" s="1" t="str">
        <f>VLOOKUP(Master8[[#This Row],[Province_RDC]],Client[],2,FALSE)</f>
        <v>CLI-00894</v>
      </c>
      <c r="N8" s="1">
        <f>VLOOKUP(Master8[[#This Row],[Province_RDC]],Client[],3,FALSE)</f>
        <v>63</v>
      </c>
      <c r="O8" s="1" t="str">
        <f>VLOOKUP(Master8[[#This Row],[Province_RDC]],Client[],4,FALSE)</f>
        <v>Pro Monde</v>
      </c>
      <c r="P8" s="1">
        <f>VLOOKUP(Master8[[#This Row],[Province_RDC]],Client[],5,FALSE)</f>
        <v>205</v>
      </c>
      <c r="Q8" s="1">
        <f>VLOOKUP(Master8[[#This Row],[Province_RDC]],Client[],6,FALSE)</f>
        <v>89.19</v>
      </c>
      <c r="R8" s="1">
        <f>VLOOKUP(Master8[[#This Row],[Province_RDC]],Client[],7,FALSE)</f>
        <v>0</v>
      </c>
      <c r="S8" s="1" t="str">
        <f>IF(Master8[[#This Row],[Type_Forfait]]="Pro Monde","B2B","B2C")</f>
        <v>B2B</v>
      </c>
      <c r="T8" s="1">
        <f>Master8[[#This Row],[Anciennete_Mois]]/12</f>
        <v>5.25</v>
      </c>
      <c r="U8" s="1">
        <f>Master8[[#This Row],[Duree_Cumule_Panne_Min]]/60</f>
        <v>3.4166666666666665</v>
      </c>
      <c r="V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8" s="6">
        <f>Master8[[#This Row],[Facture_Mensuelle]]*Master8[[#This Row],[Remise]]</f>
        <v>8.9190000000000005</v>
      </c>
    </row>
    <row r="9" spans="1:24" x14ac:dyDescent="0.25">
      <c r="A9" s="1" t="s">
        <v>902</v>
      </c>
      <c r="B9" t="str">
        <f>IFERROR(VLOOKUP(Master8[[#This Row],[Cell_ID]],Registre_Maintenance[],2,FALSE),"")</f>
        <v>Tshuapa</v>
      </c>
      <c r="C9" s="1" t="s">
        <v>912</v>
      </c>
      <c r="D9" s="2">
        <v>45219.801388888889</v>
      </c>
      <c r="E9" s="3">
        <v>45219.801388888889</v>
      </c>
      <c r="F9">
        <v>65</v>
      </c>
      <c r="G9">
        <f>Master8[[#This Row],[Duree_Panne_Min]]/60</f>
        <v>1.0833333333333333</v>
      </c>
      <c r="H9" s="1" t="s">
        <v>735</v>
      </c>
      <c r="I9">
        <f>IFERROR(VLOOKUP(Master8[[#This Row],[Cell_ID]],Registre_Maintenance[],3,FALSE),"")</f>
        <v>0.52897499999999997</v>
      </c>
      <c r="J9">
        <f>IFERROR(VLOOKUP(Master8[[#This Row],[Cell_ID]],Registre_Maintenance[],4,FALSE),"")</f>
        <v>13.849651</v>
      </c>
      <c r="K9" t="str">
        <f>IFERROR(VLOOKUP(Master8[[#This Row],[Cell_ID]],Registre_Maintenance[],5,FALSE),"")</f>
        <v>3G</v>
      </c>
      <c r="L9" t="str">
        <f>IFERROR(VLOOKUP(Master8[[#This Row],[Cell_ID]],Registre_Maintenance[],6,FALSE),"")</f>
        <v>ZTE</v>
      </c>
      <c r="M9" s="1" t="str">
        <f>VLOOKUP(Master8[[#This Row],[Province_RDC]],Client[],2,FALSE)</f>
        <v>CLI-00894</v>
      </c>
      <c r="N9" s="1">
        <f>VLOOKUP(Master8[[#This Row],[Province_RDC]],Client[],3,FALSE)</f>
        <v>63</v>
      </c>
      <c r="O9" s="1" t="str">
        <f>VLOOKUP(Master8[[#This Row],[Province_RDC]],Client[],4,FALSE)</f>
        <v>Pro Monde</v>
      </c>
      <c r="P9" s="1">
        <f>VLOOKUP(Master8[[#This Row],[Province_RDC]],Client[],5,FALSE)</f>
        <v>205</v>
      </c>
      <c r="Q9" s="1">
        <f>VLOOKUP(Master8[[#This Row],[Province_RDC]],Client[],6,FALSE)</f>
        <v>89.19</v>
      </c>
      <c r="R9" s="1">
        <f>VLOOKUP(Master8[[#This Row],[Province_RDC]],Client[],7,FALSE)</f>
        <v>0</v>
      </c>
      <c r="S9" s="1" t="str">
        <f>IF(Master8[[#This Row],[Type_Forfait]]="Pro Monde","B2B","B2C")</f>
        <v>B2B</v>
      </c>
      <c r="T9" s="1">
        <f>Master8[[#This Row],[Anciennete_Mois]]/12</f>
        <v>5.25</v>
      </c>
      <c r="U9" s="1">
        <f>Master8[[#This Row],[Duree_Cumule_Panne_Min]]/60</f>
        <v>3.4166666666666665</v>
      </c>
      <c r="V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9" s="6">
        <f>Master8[[#This Row],[Facture_Mensuelle]]*Master8[[#This Row],[Remise]]</f>
        <v>8.9190000000000005</v>
      </c>
    </row>
    <row r="10" spans="1:24" x14ac:dyDescent="0.25">
      <c r="A10" s="1" t="s">
        <v>1308</v>
      </c>
      <c r="B10" t="str">
        <f>IFERROR(VLOOKUP(Master8[[#This Row],[Cell_ID]],Registre_Maintenance[],2,FALSE),"")</f>
        <v>Tshuapa</v>
      </c>
      <c r="C10" s="1" t="s">
        <v>1017</v>
      </c>
      <c r="D10" s="2">
        <v>45219.65625</v>
      </c>
      <c r="E10" s="3">
        <v>45219.65625</v>
      </c>
      <c r="F10">
        <v>118</v>
      </c>
      <c r="G10">
        <f>Master8[[#This Row],[Duree_Panne_Min]]/60</f>
        <v>1.9666666666666666</v>
      </c>
      <c r="H10" s="1" t="s">
        <v>735</v>
      </c>
      <c r="I10">
        <f>IFERROR(VLOOKUP(Master8[[#This Row],[Cell_ID]],Registre_Maintenance[],3,FALSE),"")</f>
        <v>-10.577049000000001</v>
      </c>
      <c r="J10">
        <f>IFERROR(VLOOKUP(Master8[[#This Row],[Cell_ID]],Registre_Maintenance[],4,FALSE),"")</f>
        <v>23.721854</v>
      </c>
      <c r="K10" t="str">
        <f>IFERROR(VLOOKUP(Master8[[#This Row],[Cell_ID]],Registre_Maintenance[],5,FALSE),"")</f>
        <v>4G</v>
      </c>
      <c r="L10" t="str">
        <f>IFERROR(VLOOKUP(Master8[[#This Row],[Cell_ID]],Registre_Maintenance[],6,FALSE),"")</f>
        <v>ZTE</v>
      </c>
      <c r="M10" s="1" t="str">
        <f>VLOOKUP(Master8[[#This Row],[Province_RDC]],Client[],2,FALSE)</f>
        <v>CLI-00894</v>
      </c>
      <c r="N10" s="1">
        <f>VLOOKUP(Master8[[#This Row],[Province_RDC]],Client[],3,FALSE)</f>
        <v>63</v>
      </c>
      <c r="O10" s="1" t="str">
        <f>VLOOKUP(Master8[[#This Row],[Province_RDC]],Client[],4,FALSE)</f>
        <v>Pro Monde</v>
      </c>
      <c r="P10" s="1">
        <f>VLOOKUP(Master8[[#This Row],[Province_RDC]],Client[],5,FALSE)</f>
        <v>205</v>
      </c>
      <c r="Q10" s="1">
        <f>VLOOKUP(Master8[[#This Row],[Province_RDC]],Client[],6,FALSE)</f>
        <v>89.19</v>
      </c>
      <c r="R10" s="1">
        <f>VLOOKUP(Master8[[#This Row],[Province_RDC]],Client[],7,FALSE)</f>
        <v>0</v>
      </c>
      <c r="S10" s="1" t="str">
        <f>IF(Master8[[#This Row],[Type_Forfait]]="Pro Monde","B2B","B2C")</f>
        <v>B2B</v>
      </c>
      <c r="T10" s="1">
        <f>Master8[[#This Row],[Anciennete_Mois]]/12</f>
        <v>5.25</v>
      </c>
      <c r="U10" s="1">
        <f>Master8[[#This Row],[Duree_Cumule_Panne_Min]]/60</f>
        <v>3.4166666666666665</v>
      </c>
      <c r="V1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0" s="6">
        <f>Master8[[#This Row],[Facture_Mensuelle]]*Master8[[#This Row],[Remise]]</f>
        <v>8.9190000000000005</v>
      </c>
    </row>
    <row r="11" spans="1:24" x14ac:dyDescent="0.25">
      <c r="A11" s="1" t="s">
        <v>1261</v>
      </c>
      <c r="B11" t="str">
        <f>IFERROR(VLOOKUP(Master8[[#This Row],[Cell_ID]],Registre_Maintenance[],2,FALSE),"")</f>
        <v>Tshuapa</v>
      </c>
      <c r="C11" s="1" t="s">
        <v>862</v>
      </c>
      <c r="D11" s="2">
        <v>45216.701388888891</v>
      </c>
      <c r="E11" s="3">
        <v>45216.701388888891</v>
      </c>
      <c r="F11">
        <v>80</v>
      </c>
      <c r="G11">
        <f>Master8[[#This Row],[Duree_Panne_Min]]/60</f>
        <v>1.3333333333333333</v>
      </c>
      <c r="H11" s="1" t="s">
        <v>732</v>
      </c>
      <c r="I11">
        <f>IFERROR(VLOOKUP(Master8[[#This Row],[Cell_ID]],Registre_Maintenance[],3,FALSE),"")</f>
        <v>-11.622688999999999</v>
      </c>
      <c r="J11">
        <f>IFERROR(VLOOKUP(Master8[[#This Row],[Cell_ID]],Registre_Maintenance[],4,FALSE),"")</f>
        <v>18.483874</v>
      </c>
      <c r="K11" t="str">
        <f>IFERROR(VLOOKUP(Master8[[#This Row],[Cell_ID]],Registre_Maintenance[],5,FALSE),"")</f>
        <v>5G</v>
      </c>
      <c r="L11" t="str">
        <f>IFERROR(VLOOKUP(Master8[[#This Row],[Cell_ID]],Registre_Maintenance[],6,FALSE),"")</f>
        <v>ZTE</v>
      </c>
      <c r="M11" s="1" t="str">
        <f>VLOOKUP(Master8[[#This Row],[Province_RDC]],Client[],2,FALSE)</f>
        <v>CLI-00894</v>
      </c>
      <c r="N11" s="1">
        <f>VLOOKUP(Master8[[#This Row],[Province_RDC]],Client[],3,FALSE)</f>
        <v>63</v>
      </c>
      <c r="O11" s="1" t="str">
        <f>VLOOKUP(Master8[[#This Row],[Province_RDC]],Client[],4,FALSE)</f>
        <v>Pro Monde</v>
      </c>
      <c r="P11" s="1">
        <f>VLOOKUP(Master8[[#This Row],[Province_RDC]],Client[],5,FALSE)</f>
        <v>205</v>
      </c>
      <c r="Q11" s="1">
        <f>VLOOKUP(Master8[[#This Row],[Province_RDC]],Client[],6,FALSE)</f>
        <v>89.19</v>
      </c>
      <c r="R11" s="1">
        <f>VLOOKUP(Master8[[#This Row],[Province_RDC]],Client[],7,FALSE)</f>
        <v>0</v>
      </c>
      <c r="S11" s="1" t="str">
        <f>IF(Master8[[#This Row],[Type_Forfait]]="Pro Monde","B2B","B2C")</f>
        <v>B2B</v>
      </c>
      <c r="T11" s="1">
        <f>Master8[[#This Row],[Anciennete_Mois]]/12</f>
        <v>5.25</v>
      </c>
      <c r="U11" s="1">
        <f>Master8[[#This Row],[Duree_Cumule_Panne_Min]]/60</f>
        <v>3.4166666666666665</v>
      </c>
      <c r="V1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1" s="6">
        <f>Master8[[#This Row],[Facture_Mensuelle]]*Master8[[#This Row],[Remise]]</f>
        <v>8.9190000000000005</v>
      </c>
    </row>
    <row r="12" spans="1:24" x14ac:dyDescent="0.25">
      <c r="A12" s="1" t="s">
        <v>861</v>
      </c>
      <c r="B12" t="str">
        <f>IFERROR(VLOOKUP(Master8[[#This Row],[Cell_ID]],Registre_Maintenance[],2,FALSE),"")</f>
        <v>Tshuapa</v>
      </c>
      <c r="C12" s="1" t="s">
        <v>892</v>
      </c>
      <c r="D12" s="2">
        <v>45203.950694444437</v>
      </c>
      <c r="E12" s="3">
        <v>45203.950694444437</v>
      </c>
      <c r="F12">
        <v>8</v>
      </c>
      <c r="G12">
        <f>Master8[[#This Row],[Duree_Panne_Min]]/60</f>
        <v>0.13333333333333333</v>
      </c>
      <c r="H12" s="1" t="s">
        <v>735</v>
      </c>
      <c r="I12">
        <f>IFERROR(VLOOKUP(Master8[[#This Row],[Cell_ID]],Registre_Maintenance[],3,FALSE),"")</f>
        <v>-0.79406600000000005</v>
      </c>
      <c r="J12">
        <f>IFERROR(VLOOKUP(Master8[[#This Row],[Cell_ID]],Registre_Maintenance[],4,FALSE),"")</f>
        <v>12.534793000000001</v>
      </c>
      <c r="K12" t="str">
        <f>IFERROR(VLOOKUP(Master8[[#This Row],[Cell_ID]],Registre_Maintenance[],5,FALSE),"")</f>
        <v>3G</v>
      </c>
      <c r="L12" t="str">
        <f>IFERROR(VLOOKUP(Master8[[#This Row],[Cell_ID]],Registre_Maintenance[],6,FALSE),"")</f>
        <v>Huawei</v>
      </c>
      <c r="M12" s="1" t="str">
        <f>VLOOKUP(Master8[[#This Row],[Province_RDC]],Client[],2,FALSE)</f>
        <v>CLI-00894</v>
      </c>
      <c r="N12" s="1">
        <f>VLOOKUP(Master8[[#This Row],[Province_RDC]],Client[],3,FALSE)</f>
        <v>63</v>
      </c>
      <c r="O12" s="1" t="str">
        <f>VLOOKUP(Master8[[#This Row],[Province_RDC]],Client[],4,FALSE)</f>
        <v>Pro Monde</v>
      </c>
      <c r="P12" s="1">
        <f>VLOOKUP(Master8[[#This Row],[Province_RDC]],Client[],5,FALSE)</f>
        <v>205</v>
      </c>
      <c r="Q12" s="1">
        <f>VLOOKUP(Master8[[#This Row],[Province_RDC]],Client[],6,FALSE)</f>
        <v>89.19</v>
      </c>
      <c r="R12" s="1">
        <f>VLOOKUP(Master8[[#This Row],[Province_RDC]],Client[],7,FALSE)</f>
        <v>0</v>
      </c>
      <c r="S12" s="1" t="str">
        <f>IF(Master8[[#This Row],[Type_Forfait]]="Pro Monde","B2B","B2C")</f>
        <v>B2B</v>
      </c>
      <c r="T12" s="1">
        <f>Master8[[#This Row],[Anciennete_Mois]]/12</f>
        <v>5.25</v>
      </c>
      <c r="U12" s="1">
        <f>Master8[[#This Row],[Duree_Cumule_Panne_Min]]/60</f>
        <v>3.4166666666666665</v>
      </c>
      <c r="V1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2" s="6">
        <f>Master8[[#This Row],[Facture_Mensuelle]]*Master8[[#This Row],[Remise]]</f>
        <v>8.9190000000000005</v>
      </c>
    </row>
    <row r="13" spans="1:24" x14ac:dyDescent="0.25">
      <c r="A13" s="1" t="s">
        <v>1138</v>
      </c>
      <c r="B13" t="str">
        <f>IFERROR(VLOOKUP(Master8[[#This Row],[Cell_ID]],Registre_Maintenance[],2,FALSE),"")</f>
        <v>Tshuapa</v>
      </c>
      <c r="C13" s="1" t="s">
        <v>1146</v>
      </c>
      <c r="D13" s="2">
        <v>45203.59652777778</v>
      </c>
      <c r="E13" s="3">
        <v>45203.59652777778</v>
      </c>
      <c r="F13">
        <v>13</v>
      </c>
      <c r="G13">
        <f>Master8[[#This Row],[Duree_Panne_Min]]/60</f>
        <v>0.21666666666666667</v>
      </c>
      <c r="H13" s="1" t="s">
        <v>735</v>
      </c>
      <c r="I13">
        <f>IFERROR(VLOOKUP(Master8[[#This Row],[Cell_ID]],Registre_Maintenance[],3,FALSE),"")</f>
        <v>-1.9540519999999999</v>
      </c>
      <c r="J13">
        <f>IFERROR(VLOOKUP(Master8[[#This Row],[Cell_ID]],Registre_Maintenance[],4,FALSE),"")</f>
        <v>12.667945</v>
      </c>
      <c r="K13" t="str">
        <f>IFERROR(VLOOKUP(Master8[[#This Row],[Cell_ID]],Registre_Maintenance[],5,FALSE),"")</f>
        <v>4G</v>
      </c>
      <c r="L13" t="str">
        <f>IFERROR(VLOOKUP(Master8[[#This Row],[Cell_ID]],Registre_Maintenance[],6,FALSE),"")</f>
        <v>Huawei</v>
      </c>
      <c r="M13" s="1" t="str">
        <f>VLOOKUP(Master8[[#This Row],[Province_RDC]],Client[],2,FALSE)</f>
        <v>CLI-00894</v>
      </c>
      <c r="N13" s="1">
        <f>VLOOKUP(Master8[[#This Row],[Province_RDC]],Client[],3,FALSE)</f>
        <v>63</v>
      </c>
      <c r="O13" s="1" t="str">
        <f>VLOOKUP(Master8[[#This Row],[Province_RDC]],Client[],4,FALSE)</f>
        <v>Pro Monde</v>
      </c>
      <c r="P13" s="1">
        <f>VLOOKUP(Master8[[#This Row],[Province_RDC]],Client[],5,FALSE)</f>
        <v>205</v>
      </c>
      <c r="Q13" s="1">
        <f>VLOOKUP(Master8[[#This Row],[Province_RDC]],Client[],6,FALSE)</f>
        <v>89.19</v>
      </c>
      <c r="R13" s="1">
        <f>VLOOKUP(Master8[[#This Row],[Province_RDC]],Client[],7,FALSE)</f>
        <v>0</v>
      </c>
      <c r="S13" s="1" t="str">
        <f>IF(Master8[[#This Row],[Type_Forfait]]="Pro Monde","B2B","B2C")</f>
        <v>B2B</v>
      </c>
      <c r="T13" s="1">
        <f>Master8[[#This Row],[Anciennete_Mois]]/12</f>
        <v>5.25</v>
      </c>
      <c r="U13" s="1">
        <f>Master8[[#This Row],[Duree_Cumule_Panne_Min]]/60</f>
        <v>3.4166666666666665</v>
      </c>
      <c r="V1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3" s="6">
        <f>Master8[[#This Row],[Facture_Mensuelle]]*Master8[[#This Row],[Remise]]</f>
        <v>8.9190000000000005</v>
      </c>
    </row>
    <row r="14" spans="1:24" x14ac:dyDescent="0.25">
      <c r="A14" s="1" t="s">
        <v>999</v>
      </c>
      <c r="B14" t="str">
        <f>IFERROR(VLOOKUP(Master8[[#This Row],[Cell_ID]],Registre_Maintenance[],2,FALSE),"")</f>
        <v>Tshuapa</v>
      </c>
      <c r="C14" s="1" t="s">
        <v>1017</v>
      </c>
      <c r="D14" s="2">
        <v>45202.04791666667</v>
      </c>
      <c r="E14" s="3">
        <v>45202.04791666667</v>
      </c>
      <c r="F14">
        <v>115</v>
      </c>
      <c r="G14">
        <f>Master8[[#This Row],[Duree_Panne_Min]]/60</f>
        <v>1.9166666666666667</v>
      </c>
      <c r="H14" s="1" t="s">
        <v>735</v>
      </c>
      <c r="I14">
        <f>IFERROR(VLOOKUP(Master8[[#This Row],[Cell_ID]],Registre_Maintenance[],3,FALSE),"")</f>
        <v>-10.577049000000001</v>
      </c>
      <c r="J14">
        <f>IFERROR(VLOOKUP(Master8[[#This Row],[Cell_ID]],Registre_Maintenance[],4,FALSE),"")</f>
        <v>23.721854</v>
      </c>
      <c r="K14" t="str">
        <f>IFERROR(VLOOKUP(Master8[[#This Row],[Cell_ID]],Registre_Maintenance[],5,FALSE),"")</f>
        <v>4G</v>
      </c>
      <c r="L14" t="str">
        <f>IFERROR(VLOOKUP(Master8[[#This Row],[Cell_ID]],Registre_Maintenance[],6,FALSE),"")</f>
        <v>ZTE</v>
      </c>
      <c r="M14" s="1" t="str">
        <f>VLOOKUP(Master8[[#This Row],[Province_RDC]],Client[],2,FALSE)</f>
        <v>CLI-00894</v>
      </c>
      <c r="N14" s="1">
        <f>VLOOKUP(Master8[[#This Row],[Province_RDC]],Client[],3,FALSE)</f>
        <v>63</v>
      </c>
      <c r="O14" s="1" t="str">
        <f>VLOOKUP(Master8[[#This Row],[Province_RDC]],Client[],4,FALSE)</f>
        <v>Pro Monde</v>
      </c>
      <c r="P14" s="1">
        <f>VLOOKUP(Master8[[#This Row],[Province_RDC]],Client[],5,FALSE)</f>
        <v>205</v>
      </c>
      <c r="Q14" s="1">
        <f>VLOOKUP(Master8[[#This Row],[Province_RDC]],Client[],6,FALSE)</f>
        <v>89.19</v>
      </c>
      <c r="R14" s="1">
        <f>VLOOKUP(Master8[[#This Row],[Province_RDC]],Client[],7,FALSE)</f>
        <v>0</v>
      </c>
      <c r="S14" s="1" t="str">
        <f>IF(Master8[[#This Row],[Type_Forfait]]="Pro Monde","B2B","B2C")</f>
        <v>B2B</v>
      </c>
      <c r="T14" s="1">
        <f>Master8[[#This Row],[Anciennete_Mois]]/12</f>
        <v>5.25</v>
      </c>
      <c r="U14" s="1">
        <f>Master8[[#This Row],[Duree_Cumule_Panne_Min]]/60</f>
        <v>3.4166666666666665</v>
      </c>
      <c r="V1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4" s="6">
        <f>Master8[[#This Row],[Facture_Mensuelle]]*Master8[[#This Row],[Remise]]</f>
        <v>8.9190000000000005</v>
      </c>
    </row>
    <row r="15" spans="1:24" x14ac:dyDescent="0.25">
      <c r="A15" s="1" t="s">
        <v>1288</v>
      </c>
      <c r="B15" t="str">
        <f>IFERROR(VLOOKUP(Master8[[#This Row],[Cell_ID]],Registre_Maintenance[],2,FALSE),"")</f>
        <v>Tshuapa</v>
      </c>
      <c r="C15" s="1" t="s">
        <v>1304</v>
      </c>
      <c r="D15" s="2">
        <v>45200.534722222219</v>
      </c>
      <c r="E15" s="3">
        <v>45200.534722222219</v>
      </c>
      <c r="F15">
        <v>50</v>
      </c>
      <c r="G15">
        <f>Master8[[#This Row],[Duree_Panne_Min]]/60</f>
        <v>0.83333333333333337</v>
      </c>
      <c r="H15" s="1" t="s">
        <v>737</v>
      </c>
      <c r="I15">
        <f>IFERROR(VLOOKUP(Master8[[#This Row],[Cell_ID]],Registre_Maintenance[],3,FALSE),"")</f>
        <v>-7.7587710000000003</v>
      </c>
      <c r="J15">
        <f>IFERROR(VLOOKUP(Master8[[#This Row],[Cell_ID]],Registre_Maintenance[],4,FALSE),"")</f>
        <v>17.880848</v>
      </c>
      <c r="K15" t="str">
        <f>IFERROR(VLOOKUP(Master8[[#This Row],[Cell_ID]],Registre_Maintenance[],5,FALSE),"")</f>
        <v>3G</v>
      </c>
      <c r="L15" t="str">
        <f>IFERROR(VLOOKUP(Master8[[#This Row],[Cell_ID]],Registre_Maintenance[],6,FALSE),"")</f>
        <v>Ericsson</v>
      </c>
      <c r="M15" s="1" t="str">
        <f>VLOOKUP(Master8[[#This Row],[Province_RDC]],Client[],2,FALSE)</f>
        <v>CLI-00894</v>
      </c>
      <c r="N15" s="1">
        <f>VLOOKUP(Master8[[#This Row],[Province_RDC]],Client[],3,FALSE)</f>
        <v>63</v>
      </c>
      <c r="O15" s="1" t="str">
        <f>VLOOKUP(Master8[[#This Row],[Province_RDC]],Client[],4,FALSE)</f>
        <v>Pro Monde</v>
      </c>
      <c r="P15" s="1">
        <f>VLOOKUP(Master8[[#This Row],[Province_RDC]],Client[],5,FALSE)</f>
        <v>205</v>
      </c>
      <c r="Q15" s="1">
        <f>VLOOKUP(Master8[[#This Row],[Province_RDC]],Client[],6,FALSE)</f>
        <v>89.19</v>
      </c>
      <c r="R15" s="1">
        <f>VLOOKUP(Master8[[#This Row],[Province_RDC]],Client[],7,FALSE)</f>
        <v>0</v>
      </c>
      <c r="S15" s="1" t="str">
        <f>IF(Master8[[#This Row],[Type_Forfait]]="Pro Monde","B2B","B2C")</f>
        <v>B2B</v>
      </c>
      <c r="T15" s="1">
        <f>Master8[[#This Row],[Anciennete_Mois]]/12</f>
        <v>5.25</v>
      </c>
      <c r="U15" s="1">
        <f>Master8[[#This Row],[Duree_Cumule_Panne_Min]]/60</f>
        <v>3.4166666666666665</v>
      </c>
      <c r="V1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5" s="6">
        <f>Master8[[#This Row],[Facture_Mensuelle]]*Master8[[#This Row],[Remise]]</f>
        <v>8.9190000000000005</v>
      </c>
    </row>
    <row r="16" spans="1:24" x14ac:dyDescent="0.25">
      <c r="A16" s="1" t="s">
        <v>861</v>
      </c>
      <c r="B16" t="str">
        <f>IFERROR(VLOOKUP(Master8[[#This Row],[Cell_ID]],Registre_Maintenance[],2,FALSE),"")</f>
        <v>Tshuapa</v>
      </c>
      <c r="C16" s="1" t="s">
        <v>862</v>
      </c>
      <c r="D16" s="2">
        <v>45200.51458333333</v>
      </c>
      <c r="E16" s="3">
        <v>45200.51458333333</v>
      </c>
      <c r="F16">
        <v>24</v>
      </c>
      <c r="G16">
        <f>Master8[[#This Row],[Duree_Panne_Min]]/60</f>
        <v>0.4</v>
      </c>
      <c r="H16" s="1" t="s">
        <v>737</v>
      </c>
      <c r="I16">
        <f>IFERROR(VLOOKUP(Master8[[#This Row],[Cell_ID]],Registre_Maintenance[],3,FALSE),"")</f>
        <v>-11.622688999999999</v>
      </c>
      <c r="J16">
        <f>IFERROR(VLOOKUP(Master8[[#This Row],[Cell_ID]],Registre_Maintenance[],4,FALSE),"")</f>
        <v>18.483874</v>
      </c>
      <c r="K16" t="str">
        <f>IFERROR(VLOOKUP(Master8[[#This Row],[Cell_ID]],Registre_Maintenance[],5,FALSE),"")</f>
        <v>5G</v>
      </c>
      <c r="L16" t="str">
        <f>IFERROR(VLOOKUP(Master8[[#This Row],[Cell_ID]],Registre_Maintenance[],6,FALSE),"")</f>
        <v>ZTE</v>
      </c>
      <c r="M16" s="1" t="str">
        <f>VLOOKUP(Master8[[#This Row],[Province_RDC]],Client[],2,FALSE)</f>
        <v>CLI-00894</v>
      </c>
      <c r="N16" s="1">
        <f>VLOOKUP(Master8[[#This Row],[Province_RDC]],Client[],3,FALSE)</f>
        <v>63</v>
      </c>
      <c r="O16" s="1" t="str">
        <f>VLOOKUP(Master8[[#This Row],[Province_RDC]],Client[],4,FALSE)</f>
        <v>Pro Monde</v>
      </c>
      <c r="P16" s="1">
        <f>VLOOKUP(Master8[[#This Row],[Province_RDC]],Client[],5,FALSE)</f>
        <v>205</v>
      </c>
      <c r="Q16" s="1">
        <f>VLOOKUP(Master8[[#This Row],[Province_RDC]],Client[],6,FALSE)</f>
        <v>89.19</v>
      </c>
      <c r="R16" s="1">
        <f>VLOOKUP(Master8[[#This Row],[Province_RDC]],Client[],7,FALSE)</f>
        <v>0</v>
      </c>
      <c r="S16" s="1" t="str">
        <f>IF(Master8[[#This Row],[Type_Forfait]]="Pro Monde","B2B","B2C")</f>
        <v>B2B</v>
      </c>
      <c r="T16" s="1">
        <f>Master8[[#This Row],[Anciennete_Mois]]/12</f>
        <v>5.25</v>
      </c>
      <c r="U16" s="1">
        <f>Master8[[#This Row],[Duree_Cumule_Panne_Min]]/60</f>
        <v>3.4166666666666665</v>
      </c>
      <c r="V1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6" s="6">
        <f>Master8[[#This Row],[Facture_Mensuelle]]*Master8[[#This Row],[Remise]]</f>
        <v>8.9190000000000005</v>
      </c>
    </row>
    <row r="17" spans="1:24" x14ac:dyDescent="0.25">
      <c r="A17" s="1" t="s">
        <v>1308</v>
      </c>
      <c r="B17" t="str">
        <f>IFERROR(VLOOKUP(Master8[[#This Row],[Cell_ID]],Registre_Maintenance[],2,FALSE),"")</f>
        <v>Tshopo</v>
      </c>
      <c r="C17" s="1" t="s">
        <v>1214</v>
      </c>
      <c r="D17" s="2">
        <v>45228.563194444447</v>
      </c>
      <c r="E17" s="3">
        <v>45228.563194444447</v>
      </c>
      <c r="F17">
        <v>44</v>
      </c>
      <c r="G17">
        <f>Master8[[#This Row],[Duree_Panne_Min]]/60</f>
        <v>0.73333333333333328</v>
      </c>
      <c r="H17" s="1" t="s">
        <v>732</v>
      </c>
      <c r="I17">
        <f>IFERROR(VLOOKUP(Master8[[#This Row],[Cell_ID]],Registre_Maintenance[],3,FALSE),"")</f>
        <v>-11.265995</v>
      </c>
      <c r="J17">
        <f>IFERROR(VLOOKUP(Master8[[#This Row],[Cell_ID]],Registre_Maintenance[],4,FALSE),"")</f>
        <v>28.935514999999999</v>
      </c>
      <c r="K17" t="str">
        <f>IFERROR(VLOOKUP(Master8[[#This Row],[Cell_ID]],Registre_Maintenance[],5,FALSE),"")</f>
        <v>4G</v>
      </c>
      <c r="L17" t="str">
        <f>IFERROR(VLOOKUP(Master8[[#This Row],[Cell_ID]],Registre_Maintenance[],6,FALSE),"")</f>
        <v>Ericsson</v>
      </c>
      <c r="M17" s="1" t="str">
        <f>VLOOKUP(Master8[[#This Row],[Province_RDC]],Client[],2,FALSE)</f>
        <v>CLI-00745</v>
      </c>
      <c r="N17" s="1">
        <f>VLOOKUP(Master8[[#This Row],[Province_RDC]],Client[],3,FALSE)</f>
        <v>6</v>
      </c>
      <c r="O17" s="1" t="str">
        <f>VLOOKUP(Master8[[#This Row],[Province_RDC]],Client[],4,FALSE)</f>
        <v>Premium 5G 150Go</v>
      </c>
      <c r="P17" s="1">
        <f>VLOOKUP(Master8[[#This Row],[Province_RDC]],Client[],5,FALSE)</f>
        <v>207</v>
      </c>
      <c r="Q17" s="1">
        <f>VLOOKUP(Master8[[#This Row],[Province_RDC]],Client[],6,FALSE)</f>
        <v>61.55</v>
      </c>
      <c r="R17" s="1">
        <f>VLOOKUP(Master8[[#This Row],[Province_RDC]],Client[],7,FALSE)</f>
        <v>0</v>
      </c>
      <c r="S17" s="1" t="str">
        <f>IF(Master8[[#This Row],[Type_Forfait]]="Pro Monde","B2B","B2C")</f>
        <v>B2C</v>
      </c>
      <c r="T17" s="1">
        <f>Master8[[#This Row],[Anciennete_Mois]]/12</f>
        <v>0.5</v>
      </c>
      <c r="U17" s="1">
        <f>Master8[[#This Row],[Duree_Cumule_Panne_Min]]/60</f>
        <v>3.45</v>
      </c>
      <c r="V1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17" s="6">
        <f>Master8[[#This Row],[Facture_Mensuelle]]*Master8[[#This Row],[Remise]]</f>
        <v>0</v>
      </c>
    </row>
    <row r="18" spans="1:24" x14ac:dyDescent="0.25">
      <c r="A18" s="1" t="s">
        <v>1308</v>
      </c>
      <c r="B18" t="str">
        <f>IFERROR(VLOOKUP(Master8[[#This Row],[Cell_ID]],Registre_Maintenance[],2,FALSE),"")</f>
        <v>Tshopo</v>
      </c>
      <c r="C18" s="1" t="s">
        <v>1318</v>
      </c>
      <c r="D18" s="2">
        <v>45228.515277777777</v>
      </c>
      <c r="E18" s="3">
        <v>45228.515277777777</v>
      </c>
      <c r="F18">
        <v>105</v>
      </c>
      <c r="G18">
        <f>Master8[[#This Row],[Duree_Panne_Min]]/60</f>
        <v>1.75</v>
      </c>
      <c r="H18" s="1" t="s">
        <v>732</v>
      </c>
      <c r="I18">
        <f>IFERROR(VLOOKUP(Master8[[#This Row],[Cell_ID]],Registre_Maintenance[],3,FALSE),"")</f>
        <v>-0.919767</v>
      </c>
      <c r="J18">
        <f>IFERROR(VLOOKUP(Master8[[#This Row],[Cell_ID]],Registre_Maintenance[],4,FALSE),"")</f>
        <v>18.905538</v>
      </c>
      <c r="K18" t="str">
        <f>IFERROR(VLOOKUP(Master8[[#This Row],[Cell_ID]],Registre_Maintenance[],5,FALSE),"")</f>
        <v>5G</v>
      </c>
      <c r="L18" t="str">
        <f>IFERROR(VLOOKUP(Master8[[#This Row],[Cell_ID]],Registre_Maintenance[],6,FALSE),"")</f>
        <v>Ericsson</v>
      </c>
      <c r="M18" s="1" t="str">
        <f>VLOOKUP(Master8[[#This Row],[Province_RDC]],Client[],2,FALSE)</f>
        <v>CLI-00745</v>
      </c>
      <c r="N18" s="1">
        <f>VLOOKUP(Master8[[#This Row],[Province_RDC]],Client[],3,FALSE)</f>
        <v>6</v>
      </c>
      <c r="O18" s="1" t="str">
        <f>VLOOKUP(Master8[[#This Row],[Province_RDC]],Client[],4,FALSE)</f>
        <v>Premium 5G 150Go</v>
      </c>
      <c r="P18" s="1">
        <f>VLOOKUP(Master8[[#This Row],[Province_RDC]],Client[],5,FALSE)</f>
        <v>207</v>
      </c>
      <c r="Q18" s="1">
        <f>VLOOKUP(Master8[[#This Row],[Province_RDC]],Client[],6,FALSE)</f>
        <v>61.55</v>
      </c>
      <c r="R18" s="1">
        <f>VLOOKUP(Master8[[#This Row],[Province_RDC]],Client[],7,FALSE)</f>
        <v>0</v>
      </c>
      <c r="S18" s="1" t="str">
        <f>IF(Master8[[#This Row],[Type_Forfait]]="Pro Monde","B2B","B2C")</f>
        <v>B2C</v>
      </c>
      <c r="T18" s="1">
        <f>Master8[[#This Row],[Anciennete_Mois]]/12</f>
        <v>0.5</v>
      </c>
      <c r="U18" s="1">
        <f>Master8[[#This Row],[Duree_Cumule_Panne_Min]]/60</f>
        <v>3.45</v>
      </c>
      <c r="V1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18" s="6">
        <f>Master8[[#This Row],[Facture_Mensuelle]]*Master8[[#This Row],[Remise]]</f>
        <v>0</v>
      </c>
    </row>
    <row r="19" spans="1:24" x14ac:dyDescent="0.25">
      <c r="A19" s="1" t="s">
        <v>861</v>
      </c>
      <c r="B19" t="str">
        <f>IFERROR(VLOOKUP(Master8[[#This Row],[Cell_ID]],Registre_Maintenance[],2,FALSE),"")</f>
        <v>Tshopo</v>
      </c>
      <c r="C19" s="1" t="s">
        <v>898</v>
      </c>
      <c r="D19" s="2">
        <v>45227.577777777777</v>
      </c>
      <c r="E19" s="3">
        <v>45227.577777777777</v>
      </c>
      <c r="F19">
        <v>50</v>
      </c>
      <c r="G19">
        <f>Master8[[#This Row],[Duree_Panne_Min]]/60</f>
        <v>0.83333333333333337</v>
      </c>
      <c r="H19" s="1" t="s">
        <v>737</v>
      </c>
      <c r="I19">
        <f>IFERROR(VLOOKUP(Master8[[#This Row],[Cell_ID]],Registre_Maintenance[],3,FALSE),"")</f>
        <v>-4.5603610000000003</v>
      </c>
      <c r="J19">
        <f>IFERROR(VLOOKUP(Master8[[#This Row],[Cell_ID]],Registre_Maintenance[],4,FALSE),"")</f>
        <v>24.113918999999999</v>
      </c>
      <c r="K19" t="str">
        <f>IFERROR(VLOOKUP(Master8[[#This Row],[Cell_ID]],Registre_Maintenance[],5,FALSE),"")</f>
        <v>5G</v>
      </c>
      <c r="L19" t="str">
        <f>IFERROR(VLOOKUP(Master8[[#This Row],[Cell_ID]],Registre_Maintenance[],6,FALSE),"")</f>
        <v>ZTE</v>
      </c>
      <c r="M19" s="1" t="str">
        <f>VLOOKUP(Master8[[#This Row],[Province_RDC]],Client[],2,FALSE)</f>
        <v>CLI-00745</v>
      </c>
      <c r="N19" s="1">
        <f>VLOOKUP(Master8[[#This Row],[Province_RDC]],Client[],3,FALSE)</f>
        <v>6</v>
      </c>
      <c r="O19" s="1" t="str">
        <f>VLOOKUP(Master8[[#This Row],[Province_RDC]],Client[],4,FALSE)</f>
        <v>Premium 5G 150Go</v>
      </c>
      <c r="P19" s="1">
        <f>VLOOKUP(Master8[[#This Row],[Province_RDC]],Client[],5,FALSE)</f>
        <v>207</v>
      </c>
      <c r="Q19" s="1">
        <f>VLOOKUP(Master8[[#This Row],[Province_RDC]],Client[],6,FALSE)</f>
        <v>61.55</v>
      </c>
      <c r="R19" s="1">
        <f>VLOOKUP(Master8[[#This Row],[Province_RDC]],Client[],7,FALSE)</f>
        <v>0</v>
      </c>
      <c r="S19" s="1" t="str">
        <f>IF(Master8[[#This Row],[Type_Forfait]]="Pro Monde","B2B","B2C")</f>
        <v>B2C</v>
      </c>
      <c r="T19" s="1">
        <f>Master8[[#This Row],[Anciennete_Mois]]/12</f>
        <v>0.5</v>
      </c>
      <c r="U19" s="1">
        <f>Master8[[#This Row],[Duree_Cumule_Panne_Min]]/60</f>
        <v>3.45</v>
      </c>
      <c r="V1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19" s="6">
        <f>Master8[[#This Row],[Facture_Mensuelle]]*Master8[[#This Row],[Remise]]</f>
        <v>0</v>
      </c>
    </row>
    <row r="20" spans="1:24" x14ac:dyDescent="0.25">
      <c r="A20" s="1" t="s">
        <v>939</v>
      </c>
      <c r="B20" t="str">
        <f>IFERROR(VLOOKUP(Master8[[#This Row],[Cell_ID]],Registre_Maintenance[],2,FALSE),"")</f>
        <v>Tshopo</v>
      </c>
      <c r="C20" s="1" t="s">
        <v>962</v>
      </c>
      <c r="D20" s="2">
        <v>45227.144444444442</v>
      </c>
      <c r="E20" s="3">
        <v>45227.144444444442</v>
      </c>
      <c r="F20">
        <v>11</v>
      </c>
      <c r="G20">
        <f>Master8[[#This Row],[Duree_Panne_Min]]/60</f>
        <v>0.18333333333333332</v>
      </c>
      <c r="H20" s="1" t="s">
        <v>735</v>
      </c>
      <c r="I20">
        <f>IFERROR(VLOOKUP(Master8[[#This Row],[Cell_ID]],Registre_Maintenance[],3,FALSE),"")</f>
        <v>2.4425979999999998</v>
      </c>
      <c r="J20">
        <f>IFERROR(VLOOKUP(Master8[[#This Row],[Cell_ID]],Registre_Maintenance[],4,FALSE),"")</f>
        <v>24.924308</v>
      </c>
      <c r="K20" t="str">
        <f>IFERROR(VLOOKUP(Master8[[#This Row],[Cell_ID]],Registre_Maintenance[],5,FALSE),"")</f>
        <v>5G</v>
      </c>
      <c r="L20" t="str">
        <f>IFERROR(VLOOKUP(Master8[[#This Row],[Cell_ID]],Registre_Maintenance[],6,FALSE),"")</f>
        <v>Ericsson</v>
      </c>
      <c r="M20" s="1" t="str">
        <f>VLOOKUP(Master8[[#This Row],[Province_RDC]],Client[],2,FALSE)</f>
        <v>CLI-00745</v>
      </c>
      <c r="N20" s="1">
        <f>VLOOKUP(Master8[[#This Row],[Province_RDC]],Client[],3,FALSE)</f>
        <v>6</v>
      </c>
      <c r="O20" s="1" t="str">
        <f>VLOOKUP(Master8[[#This Row],[Province_RDC]],Client[],4,FALSE)</f>
        <v>Premium 5G 150Go</v>
      </c>
      <c r="P20" s="1">
        <f>VLOOKUP(Master8[[#This Row],[Province_RDC]],Client[],5,FALSE)</f>
        <v>207</v>
      </c>
      <c r="Q20" s="1">
        <f>VLOOKUP(Master8[[#This Row],[Province_RDC]],Client[],6,FALSE)</f>
        <v>61.55</v>
      </c>
      <c r="R20" s="1">
        <f>VLOOKUP(Master8[[#This Row],[Province_RDC]],Client[],7,FALSE)</f>
        <v>0</v>
      </c>
      <c r="S20" s="1" t="str">
        <f>IF(Master8[[#This Row],[Type_Forfait]]="Pro Monde","B2B","B2C")</f>
        <v>B2C</v>
      </c>
      <c r="T20" s="1">
        <f>Master8[[#This Row],[Anciennete_Mois]]/12</f>
        <v>0.5</v>
      </c>
      <c r="U20" s="1">
        <f>Master8[[#This Row],[Duree_Cumule_Panne_Min]]/60</f>
        <v>3.45</v>
      </c>
      <c r="V2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0" s="6">
        <f>Master8[[#This Row],[Facture_Mensuelle]]*Master8[[#This Row],[Remise]]</f>
        <v>0</v>
      </c>
    </row>
    <row r="21" spans="1:24" x14ac:dyDescent="0.25">
      <c r="A21" s="1" t="s">
        <v>1261</v>
      </c>
      <c r="B21" t="str">
        <f>IFERROR(VLOOKUP(Master8[[#This Row],[Cell_ID]],Registre_Maintenance[],2,FALSE),"")</f>
        <v>Tshopo</v>
      </c>
      <c r="C21" s="1" t="s">
        <v>885</v>
      </c>
      <c r="D21" s="2">
        <v>45226.969444444447</v>
      </c>
      <c r="E21" s="3">
        <v>45226.969444444447</v>
      </c>
      <c r="F21">
        <v>68</v>
      </c>
      <c r="G21">
        <f>Master8[[#This Row],[Duree_Panne_Min]]/60</f>
        <v>1.1333333333333333</v>
      </c>
      <c r="H21" s="1" t="s">
        <v>732</v>
      </c>
      <c r="I21">
        <f>IFERROR(VLOOKUP(Master8[[#This Row],[Cell_ID]],Registre_Maintenance[],3,FALSE),"")</f>
        <v>3.0603760000000002</v>
      </c>
      <c r="J21">
        <f>IFERROR(VLOOKUP(Master8[[#This Row],[Cell_ID]],Registre_Maintenance[],4,FALSE),"")</f>
        <v>19.708034000000001</v>
      </c>
      <c r="K21" t="str">
        <f>IFERROR(VLOOKUP(Master8[[#This Row],[Cell_ID]],Registre_Maintenance[],5,FALSE),"")</f>
        <v>3G</v>
      </c>
      <c r="L21" t="str">
        <f>IFERROR(VLOOKUP(Master8[[#This Row],[Cell_ID]],Registre_Maintenance[],6,FALSE),"")</f>
        <v>ZTE</v>
      </c>
      <c r="M21" s="1" t="str">
        <f>VLOOKUP(Master8[[#This Row],[Province_RDC]],Client[],2,FALSE)</f>
        <v>CLI-00745</v>
      </c>
      <c r="N21" s="1">
        <f>VLOOKUP(Master8[[#This Row],[Province_RDC]],Client[],3,FALSE)</f>
        <v>6</v>
      </c>
      <c r="O21" s="1" t="str">
        <f>VLOOKUP(Master8[[#This Row],[Province_RDC]],Client[],4,FALSE)</f>
        <v>Premium 5G 150Go</v>
      </c>
      <c r="P21" s="1">
        <f>VLOOKUP(Master8[[#This Row],[Province_RDC]],Client[],5,FALSE)</f>
        <v>207</v>
      </c>
      <c r="Q21" s="1">
        <f>VLOOKUP(Master8[[#This Row],[Province_RDC]],Client[],6,FALSE)</f>
        <v>61.55</v>
      </c>
      <c r="R21" s="1">
        <f>VLOOKUP(Master8[[#This Row],[Province_RDC]],Client[],7,FALSE)</f>
        <v>0</v>
      </c>
      <c r="S21" s="1" t="str">
        <f>IF(Master8[[#This Row],[Type_Forfait]]="Pro Monde","B2B","B2C")</f>
        <v>B2C</v>
      </c>
      <c r="T21" s="1">
        <f>Master8[[#This Row],[Anciennete_Mois]]/12</f>
        <v>0.5</v>
      </c>
      <c r="U21" s="1">
        <f>Master8[[#This Row],[Duree_Cumule_Panne_Min]]/60</f>
        <v>3.45</v>
      </c>
      <c r="V2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" s="6">
        <f>Master8[[#This Row],[Facture_Mensuelle]]*Master8[[#This Row],[Remise]]</f>
        <v>0</v>
      </c>
    </row>
    <row r="22" spans="1:24" x14ac:dyDescent="0.25">
      <c r="A22" s="1" t="s">
        <v>1193</v>
      </c>
      <c r="B22" t="str">
        <f>IFERROR(VLOOKUP(Master8[[#This Row],[Cell_ID]],Registre_Maintenance[],2,FALSE),"")</f>
        <v>Tshopo</v>
      </c>
      <c r="C22" s="1" t="s">
        <v>1214</v>
      </c>
      <c r="D22" s="2">
        <v>45224.115277777782</v>
      </c>
      <c r="E22" s="3">
        <v>45224.115277777782</v>
      </c>
      <c r="F22">
        <v>45</v>
      </c>
      <c r="G22">
        <f>Master8[[#This Row],[Duree_Panne_Min]]/60</f>
        <v>0.75</v>
      </c>
      <c r="H22" s="1" t="s">
        <v>735</v>
      </c>
      <c r="I22">
        <f>IFERROR(VLOOKUP(Master8[[#This Row],[Cell_ID]],Registre_Maintenance[],3,FALSE),"")</f>
        <v>-11.265995</v>
      </c>
      <c r="J22">
        <f>IFERROR(VLOOKUP(Master8[[#This Row],[Cell_ID]],Registre_Maintenance[],4,FALSE),"")</f>
        <v>28.935514999999999</v>
      </c>
      <c r="K22" t="str">
        <f>IFERROR(VLOOKUP(Master8[[#This Row],[Cell_ID]],Registre_Maintenance[],5,FALSE),"")</f>
        <v>4G</v>
      </c>
      <c r="L22" t="str">
        <f>IFERROR(VLOOKUP(Master8[[#This Row],[Cell_ID]],Registre_Maintenance[],6,FALSE),"")</f>
        <v>Ericsson</v>
      </c>
      <c r="M22" s="1" t="str">
        <f>VLOOKUP(Master8[[#This Row],[Province_RDC]],Client[],2,FALSE)</f>
        <v>CLI-00745</v>
      </c>
      <c r="N22" s="1">
        <f>VLOOKUP(Master8[[#This Row],[Province_RDC]],Client[],3,FALSE)</f>
        <v>6</v>
      </c>
      <c r="O22" s="1" t="str">
        <f>VLOOKUP(Master8[[#This Row],[Province_RDC]],Client[],4,FALSE)</f>
        <v>Premium 5G 150Go</v>
      </c>
      <c r="P22" s="1">
        <f>VLOOKUP(Master8[[#This Row],[Province_RDC]],Client[],5,FALSE)</f>
        <v>207</v>
      </c>
      <c r="Q22" s="1">
        <f>VLOOKUP(Master8[[#This Row],[Province_RDC]],Client[],6,FALSE)</f>
        <v>61.55</v>
      </c>
      <c r="R22" s="1">
        <f>VLOOKUP(Master8[[#This Row],[Province_RDC]],Client[],7,FALSE)</f>
        <v>0</v>
      </c>
      <c r="S22" s="1" t="str">
        <f>IF(Master8[[#This Row],[Type_Forfait]]="Pro Monde","B2B","B2C")</f>
        <v>B2C</v>
      </c>
      <c r="T22" s="1">
        <f>Master8[[#This Row],[Anciennete_Mois]]/12</f>
        <v>0.5</v>
      </c>
      <c r="U22" s="1">
        <f>Master8[[#This Row],[Duree_Cumule_Panne_Min]]/60</f>
        <v>3.45</v>
      </c>
      <c r="V2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" s="6">
        <f>Master8[[#This Row],[Facture_Mensuelle]]*Master8[[#This Row],[Remise]]</f>
        <v>0</v>
      </c>
    </row>
    <row r="23" spans="1:24" x14ac:dyDescent="0.25">
      <c r="A23" s="1" t="s">
        <v>1165</v>
      </c>
      <c r="B23" t="str">
        <f>IFERROR(VLOOKUP(Master8[[#This Row],[Cell_ID]],Registre_Maintenance[],2,FALSE),"")</f>
        <v>Tshopo</v>
      </c>
      <c r="C23" s="1" t="s">
        <v>1166</v>
      </c>
      <c r="D23" s="2">
        <v>45221.565972222219</v>
      </c>
      <c r="E23" s="3">
        <v>45221.565972222219</v>
      </c>
      <c r="F23">
        <v>87</v>
      </c>
      <c r="G23">
        <f>Master8[[#This Row],[Duree_Panne_Min]]/60</f>
        <v>1.45</v>
      </c>
      <c r="H23" s="1" t="s">
        <v>735</v>
      </c>
      <c r="I23">
        <f>IFERROR(VLOOKUP(Master8[[#This Row],[Cell_ID]],Registre_Maintenance[],3,FALSE),"")</f>
        <v>4.7777349999999998</v>
      </c>
      <c r="J23">
        <f>IFERROR(VLOOKUP(Master8[[#This Row],[Cell_ID]],Registre_Maintenance[],4,FALSE),"")</f>
        <v>16.392204</v>
      </c>
      <c r="K23" t="str">
        <f>IFERROR(VLOOKUP(Master8[[#This Row],[Cell_ID]],Registre_Maintenance[],5,FALSE),"")</f>
        <v>5G</v>
      </c>
      <c r="L23" t="str">
        <f>IFERROR(VLOOKUP(Master8[[#This Row],[Cell_ID]],Registre_Maintenance[],6,FALSE),"")</f>
        <v>ZTE</v>
      </c>
      <c r="M23" s="1" t="str">
        <f>VLOOKUP(Master8[[#This Row],[Province_RDC]],Client[],2,FALSE)</f>
        <v>CLI-00745</v>
      </c>
      <c r="N23" s="1">
        <f>VLOOKUP(Master8[[#This Row],[Province_RDC]],Client[],3,FALSE)</f>
        <v>6</v>
      </c>
      <c r="O23" s="1" t="str">
        <f>VLOOKUP(Master8[[#This Row],[Province_RDC]],Client[],4,FALSE)</f>
        <v>Premium 5G 150Go</v>
      </c>
      <c r="P23" s="1">
        <f>VLOOKUP(Master8[[#This Row],[Province_RDC]],Client[],5,FALSE)</f>
        <v>207</v>
      </c>
      <c r="Q23" s="1">
        <f>VLOOKUP(Master8[[#This Row],[Province_RDC]],Client[],6,FALSE)</f>
        <v>61.55</v>
      </c>
      <c r="R23" s="1">
        <f>VLOOKUP(Master8[[#This Row],[Province_RDC]],Client[],7,FALSE)</f>
        <v>0</v>
      </c>
      <c r="S23" s="1" t="str">
        <f>IF(Master8[[#This Row],[Type_Forfait]]="Pro Monde","B2B","B2C")</f>
        <v>B2C</v>
      </c>
      <c r="T23" s="1">
        <f>Master8[[#This Row],[Anciennete_Mois]]/12</f>
        <v>0.5</v>
      </c>
      <c r="U23" s="1">
        <f>Master8[[#This Row],[Duree_Cumule_Panne_Min]]/60</f>
        <v>3.45</v>
      </c>
      <c r="V2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" s="6">
        <f>Master8[[#This Row],[Facture_Mensuelle]]*Master8[[#This Row],[Remise]]</f>
        <v>0</v>
      </c>
    </row>
    <row r="24" spans="1:24" x14ac:dyDescent="0.25">
      <c r="A24" s="1" t="s">
        <v>1308</v>
      </c>
      <c r="B24" t="str">
        <f>IFERROR(VLOOKUP(Master8[[#This Row],[Cell_ID]],Registre_Maintenance[],2,FALSE),"")</f>
        <v>Tshopo</v>
      </c>
      <c r="C24" s="1" t="s">
        <v>1327</v>
      </c>
      <c r="D24" s="2">
        <v>45221.388194444437</v>
      </c>
      <c r="E24" s="3">
        <v>45221.388194444437</v>
      </c>
      <c r="F24">
        <v>64</v>
      </c>
      <c r="G24">
        <f>Master8[[#This Row],[Duree_Panne_Min]]/60</f>
        <v>1.0666666666666667</v>
      </c>
      <c r="H24" s="1" t="s">
        <v>735</v>
      </c>
      <c r="I24">
        <f>IFERROR(VLOOKUP(Master8[[#This Row],[Cell_ID]],Registre_Maintenance[],3,FALSE),"")</f>
        <v>-12.070842000000001</v>
      </c>
      <c r="J24">
        <f>IFERROR(VLOOKUP(Master8[[#This Row],[Cell_ID]],Registre_Maintenance[],4,FALSE),"")</f>
        <v>14.757847</v>
      </c>
      <c r="K24" t="str">
        <f>IFERROR(VLOOKUP(Master8[[#This Row],[Cell_ID]],Registre_Maintenance[],5,FALSE),"")</f>
        <v>4G</v>
      </c>
      <c r="L24" t="str">
        <f>IFERROR(VLOOKUP(Master8[[#This Row],[Cell_ID]],Registre_Maintenance[],6,FALSE),"")</f>
        <v>ZTE</v>
      </c>
      <c r="M24" s="1" t="str">
        <f>VLOOKUP(Master8[[#This Row],[Province_RDC]],Client[],2,FALSE)</f>
        <v>CLI-00745</v>
      </c>
      <c r="N24" s="1">
        <f>VLOOKUP(Master8[[#This Row],[Province_RDC]],Client[],3,FALSE)</f>
        <v>6</v>
      </c>
      <c r="O24" s="1" t="str">
        <f>VLOOKUP(Master8[[#This Row],[Province_RDC]],Client[],4,FALSE)</f>
        <v>Premium 5G 150Go</v>
      </c>
      <c r="P24" s="1">
        <f>VLOOKUP(Master8[[#This Row],[Province_RDC]],Client[],5,FALSE)</f>
        <v>207</v>
      </c>
      <c r="Q24" s="1">
        <f>VLOOKUP(Master8[[#This Row],[Province_RDC]],Client[],6,FALSE)</f>
        <v>61.55</v>
      </c>
      <c r="R24" s="1">
        <f>VLOOKUP(Master8[[#This Row],[Province_RDC]],Client[],7,FALSE)</f>
        <v>0</v>
      </c>
      <c r="S24" s="1" t="str">
        <f>IF(Master8[[#This Row],[Type_Forfait]]="Pro Monde","B2B","B2C")</f>
        <v>B2C</v>
      </c>
      <c r="T24" s="1">
        <f>Master8[[#This Row],[Anciennete_Mois]]/12</f>
        <v>0.5</v>
      </c>
      <c r="U24" s="1">
        <f>Master8[[#This Row],[Duree_Cumule_Panne_Min]]/60</f>
        <v>3.45</v>
      </c>
      <c r="V2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" s="6">
        <f>Master8[[#This Row],[Facture_Mensuelle]]*Master8[[#This Row],[Remise]]</f>
        <v>0</v>
      </c>
    </row>
    <row r="25" spans="1:24" x14ac:dyDescent="0.25">
      <c r="A25" s="1" t="s">
        <v>1288</v>
      </c>
      <c r="B25" t="str">
        <f>IFERROR(VLOOKUP(Master8[[#This Row],[Cell_ID]],Registre_Maintenance[],2,FALSE),"")</f>
        <v>Tshopo</v>
      </c>
      <c r="C25" s="1" t="s">
        <v>1303</v>
      </c>
      <c r="D25" s="2">
        <v>45220.677083333343</v>
      </c>
      <c r="E25" s="3">
        <v>45220.677083333343</v>
      </c>
      <c r="F25">
        <v>107</v>
      </c>
      <c r="G25">
        <f>Master8[[#This Row],[Duree_Panne_Min]]/60</f>
        <v>1.7833333333333334</v>
      </c>
      <c r="H25" s="1" t="s">
        <v>737</v>
      </c>
      <c r="I25">
        <f>IFERROR(VLOOKUP(Master8[[#This Row],[Cell_ID]],Registre_Maintenance[],3,FALSE),"")</f>
        <v>-6.4670189999999996</v>
      </c>
      <c r="J25">
        <f>IFERROR(VLOOKUP(Master8[[#This Row],[Cell_ID]],Registre_Maintenance[],4,FALSE),"")</f>
        <v>29.487309</v>
      </c>
      <c r="K25" t="str">
        <f>IFERROR(VLOOKUP(Master8[[#This Row],[Cell_ID]],Registre_Maintenance[],5,FALSE),"")</f>
        <v>4G</v>
      </c>
      <c r="L25" t="str">
        <f>IFERROR(VLOOKUP(Master8[[#This Row],[Cell_ID]],Registre_Maintenance[],6,FALSE),"")</f>
        <v>ZTE</v>
      </c>
      <c r="M25" s="1" t="str">
        <f>VLOOKUP(Master8[[#This Row],[Province_RDC]],Client[],2,FALSE)</f>
        <v>CLI-00745</v>
      </c>
      <c r="N25" s="1">
        <f>VLOOKUP(Master8[[#This Row],[Province_RDC]],Client[],3,FALSE)</f>
        <v>6</v>
      </c>
      <c r="O25" s="1" t="str">
        <f>VLOOKUP(Master8[[#This Row],[Province_RDC]],Client[],4,FALSE)</f>
        <v>Premium 5G 150Go</v>
      </c>
      <c r="P25" s="1">
        <f>VLOOKUP(Master8[[#This Row],[Province_RDC]],Client[],5,FALSE)</f>
        <v>207</v>
      </c>
      <c r="Q25" s="1">
        <f>VLOOKUP(Master8[[#This Row],[Province_RDC]],Client[],6,FALSE)</f>
        <v>61.55</v>
      </c>
      <c r="R25" s="1">
        <f>VLOOKUP(Master8[[#This Row],[Province_RDC]],Client[],7,FALSE)</f>
        <v>0</v>
      </c>
      <c r="S25" s="1" t="str">
        <f>IF(Master8[[#This Row],[Type_Forfait]]="Pro Monde","B2B","B2C")</f>
        <v>B2C</v>
      </c>
      <c r="T25" s="1">
        <f>Master8[[#This Row],[Anciennete_Mois]]/12</f>
        <v>0.5</v>
      </c>
      <c r="U25" s="1">
        <f>Master8[[#This Row],[Duree_Cumule_Panne_Min]]/60</f>
        <v>3.45</v>
      </c>
      <c r="V2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" s="6">
        <f>Master8[[#This Row],[Facture_Mensuelle]]*Master8[[#This Row],[Remise]]</f>
        <v>0</v>
      </c>
    </row>
    <row r="26" spans="1:24" x14ac:dyDescent="0.25">
      <c r="A26" s="1" t="s">
        <v>1059</v>
      </c>
      <c r="B26" t="str">
        <f>IFERROR(VLOOKUP(Master8[[#This Row],[Cell_ID]],Registre_Maintenance[],2,FALSE),"")</f>
        <v>Tshopo</v>
      </c>
      <c r="C26" s="1" t="s">
        <v>1073</v>
      </c>
      <c r="D26" s="2">
        <v>45220.15902777778</v>
      </c>
      <c r="E26" s="3">
        <v>45220.15902777778</v>
      </c>
      <c r="F26">
        <v>60</v>
      </c>
      <c r="G26">
        <f>Master8[[#This Row],[Duree_Panne_Min]]/60</f>
        <v>1</v>
      </c>
      <c r="H26" s="1" t="s">
        <v>737</v>
      </c>
      <c r="I26">
        <f>IFERROR(VLOOKUP(Master8[[#This Row],[Cell_ID]],Registre_Maintenance[],3,FALSE),"")</f>
        <v>-9.4133639999999996</v>
      </c>
      <c r="J26">
        <f>IFERROR(VLOOKUP(Master8[[#This Row],[Cell_ID]],Registre_Maintenance[],4,FALSE),"")</f>
        <v>15.682482</v>
      </c>
      <c r="K26" t="str">
        <f>IFERROR(VLOOKUP(Master8[[#This Row],[Cell_ID]],Registre_Maintenance[],5,FALSE),"")</f>
        <v>4G</v>
      </c>
      <c r="L26" t="str">
        <f>IFERROR(VLOOKUP(Master8[[#This Row],[Cell_ID]],Registre_Maintenance[],6,FALSE),"")</f>
        <v>Huawei</v>
      </c>
      <c r="M26" s="1" t="str">
        <f>VLOOKUP(Master8[[#This Row],[Province_RDC]],Client[],2,FALSE)</f>
        <v>CLI-00745</v>
      </c>
      <c r="N26" s="1">
        <f>VLOOKUP(Master8[[#This Row],[Province_RDC]],Client[],3,FALSE)</f>
        <v>6</v>
      </c>
      <c r="O26" s="1" t="str">
        <f>VLOOKUP(Master8[[#This Row],[Province_RDC]],Client[],4,FALSE)</f>
        <v>Premium 5G 150Go</v>
      </c>
      <c r="P26" s="1">
        <f>VLOOKUP(Master8[[#This Row],[Province_RDC]],Client[],5,FALSE)</f>
        <v>207</v>
      </c>
      <c r="Q26" s="1">
        <f>VLOOKUP(Master8[[#This Row],[Province_RDC]],Client[],6,FALSE)</f>
        <v>61.55</v>
      </c>
      <c r="R26" s="1">
        <f>VLOOKUP(Master8[[#This Row],[Province_RDC]],Client[],7,FALSE)</f>
        <v>0</v>
      </c>
      <c r="S26" s="1" t="str">
        <f>IF(Master8[[#This Row],[Type_Forfait]]="Pro Monde","B2B","B2C")</f>
        <v>B2C</v>
      </c>
      <c r="T26" s="1">
        <f>Master8[[#This Row],[Anciennete_Mois]]/12</f>
        <v>0.5</v>
      </c>
      <c r="U26" s="1">
        <f>Master8[[#This Row],[Duree_Cumule_Panne_Min]]/60</f>
        <v>3.45</v>
      </c>
      <c r="V2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" s="6">
        <f>Master8[[#This Row],[Facture_Mensuelle]]*Master8[[#This Row],[Remise]]</f>
        <v>0</v>
      </c>
    </row>
    <row r="27" spans="1:24" x14ac:dyDescent="0.25">
      <c r="A27" s="1" t="s">
        <v>1288</v>
      </c>
      <c r="B27" t="str">
        <f>IFERROR(VLOOKUP(Master8[[#This Row],[Cell_ID]],Registre_Maintenance[],2,FALSE),"")</f>
        <v>Tshopo</v>
      </c>
      <c r="C27" s="1" t="s">
        <v>962</v>
      </c>
      <c r="D27" s="2">
        <v>45215.580555555563</v>
      </c>
      <c r="E27" s="3">
        <v>45215.580555555563</v>
      </c>
      <c r="F27">
        <v>102</v>
      </c>
      <c r="G27">
        <f>Master8[[#This Row],[Duree_Panne_Min]]/60</f>
        <v>1.7</v>
      </c>
      <c r="H27" s="1" t="s">
        <v>737</v>
      </c>
      <c r="I27">
        <f>IFERROR(VLOOKUP(Master8[[#This Row],[Cell_ID]],Registre_Maintenance[],3,FALSE),"")</f>
        <v>2.4425979999999998</v>
      </c>
      <c r="J27">
        <f>IFERROR(VLOOKUP(Master8[[#This Row],[Cell_ID]],Registre_Maintenance[],4,FALSE),"")</f>
        <v>24.924308</v>
      </c>
      <c r="K27" t="str">
        <f>IFERROR(VLOOKUP(Master8[[#This Row],[Cell_ID]],Registre_Maintenance[],5,FALSE),"")</f>
        <v>5G</v>
      </c>
      <c r="L27" t="str">
        <f>IFERROR(VLOOKUP(Master8[[#This Row],[Cell_ID]],Registre_Maintenance[],6,FALSE),"")</f>
        <v>Ericsson</v>
      </c>
      <c r="M27" s="1" t="str">
        <f>VLOOKUP(Master8[[#This Row],[Province_RDC]],Client[],2,FALSE)</f>
        <v>CLI-00745</v>
      </c>
      <c r="N27" s="1">
        <f>VLOOKUP(Master8[[#This Row],[Province_RDC]],Client[],3,FALSE)</f>
        <v>6</v>
      </c>
      <c r="O27" s="1" t="str">
        <f>VLOOKUP(Master8[[#This Row],[Province_RDC]],Client[],4,FALSE)</f>
        <v>Premium 5G 150Go</v>
      </c>
      <c r="P27" s="1">
        <f>VLOOKUP(Master8[[#This Row],[Province_RDC]],Client[],5,FALSE)</f>
        <v>207</v>
      </c>
      <c r="Q27" s="1">
        <f>VLOOKUP(Master8[[#This Row],[Province_RDC]],Client[],6,FALSE)</f>
        <v>61.55</v>
      </c>
      <c r="R27" s="1">
        <f>VLOOKUP(Master8[[#This Row],[Province_RDC]],Client[],7,FALSE)</f>
        <v>0</v>
      </c>
      <c r="S27" s="1" t="str">
        <f>IF(Master8[[#This Row],[Type_Forfait]]="Pro Monde","B2B","B2C")</f>
        <v>B2C</v>
      </c>
      <c r="T27" s="1">
        <f>Master8[[#This Row],[Anciennete_Mois]]/12</f>
        <v>0.5</v>
      </c>
      <c r="U27" s="1">
        <f>Master8[[#This Row],[Duree_Cumule_Panne_Min]]/60</f>
        <v>3.45</v>
      </c>
      <c r="V2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7" s="6">
        <f>Master8[[#This Row],[Facture_Mensuelle]]*Master8[[#This Row],[Remise]]</f>
        <v>0</v>
      </c>
    </row>
    <row r="28" spans="1:24" x14ac:dyDescent="0.25">
      <c r="A28" s="1" t="s">
        <v>1219</v>
      </c>
      <c r="B28" t="str">
        <f>IFERROR(VLOOKUP(Master8[[#This Row],[Cell_ID]],Registre_Maintenance[],2,FALSE),"")</f>
        <v>Tshopo</v>
      </c>
      <c r="C28" s="1" t="s">
        <v>898</v>
      </c>
      <c r="D28" s="2">
        <v>45211.425000000003</v>
      </c>
      <c r="E28" s="3">
        <v>45211.425000000003</v>
      </c>
      <c r="F28">
        <v>57</v>
      </c>
      <c r="G28">
        <f>Master8[[#This Row],[Duree_Panne_Min]]/60</f>
        <v>0.95</v>
      </c>
      <c r="H28" s="1" t="s">
        <v>735</v>
      </c>
      <c r="I28">
        <f>IFERROR(VLOOKUP(Master8[[#This Row],[Cell_ID]],Registre_Maintenance[],3,FALSE),"")</f>
        <v>-4.5603610000000003</v>
      </c>
      <c r="J28">
        <f>IFERROR(VLOOKUP(Master8[[#This Row],[Cell_ID]],Registre_Maintenance[],4,FALSE),"")</f>
        <v>24.113918999999999</v>
      </c>
      <c r="K28" t="str">
        <f>IFERROR(VLOOKUP(Master8[[#This Row],[Cell_ID]],Registre_Maintenance[],5,FALSE),"")</f>
        <v>5G</v>
      </c>
      <c r="L28" t="str">
        <f>IFERROR(VLOOKUP(Master8[[#This Row],[Cell_ID]],Registre_Maintenance[],6,FALSE),"")</f>
        <v>ZTE</v>
      </c>
      <c r="M28" s="1" t="str">
        <f>VLOOKUP(Master8[[#This Row],[Province_RDC]],Client[],2,FALSE)</f>
        <v>CLI-00745</v>
      </c>
      <c r="N28" s="1">
        <f>VLOOKUP(Master8[[#This Row],[Province_RDC]],Client[],3,FALSE)</f>
        <v>6</v>
      </c>
      <c r="O28" s="1" t="str">
        <f>VLOOKUP(Master8[[#This Row],[Province_RDC]],Client[],4,FALSE)</f>
        <v>Premium 5G 150Go</v>
      </c>
      <c r="P28" s="1">
        <f>VLOOKUP(Master8[[#This Row],[Province_RDC]],Client[],5,FALSE)</f>
        <v>207</v>
      </c>
      <c r="Q28" s="1">
        <f>VLOOKUP(Master8[[#This Row],[Province_RDC]],Client[],6,FALSE)</f>
        <v>61.55</v>
      </c>
      <c r="R28" s="1">
        <f>VLOOKUP(Master8[[#This Row],[Province_RDC]],Client[],7,FALSE)</f>
        <v>0</v>
      </c>
      <c r="S28" s="1" t="str">
        <f>IF(Master8[[#This Row],[Type_Forfait]]="Pro Monde","B2B","B2C")</f>
        <v>B2C</v>
      </c>
      <c r="T28" s="1">
        <f>Master8[[#This Row],[Anciennete_Mois]]/12</f>
        <v>0.5</v>
      </c>
      <c r="U28" s="1">
        <f>Master8[[#This Row],[Duree_Cumule_Panne_Min]]/60</f>
        <v>3.45</v>
      </c>
      <c r="V2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8" s="6">
        <f>Master8[[#This Row],[Facture_Mensuelle]]*Master8[[#This Row],[Remise]]</f>
        <v>0</v>
      </c>
    </row>
    <row r="29" spans="1:24" x14ac:dyDescent="0.25">
      <c r="A29" s="1" t="s">
        <v>730</v>
      </c>
      <c r="B29" t="str">
        <f>IFERROR(VLOOKUP(Master8[[#This Row],[Cell_ID]],Registre_Maintenance[],2,FALSE),"")</f>
        <v>Tshopo</v>
      </c>
      <c r="C29" s="1" t="s">
        <v>764</v>
      </c>
      <c r="D29" s="2">
        <v>45208.957638888889</v>
      </c>
      <c r="E29" s="3">
        <v>45208.957638888889</v>
      </c>
      <c r="F29">
        <v>115</v>
      </c>
      <c r="G29">
        <f>Master8[[#This Row],[Duree_Panne_Min]]/60</f>
        <v>1.9166666666666667</v>
      </c>
      <c r="H29" s="1" t="s">
        <v>732</v>
      </c>
      <c r="I29">
        <f>IFERROR(VLOOKUP(Master8[[#This Row],[Cell_ID]],Registre_Maintenance[],3,FALSE),"")</f>
        <v>-6.1837850000000003</v>
      </c>
      <c r="J29">
        <f>IFERROR(VLOOKUP(Master8[[#This Row],[Cell_ID]],Registre_Maintenance[],4,FALSE),"")</f>
        <v>25.138759</v>
      </c>
      <c r="K29" t="str">
        <f>IFERROR(VLOOKUP(Master8[[#This Row],[Cell_ID]],Registre_Maintenance[],5,FALSE),"")</f>
        <v>3G</v>
      </c>
      <c r="L29" t="str">
        <f>IFERROR(VLOOKUP(Master8[[#This Row],[Cell_ID]],Registre_Maintenance[],6,FALSE),"")</f>
        <v>Ericsson</v>
      </c>
      <c r="M29" s="1" t="str">
        <f>VLOOKUP(Master8[[#This Row],[Province_RDC]],Client[],2,FALSE)</f>
        <v>CLI-00745</v>
      </c>
      <c r="N29" s="1">
        <f>VLOOKUP(Master8[[#This Row],[Province_RDC]],Client[],3,FALSE)</f>
        <v>6</v>
      </c>
      <c r="O29" s="1" t="str">
        <f>VLOOKUP(Master8[[#This Row],[Province_RDC]],Client[],4,FALSE)</f>
        <v>Premium 5G 150Go</v>
      </c>
      <c r="P29" s="1">
        <f>VLOOKUP(Master8[[#This Row],[Province_RDC]],Client[],5,FALSE)</f>
        <v>207</v>
      </c>
      <c r="Q29" s="1">
        <f>VLOOKUP(Master8[[#This Row],[Province_RDC]],Client[],6,FALSE)</f>
        <v>61.55</v>
      </c>
      <c r="R29" s="1">
        <f>VLOOKUP(Master8[[#This Row],[Province_RDC]],Client[],7,FALSE)</f>
        <v>0</v>
      </c>
      <c r="S29" s="1" t="str">
        <f>IF(Master8[[#This Row],[Type_Forfait]]="Pro Monde","B2B","B2C")</f>
        <v>B2C</v>
      </c>
      <c r="T29" s="1">
        <f>Master8[[#This Row],[Anciennete_Mois]]/12</f>
        <v>0.5</v>
      </c>
      <c r="U29" s="1">
        <f>Master8[[#This Row],[Duree_Cumule_Panne_Min]]/60</f>
        <v>3.45</v>
      </c>
      <c r="V2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9" s="6">
        <f>Master8[[#This Row],[Facture_Mensuelle]]*Master8[[#This Row],[Remise]]</f>
        <v>0</v>
      </c>
    </row>
    <row r="30" spans="1:24" x14ac:dyDescent="0.25">
      <c r="A30" s="1" t="s">
        <v>730</v>
      </c>
      <c r="B30" t="str">
        <f>IFERROR(VLOOKUP(Master8[[#This Row],[Cell_ID]],Registre_Maintenance[],2,FALSE),"")</f>
        <v>Tshopo</v>
      </c>
      <c r="C30" s="1" t="s">
        <v>760</v>
      </c>
      <c r="D30" s="2">
        <v>45203.511805555558</v>
      </c>
      <c r="E30" s="3">
        <v>45203.511805555558</v>
      </c>
      <c r="F30">
        <v>64</v>
      </c>
      <c r="G30">
        <f>Master8[[#This Row],[Duree_Panne_Min]]/60</f>
        <v>1.0666666666666667</v>
      </c>
      <c r="H30" s="1" t="s">
        <v>737</v>
      </c>
      <c r="I30">
        <f>IFERROR(VLOOKUP(Master8[[#This Row],[Cell_ID]],Registre_Maintenance[],3,FALSE),"")</f>
        <v>0.23583499999999999</v>
      </c>
      <c r="J30">
        <f>IFERROR(VLOOKUP(Master8[[#This Row],[Cell_ID]],Registre_Maintenance[],4,FALSE),"")</f>
        <v>24.889558999999998</v>
      </c>
      <c r="K30" t="str">
        <f>IFERROR(VLOOKUP(Master8[[#This Row],[Cell_ID]],Registre_Maintenance[],5,FALSE),"")</f>
        <v>3G</v>
      </c>
      <c r="L30" t="str">
        <f>IFERROR(VLOOKUP(Master8[[#This Row],[Cell_ID]],Registre_Maintenance[],6,FALSE),"")</f>
        <v>ZTE</v>
      </c>
      <c r="M30" s="1" t="str">
        <f>VLOOKUP(Master8[[#This Row],[Province_RDC]],Client[],2,FALSE)</f>
        <v>CLI-00745</v>
      </c>
      <c r="N30" s="1">
        <f>VLOOKUP(Master8[[#This Row],[Province_RDC]],Client[],3,FALSE)</f>
        <v>6</v>
      </c>
      <c r="O30" s="1" t="str">
        <f>VLOOKUP(Master8[[#This Row],[Province_RDC]],Client[],4,FALSE)</f>
        <v>Premium 5G 150Go</v>
      </c>
      <c r="P30" s="1">
        <f>VLOOKUP(Master8[[#This Row],[Province_RDC]],Client[],5,FALSE)</f>
        <v>207</v>
      </c>
      <c r="Q30" s="1">
        <f>VLOOKUP(Master8[[#This Row],[Province_RDC]],Client[],6,FALSE)</f>
        <v>61.55</v>
      </c>
      <c r="R30" s="1">
        <f>VLOOKUP(Master8[[#This Row],[Province_RDC]],Client[],7,FALSE)</f>
        <v>0</v>
      </c>
      <c r="S30" s="1" t="str">
        <f>IF(Master8[[#This Row],[Type_Forfait]]="Pro Monde","B2B","B2C")</f>
        <v>B2C</v>
      </c>
      <c r="T30" s="1">
        <f>Master8[[#This Row],[Anciennete_Mois]]/12</f>
        <v>0.5</v>
      </c>
      <c r="U30" s="1">
        <f>Master8[[#This Row],[Duree_Cumule_Panne_Min]]/60</f>
        <v>3.45</v>
      </c>
      <c r="V3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" s="6">
        <f>Master8[[#This Row],[Facture_Mensuelle]]*Master8[[#This Row],[Remise]]</f>
        <v>0</v>
      </c>
    </row>
    <row r="31" spans="1:24" x14ac:dyDescent="0.25">
      <c r="A31" s="1" t="s">
        <v>861</v>
      </c>
      <c r="B31" t="str">
        <f>IFERROR(VLOOKUP(Master8[[#This Row],[Cell_ID]],Registre_Maintenance[],2,FALSE),"")</f>
        <v>Tshopo</v>
      </c>
      <c r="C31" s="1" t="s">
        <v>885</v>
      </c>
      <c r="D31" s="2">
        <v>45203.22152777778</v>
      </c>
      <c r="E31" s="3">
        <v>45203.22152777778</v>
      </c>
      <c r="F31">
        <v>101</v>
      </c>
      <c r="G31">
        <f>Master8[[#This Row],[Duree_Panne_Min]]/60</f>
        <v>1.6833333333333333</v>
      </c>
      <c r="H31" s="1" t="s">
        <v>732</v>
      </c>
      <c r="I31">
        <f>IFERROR(VLOOKUP(Master8[[#This Row],[Cell_ID]],Registre_Maintenance[],3,FALSE),"")</f>
        <v>3.0603760000000002</v>
      </c>
      <c r="J31">
        <f>IFERROR(VLOOKUP(Master8[[#This Row],[Cell_ID]],Registre_Maintenance[],4,FALSE),"")</f>
        <v>19.708034000000001</v>
      </c>
      <c r="K31" t="str">
        <f>IFERROR(VLOOKUP(Master8[[#This Row],[Cell_ID]],Registre_Maintenance[],5,FALSE),"")</f>
        <v>3G</v>
      </c>
      <c r="L31" t="str">
        <f>IFERROR(VLOOKUP(Master8[[#This Row],[Cell_ID]],Registre_Maintenance[],6,FALSE),"")</f>
        <v>ZTE</v>
      </c>
      <c r="M31" s="1" t="str">
        <f>VLOOKUP(Master8[[#This Row],[Province_RDC]],Client[],2,FALSE)</f>
        <v>CLI-00745</v>
      </c>
      <c r="N31" s="1">
        <f>VLOOKUP(Master8[[#This Row],[Province_RDC]],Client[],3,FALSE)</f>
        <v>6</v>
      </c>
      <c r="O31" s="1" t="str">
        <f>VLOOKUP(Master8[[#This Row],[Province_RDC]],Client[],4,FALSE)</f>
        <v>Premium 5G 150Go</v>
      </c>
      <c r="P31" s="1">
        <f>VLOOKUP(Master8[[#This Row],[Province_RDC]],Client[],5,FALSE)</f>
        <v>207</v>
      </c>
      <c r="Q31" s="1">
        <f>VLOOKUP(Master8[[#This Row],[Province_RDC]],Client[],6,FALSE)</f>
        <v>61.55</v>
      </c>
      <c r="R31" s="1">
        <f>VLOOKUP(Master8[[#This Row],[Province_RDC]],Client[],7,FALSE)</f>
        <v>0</v>
      </c>
      <c r="S31" s="1" t="str">
        <f>IF(Master8[[#This Row],[Type_Forfait]]="Pro Monde","B2B","B2C")</f>
        <v>B2C</v>
      </c>
      <c r="T31" s="1">
        <f>Master8[[#This Row],[Anciennete_Mois]]/12</f>
        <v>0.5</v>
      </c>
      <c r="U31" s="1">
        <f>Master8[[#This Row],[Duree_Cumule_Panne_Min]]/60</f>
        <v>3.45</v>
      </c>
      <c r="V3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" s="6">
        <f>Master8[[#This Row],[Facture_Mensuelle]]*Master8[[#This Row],[Remise]]</f>
        <v>0</v>
      </c>
    </row>
    <row r="32" spans="1:24" x14ac:dyDescent="0.25">
      <c r="A32" s="1" t="s">
        <v>1193</v>
      </c>
      <c r="B32" t="str">
        <f>IFERROR(VLOOKUP(Master8[[#This Row],[Cell_ID]],Registre_Maintenance[],2,FALSE),"")</f>
        <v>Tshopo</v>
      </c>
      <c r="C32" s="1" t="s">
        <v>1196</v>
      </c>
      <c r="D32" s="2">
        <v>45202.699305555558</v>
      </c>
      <c r="E32" s="3">
        <v>45202.699305555558</v>
      </c>
      <c r="F32">
        <v>63</v>
      </c>
      <c r="G32">
        <f>Master8[[#This Row],[Duree_Panne_Min]]/60</f>
        <v>1.05</v>
      </c>
      <c r="H32" s="1" t="s">
        <v>735</v>
      </c>
      <c r="I32">
        <f>IFERROR(VLOOKUP(Master8[[#This Row],[Cell_ID]],Registre_Maintenance[],3,FALSE),"")</f>
        <v>1.400674</v>
      </c>
      <c r="J32">
        <f>IFERROR(VLOOKUP(Master8[[#This Row],[Cell_ID]],Registre_Maintenance[],4,FALSE),"")</f>
        <v>13.503126999999999</v>
      </c>
      <c r="K32" t="str">
        <f>IFERROR(VLOOKUP(Master8[[#This Row],[Cell_ID]],Registre_Maintenance[],5,FALSE),"")</f>
        <v>5G</v>
      </c>
      <c r="L32" t="str">
        <f>IFERROR(VLOOKUP(Master8[[#This Row],[Cell_ID]],Registre_Maintenance[],6,FALSE),"")</f>
        <v>ZTE</v>
      </c>
      <c r="M32" s="1" t="str">
        <f>VLOOKUP(Master8[[#This Row],[Province_RDC]],Client[],2,FALSE)</f>
        <v>CLI-00745</v>
      </c>
      <c r="N32" s="1">
        <f>VLOOKUP(Master8[[#This Row],[Province_RDC]],Client[],3,FALSE)</f>
        <v>6</v>
      </c>
      <c r="O32" s="1" t="str">
        <f>VLOOKUP(Master8[[#This Row],[Province_RDC]],Client[],4,FALSE)</f>
        <v>Premium 5G 150Go</v>
      </c>
      <c r="P32" s="1">
        <f>VLOOKUP(Master8[[#This Row],[Province_RDC]],Client[],5,FALSE)</f>
        <v>207</v>
      </c>
      <c r="Q32" s="1">
        <f>VLOOKUP(Master8[[#This Row],[Province_RDC]],Client[],6,FALSE)</f>
        <v>61.55</v>
      </c>
      <c r="R32" s="1">
        <f>VLOOKUP(Master8[[#This Row],[Province_RDC]],Client[],7,FALSE)</f>
        <v>0</v>
      </c>
      <c r="S32" s="1" t="str">
        <f>IF(Master8[[#This Row],[Type_Forfait]]="Pro Monde","B2B","B2C")</f>
        <v>B2C</v>
      </c>
      <c r="T32" s="1">
        <f>Master8[[#This Row],[Anciennete_Mois]]/12</f>
        <v>0.5</v>
      </c>
      <c r="U32" s="1">
        <f>Master8[[#This Row],[Duree_Cumule_Panne_Min]]/60</f>
        <v>3.45</v>
      </c>
      <c r="V3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2" s="6">
        <f>Master8[[#This Row],[Facture_Mensuelle]]*Master8[[#This Row],[Remise]]</f>
        <v>0</v>
      </c>
    </row>
    <row r="33" spans="1:24" x14ac:dyDescent="0.25">
      <c r="A33" s="1" t="s">
        <v>730</v>
      </c>
      <c r="B33" t="str">
        <f>IFERROR(VLOOKUP(Master8[[#This Row],[Cell_ID]],Registre_Maintenance[],2,FALSE),"")</f>
        <v>Tanganyika</v>
      </c>
      <c r="C33" s="1" t="s">
        <v>771</v>
      </c>
      <c r="D33" s="2">
        <v>45228.853472222218</v>
      </c>
      <c r="E33" s="3">
        <v>45228.853472222218</v>
      </c>
      <c r="F33">
        <v>42</v>
      </c>
      <c r="G33">
        <f>Master8[[#This Row],[Duree_Panne_Min]]/60</f>
        <v>0.7</v>
      </c>
      <c r="H33" s="1" t="s">
        <v>732</v>
      </c>
      <c r="I33">
        <f>IFERROR(VLOOKUP(Master8[[#This Row],[Cell_ID]],Registre_Maintenance[],3,FALSE),"")</f>
        <v>-10.776204</v>
      </c>
      <c r="J33">
        <f>IFERROR(VLOOKUP(Master8[[#This Row],[Cell_ID]],Registre_Maintenance[],4,FALSE),"")</f>
        <v>24.672934000000001</v>
      </c>
      <c r="K33" t="str">
        <f>IFERROR(VLOOKUP(Master8[[#This Row],[Cell_ID]],Registre_Maintenance[],5,FALSE),"")</f>
        <v>4G</v>
      </c>
      <c r="L33" t="str">
        <f>IFERROR(VLOOKUP(Master8[[#This Row],[Cell_ID]],Registre_Maintenance[],6,FALSE),"")</f>
        <v>Ericsson</v>
      </c>
      <c r="M33" s="1" t="str">
        <f>VLOOKUP(Master8[[#This Row],[Province_RDC]],Client[],2,FALSE)</f>
        <v>CLI-01618</v>
      </c>
      <c r="N33" s="1">
        <f>VLOOKUP(Master8[[#This Row],[Province_RDC]],Client[],3,FALSE)</f>
        <v>115</v>
      </c>
      <c r="O33" s="1" t="str">
        <f>VLOOKUP(Master8[[#This Row],[Province_RDC]],Client[],4,FALSE)</f>
        <v>Bloqué 5Go</v>
      </c>
      <c r="P33" s="1">
        <f>VLOOKUP(Master8[[#This Row],[Province_RDC]],Client[],5,FALSE)</f>
        <v>176</v>
      </c>
      <c r="Q33" s="1">
        <f>VLOOKUP(Master8[[#This Row],[Province_RDC]],Client[],6,FALSE)</f>
        <v>33.28</v>
      </c>
      <c r="R33" s="1">
        <f>VLOOKUP(Master8[[#This Row],[Province_RDC]],Client[],7,FALSE)</f>
        <v>4</v>
      </c>
      <c r="S33" s="1" t="str">
        <f>IF(Master8[[#This Row],[Type_Forfait]]="Pro Monde","B2B","B2C")</f>
        <v>B2C</v>
      </c>
      <c r="T33" s="1">
        <f>Master8[[#This Row],[Anciennete_Mois]]/12</f>
        <v>9.5833333333333339</v>
      </c>
      <c r="U33" s="1">
        <f>Master8[[#This Row],[Duree_Cumule_Panne_Min]]/60</f>
        <v>2.9333333333333331</v>
      </c>
      <c r="V3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3" s="6">
        <f>Master8[[#This Row],[Facture_Mensuelle]]*Master8[[#This Row],[Remise]]</f>
        <v>0</v>
      </c>
    </row>
    <row r="34" spans="1:24" x14ac:dyDescent="0.25">
      <c r="A34" s="1" t="s">
        <v>978</v>
      </c>
      <c r="B34" t="str">
        <f>IFERROR(VLOOKUP(Master8[[#This Row],[Cell_ID]],Registre_Maintenance[],2,FALSE),"")</f>
        <v>Tanganyika</v>
      </c>
      <c r="C34" s="1" t="s">
        <v>731</v>
      </c>
      <c r="D34" s="2">
        <v>45228.791666666657</v>
      </c>
      <c r="E34" s="3">
        <v>45228.791666666657</v>
      </c>
      <c r="F34">
        <v>63</v>
      </c>
      <c r="G34">
        <f>Master8[[#This Row],[Duree_Panne_Min]]/60</f>
        <v>1.05</v>
      </c>
      <c r="H34" s="1" t="s">
        <v>732</v>
      </c>
      <c r="I34">
        <f>IFERROR(VLOOKUP(Master8[[#This Row],[Cell_ID]],Registre_Maintenance[],3,FALSE),"")</f>
        <v>-11.144149000000001</v>
      </c>
      <c r="J34">
        <f>IFERROR(VLOOKUP(Master8[[#This Row],[Cell_ID]],Registre_Maintenance[],4,FALSE),"")</f>
        <v>27.244658999999999</v>
      </c>
      <c r="K34" t="str">
        <f>IFERROR(VLOOKUP(Master8[[#This Row],[Cell_ID]],Registre_Maintenance[],5,FALSE),"")</f>
        <v>4G</v>
      </c>
      <c r="L34" t="str">
        <f>IFERROR(VLOOKUP(Master8[[#This Row],[Cell_ID]],Registre_Maintenance[],6,FALSE),"")</f>
        <v>Nokia</v>
      </c>
      <c r="M34" s="1" t="str">
        <f>VLOOKUP(Master8[[#This Row],[Province_RDC]],Client[],2,FALSE)</f>
        <v>CLI-01618</v>
      </c>
      <c r="N34" s="1">
        <f>VLOOKUP(Master8[[#This Row],[Province_RDC]],Client[],3,FALSE)</f>
        <v>115</v>
      </c>
      <c r="O34" s="1" t="str">
        <f>VLOOKUP(Master8[[#This Row],[Province_RDC]],Client[],4,FALSE)</f>
        <v>Bloqué 5Go</v>
      </c>
      <c r="P34" s="1">
        <f>VLOOKUP(Master8[[#This Row],[Province_RDC]],Client[],5,FALSE)</f>
        <v>176</v>
      </c>
      <c r="Q34" s="1">
        <f>VLOOKUP(Master8[[#This Row],[Province_RDC]],Client[],6,FALSE)</f>
        <v>33.28</v>
      </c>
      <c r="R34" s="1">
        <f>VLOOKUP(Master8[[#This Row],[Province_RDC]],Client[],7,FALSE)</f>
        <v>4</v>
      </c>
      <c r="S34" s="1" t="str">
        <f>IF(Master8[[#This Row],[Type_Forfait]]="Pro Monde","B2B","B2C")</f>
        <v>B2C</v>
      </c>
      <c r="T34" s="1">
        <f>Master8[[#This Row],[Anciennete_Mois]]/12</f>
        <v>9.5833333333333339</v>
      </c>
      <c r="U34" s="1">
        <f>Master8[[#This Row],[Duree_Cumule_Panne_Min]]/60</f>
        <v>2.9333333333333331</v>
      </c>
      <c r="V3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4" s="6">
        <f>Master8[[#This Row],[Facture_Mensuelle]]*Master8[[#This Row],[Remise]]</f>
        <v>0</v>
      </c>
    </row>
    <row r="35" spans="1:24" x14ac:dyDescent="0.25">
      <c r="A35" s="1" t="s">
        <v>823</v>
      </c>
      <c r="B35" t="str">
        <f>IFERROR(VLOOKUP(Master8[[#This Row],[Cell_ID]],Registre_Maintenance[],2,FALSE),"")</f>
        <v>Tanganyika</v>
      </c>
      <c r="C35" s="1" t="s">
        <v>852</v>
      </c>
      <c r="D35" s="2">
        <v>45225.965277777781</v>
      </c>
      <c r="E35" s="3">
        <v>45225.965277777781</v>
      </c>
      <c r="F35">
        <v>36</v>
      </c>
      <c r="G35">
        <f>Master8[[#This Row],[Duree_Panne_Min]]/60</f>
        <v>0.6</v>
      </c>
      <c r="H35" s="1" t="s">
        <v>732</v>
      </c>
      <c r="I35">
        <f>IFERROR(VLOOKUP(Master8[[#This Row],[Cell_ID]],Registre_Maintenance[],3,FALSE),"")</f>
        <v>-9.002459</v>
      </c>
      <c r="J35">
        <f>IFERROR(VLOOKUP(Master8[[#This Row],[Cell_ID]],Registre_Maintenance[],4,FALSE),"")</f>
        <v>25.182109000000001</v>
      </c>
      <c r="K35" t="str">
        <f>IFERROR(VLOOKUP(Master8[[#This Row],[Cell_ID]],Registre_Maintenance[],5,FALSE),"")</f>
        <v>5G</v>
      </c>
      <c r="L35" t="str">
        <f>IFERROR(VLOOKUP(Master8[[#This Row],[Cell_ID]],Registre_Maintenance[],6,FALSE),"")</f>
        <v>Huawei</v>
      </c>
      <c r="M35" s="1" t="str">
        <f>VLOOKUP(Master8[[#This Row],[Province_RDC]],Client[],2,FALSE)</f>
        <v>CLI-01618</v>
      </c>
      <c r="N35" s="1">
        <f>VLOOKUP(Master8[[#This Row],[Province_RDC]],Client[],3,FALSE)</f>
        <v>115</v>
      </c>
      <c r="O35" s="1" t="str">
        <f>VLOOKUP(Master8[[#This Row],[Province_RDC]],Client[],4,FALSE)</f>
        <v>Bloqué 5Go</v>
      </c>
      <c r="P35" s="1">
        <f>VLOOKUP(Master8[[#This Row],[Province_RDC]],Client[],5,FALSE)</f>
        <v>176</v>
      </c>
      <c r="Q35" s="1">
        <f>VLOOKUP(Master8[[#This Row],[Province_RDC]],Client[],6,FALSE)</f>
        <v>33.28</v>
      </c>
      <c r="R35" s="1">
        <f>VLOOKUP(Master8[[#This Row],[Province_RDC]],Client[],7,FALSE)</f>
        <v>4</v>
      </c>
      <c r="S35" s="1" t="str">
        <f>IF(Master8[[#This Row],[Type_Forfait]]="Pro Monde","B2B","B2C")</f>
        <v>B2C</v>
      </c>
      <c r="T35" s="1">
        <f>Master8[[#This Row],[Anciennete_Mois]]/12</f>
        <v>9.5833333333333339</v>
      </c>
      <c r="U35" s="1">
        <f>Master8[[#This Row],[Duree_Cumule_Panne_Min]]/60</f>
        <v>2.9333333333333331</v>
      </c>
      <c r="V3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5" s="6">
        <f>Master8[[#This Row],[Facture_Mensuelle]]*Master8[[#This Row],[Remise]]</f>
        <v>0</v>
      </c>
    </row>
    <row r="36" spans="1:24" x14ac:dyDescent="0.25">
      <c r="A36" s="1" t="s">
        <v>1165</v>
      </c>
      <c r="B36" t="str">
        <f>IFERROR(VLOOKUP(Master8[[#This Row],[Cell_ID]],Registre_Maintenance[],2,FALSE),"")</f>
        <v>Tanganyika</v>
      </c>
      <c r="C36" s="1" t="s">
        <v>1177</v>
      </c>
      <c r="D36" s="2">
        <v>45225.781944444447</v>
      </c>
      <c r="E36" s="3">
        <v>45225.781944444447</v>
      </c>
      <c r="F36">
        <v>113</v>
      </c>
      <c r="G36">
        <f>Master8[[#This Row],[Duree_Panne_Min]]/60</f>
        <v>1.8833333333333333</v>
      </c>
      <c r="H36" s="1" t="s">
        <v>735</v>
      </c>
      <c r="I36">
        <f>IFERROR(VLOOKUP(Master8[[#This Row],[Cell_ID]],Registre_Maintenance[],3,FALSE),"")</f>
        <v>-7.9425049999999997</v>
      </c>
      <c r="J36">
        <f>IFERROR(VLOOKUP(Master8[[#This Row],[Cell_ID]],Registre_Maintenance[],4,FALSE),"")</f>
        <v>24.111059000000001</v>
      </c>
      <c r="K36" t="str">
        <f>IFERROR(VLOOKUP(Master8[[#This Row],[Cell_ID]],Registre_Maintenance[],5,FALSE),"")</f>
        <v>3G</v>
      </c>
      <c r="L36" t="str">
        <f>IFERROR(VLOOKUP(Master8[[#This Row],[Cell_ID]],Registre_Maintenance[],6,FALSE),"")</f>
        <v>ZTE</v>
      </c>
      <c r="M36" s="1" t="str">
        <f>VLOOKUP(Master8[[#This Row],[Province_RDC]],Client[],2,FALSE)</f>
        <v>CLI-01618</v>
      </c>
      <c r="N36" s="1">
        <f>VLOOKUP(Master8[[#This Row],[Province_RDC]],Client[],3,FALSE)</f>
        <v>115</v>
      </c>
      <c r="O36" s="1" t="str">
        <f>VLOOKUP(Master8[[#This Row],[Province_RDC]],Client[],4,FALSE)</f>
        <v>Bloqué 5Go</v>
      </c>
      <c r="P36" s="1">
        <f>VLOOKUP(Master8[[#This Row],[Province_RDC]],Client[],5,FALSE)</f>
        <v>176</v>
      </c>
      <c r="Q36" s="1">
        <f>VLOOKUP(Master8[[#This Row],[Province_RDC]],Client[],6,FALSE)</f>
        <v>33.28</v>
      </c>
      <c r="R36" s="1">
        <f>VLOOKUP(Master8[[#This Row],[Province_RDC]],Client[],7,FALSE)</f>
        <v>4</v>
      </c>
      <c r="S36" s="1" t="str">
        <f>IF(Master8[[#This Row],[Type_Forfait]]="Pro Monde","B2B","B2C")</f>
        <v>B2C</v>
      </c>
      <c r="T36" s="1">
        <f>Master8[[#This Row],[Anciennete_Mois]]/12</f>
        <v>9.5833333333333339</v>
      </c>
      <c r="U36" s="1">
        <f>Master8[[#This Row],[Duree_Cumule_Panne_Min]]/60</f>
        <v>2.9333333333333331</v>
      </c>
      <c r="V3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6" s="6">
        <f>Master8[[#This Row],[Facture_Mensuelle]]*Master8[[#This Row],[Remise]]</f>
        <v>0</v>
      </c>
    </row>
    <row r="37" spans="1:24" x14ac:dyDescent="0.25">
      <c r="A37" s="1" t="s">
        <v>1345</v>
      </c>
      <c r="B37" t="str">
        <f>IFERROR(VLOOKUP(Master8[[#This Row],[Cell_ID]],Registre_Maintenance[],2,FALSE),"")</f>
        <v>Tanganyika</v>
      </c>
      <c r="C37" s="1" t="s">
        <v>1353</v>
      </c>
      <c r="D37" s="2">
        <v>45224.104861111111</v>
      </c>
      <c r="E37" s="3">
        <v>45224.104861111111</v>
      </c>
      <c r="F37">
        <v>98</v>
      </c>
      <c r="G37">
        <f>Master8[[#This Row],[Duree_Panne_Min]]/60</f>
        <v>1.6333333333333333</v>
      </c>
      <c r="H37" s="1" t="s">
        <v>737</v>
      </c>
      <c r="I37">
        <f>IFERROR(VLOOKUP(Master8[[#This Row],[Cell_ID]],Registre_Maintenance[],3,FALSE),"")</f>
        <v>-7.0007840000000003</v>
      </c>
      <c r="J37">
        <f>IFERROR(VLOOKUP(Master8[[#This Row],[Cell_ID]],Registre_Maintenance[],4,FALSE),"")</f>
        <v>22.787997000000001</v>
      </c>
      <c r="K37" t="str">
        <f>IFERROR(VLOOKUP(Master8[[#This Row],[Cell_ID]],Registre_Maintenance[],5,FALSE),"")</f>
        <v>5G</v>
      </c>
      <c r="L37" t="str">
        <f>IFERROR(VLOOKUP(Master8[[#This Row],[Cell_ID]],Registre_Maintenance[],6,FALSE),"")</f>
        <v>ZTE</v>
      </c>
      <c r="M37" s="1" t="str">
        <f>VLOOKUP(Master8[[#This Row],[Province_RDC]],Client[],2,FALSE)</f>
        <v>CLI-01618</v>
      </c>
      <c r="N37" s="1">
        <f>VLOOKUP(Master8[[#This Row],[Province_RDC]],Client[],3,FALSE)</f>
        <v>115</v>
      </c>
      <c r="O37" s="1" t="str">
        <f>VLOOKUP(Master8[[#This Row],[Province_RDC]],Client[],4,FALSE)</f>
        <v>Bloqué 5Go</v>
      </c>
      <c r="P37" s="1">
        <f>VLOOKUP(Master8[[#This Row],[Province_RDC]],Client[],5,FALSE)</f>
        <v>176</v>
      </c>
      <c r="Q37" s="1">
        <f>VLOOKUP(Master8[[#This Row],[Province_RDC]],Client[],6,FALSE)</f>
        <v>33.28</v>
      </c>
      <c r="R37" s="1">
        <f>VLOOKUP(Master8[[#This Row],[Province_RDC]],Client[],7,FALSE)</f>
        <v>4</v>
      </c>
      <c r="S37" s="1" t="str">
        <f>IF(Master8[[#This Row],[Type_Forfait]]="Pro Monde","B2B","B2C")</f>
        <v>B2C</v>
      </c>
      <c r="T37" s="1">
        <f>Master8[[#This Row],[Anciennete_Mois]]/12</f>
        <v>9.5833333333333339</v>
      </c>
      <c r="U37" s="1">
        <f>Master8[[#This Row],[Duree_Cumule_Panne_Min]]/60</f>
        <v>2.9333333333333331</v>
      </c>
      <c r="V3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7" s="6">
        <f>Master8[[#This Row],[Facture_Mensuelle]]*Master8[[#This Row],[Remise]]</f>
        <v>0</v>
      </c>
    </row>
    <row r="38" spans="1:24" x14ac:dyDescent="0.25">
      <c r="A38" s="1" t="s">
        <v>779</v>
      </c>
      <c r="B38" t="str">
        <f>IFERROR(VLOOKUP(Master8[[#This Row],[Cell_ID]],Registre_Maintenance[],2,FALSE),"")</f>
        <v>Tanganyika</v>
      </c>
      <c r="C38" s="1" t="s">
        <v>785</v>
      </c>
      <c r="D38" s="2">
        <v>45221.861805555563</v>
      </c>
      <c r="E38" s="3">
        <v>45221.861805555563</v>
      </c>
      <c r="F38">
        <v>21</v>
      </c>
      <c r="G38">
        <f>Master8[[#This Row],[Duree_Panne_Min]]/60</f>
        <v>0.35</v>
      </c>
      <c r="H38" s="1" t="s">
        <v>735</v>
      </c>
      <c r="I38">
        <f>IFERROR(VLOOKUP(Master8[[#This Row],[Cell_ID]],Registre_Maintenance[],3,FALSE),"")</f>
        <v>-1.864393</v>
      </c>
      <c r="J38">
        <f>IFERROR(VLOOKUP(Master8[[#This Row],[Cell_ID]],Registre_Maintenance[],4,FALSE),"")</f>
        <v>21.453434000000001</v>
      </c>
      <c r="K38" t="str">
        <f>IFERROR(VLOOKUP(Master8[[#This Row],[Cell_ID]],Registre_Maintenance[],5,FALSE),"")</f>
        <v>5G</v>
      </c>
      <c r="L38" t="str">
        <f>IFERROR(VLOOKUP(Master8[[#This Row],[Cell_ID]],Registre_Maintenance[],6,FALSE),"")</f>
        <v>Ericsson</v>
      </c>
      <c r="M38" s="1" t="str">
        <f>VLOOKUP(Master8[[#This Row],[Province_RDC]],Client[],2,FALSE)</f>
        <v>CLI-01618</v>
      </c>
      <c r="N38" s="1">
        <f>VLOOKUP(Master8[[#This Row],[Province_RDC]],Client[],3,FALSE)</f>
        <v>115</v>
      </c>
      <c r="O38" s="1" t="str">
        <f>VLOOKUP(Master8[[#This Row],[Province_RDC]],Client[],4,FALSE)</f>
        <v>Bloqué 5Go</v>
      </c>
      <c r="P38" s="1">
        <f>VLOOKUP(Master8[[#This Row],[Province_RDC]],Client[],5,FALSE)</f>
        <v>176</v>
      </c>
      <c r="Q38" s="1">
        <f>VLOOKUP(Master8[[#This Row],[Province_RDC]],Client[],6,FALSE)</f>
        <v>33.28</v>
      </c>
      <c r="R38" s="1">
        <f>VLOOKUP(Master8[[#This Row],[Province_RDC]],Client[],7,FALSE)</f>
        <v>4</v>
      </c>
      <c r="S38" s="1" t="str">
        <f>IF(Master8[[#This Row],[Type_Forfait]]="Pro Monde","B2B","B2C")</f>
        <v>B2C</v>
      </c>
      <c r="T38" s="1">
        <f>Master8[[#This Row],[Anciennete_Mois]]/12</f>
        <v>9.5833333333333339</v>
      </c>
      <c r="U38" s="1">
        <f>Master8[[#This Row],[Duree_Cumule_Panne_Min]]/60</f>
        <v>2.9333333333333331</v>
      </c>
      <c r="V3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8" s="6">
        <f>Master8[[#This Row],[Facture_Mensuelle]]*Master8[[#This Row],[Remise]]</f>
        <v>0</v>
      </c>
    </row>
    <row r="39" spans="1:24" x14ac:dyDescent="0.25">
      <c r="A39" s="1" t="s">
        <v>1288</v>
      </c>
      <c r="B39" t="str">
        <f>IFERROR(VLOOKUP(Master8[[#This Row],[Cell_ID]],Registre_Maintenance[],2,FALSE),"")</f>
        <v>Tanganyika</v>
      </c>
      <c r="C39" s="1" t="s">
        <v>1294</v>
      </c>
      <c r="D39" s="2">
        <v>45221.861805555563</v>
      </c>
      <c r="E39" s="3">
        <v>45221.861805555563</v>
      </c>
      <c r="F39">
        <v>65</v>
      </c>
      <c r="G39">
        <f>Master8[[#This Row],[Duree_Panne_Min]]/60</f>
        <v>1.0833333333333333</v>
      </c>
      <c r="H39" s="1" t="s">
        <v>732</v>
      </c>
      <c r="I39">
        <f>IFERROR(VLOOKUP(Master8[[#This Row],[Cell_ID]],Registre_Maintenance[],3,FALSE),"")</f>
        <v>-3.9148719999999999</v>
      </c>
      <c r="J39">
        <f>IFERROR(VLOOKUP(Master8[[#This Row],[Cell_ID]],Registre_Maintenance[],4,FALSE),"")</f>
        <v>12.260933</v>
      </c>
      <c r="K39" t="str">
        <f>IFERROR(VLOOKUP(Master8[[#This Row],[Cell_ID]],Registre_Maintenance[],5,FALSE),"")</f>
        <v>4G</v>
      </c>
      <c r="L39" t="str">
        <f>IFERROR(VLOOKUP(Master8[[#This Row],[Cell_ID]],Registre_Maintenance[],6,FALSE),"")</f>
        <v>Ericsson</v>
      </c>
      <c r="M39" s="1" t="str">
        <f>VLOOKUP(Master8[[#This Row],[Province_RDC]],Client[],2,FALSE)</f>
        <v>CLI-01618</v>
      </c>
      <c r="N39" s="1">
        <f>VLOOKUP(Master8[[#This Row],[Province_RDC]],Client[],3,FALSE)</f>
        <v>115</v>
      </c>
      <c r="O39" s="1" t="str">
        <f>VLOOKUP(Master8[[#This Row],[Province_RDC]],Client[],4,FALSE)</f>
        <v>Bloqué 5Go</v>
      </c>
      <c r="P39" s="1">
        <f>VLOOKUP(Master8[[#This Row],[Province_RDC]],Client[],5,FALSE)</f>
        <v>176</v>
      </c>
      <c r="Q39" s="1">
        <f>VLOOKUP(Master8[[#This Row],[Province_RDC]],Client[],6,FALSE)</f>
        <v>33.28</v>
      </c>
      <c r="R39" s="1">
        <f>VLOOKUP(Master8[[#This Row],[Province_RDC]],Client[],7,FALSE)</f>
        <v>4</v>
      </c>
      <c r="S39" s="1" t="str">
        <f>IF(Master8[[#This Row],[Type_Forfait]]="Pro Monde","B2B","B2C")</f>
        <v>B2C</v>
      </c>
      <c r="T39" s="1">
        <f>Master8[[#This Row],[Anciennete_Mois]]/12</f>
        <v>9.5833333333333339</v>
      </c>
      <c r="U39" s="1">
        <f>Master8[[#This Row],[Duree_Cumule_Panne_Min]]/60</f>
        <v>2.9333333333333331</v>
      </c>
      <c r="V3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3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9" s="6">
        <f>Master8[[#This Row],[Facture_Mensuelle]]*Master8[[#This Row],[Remise]]</f>
        <v>0</v>
      </c>
    </row>
    <row r="40" spans="1:24" x14ac:dyDescent="0.25">
      <c r="A40" s="1" t="s">
        <v>1165</v>
      </c>
      <c r="B40" t="str">
        <f>IFERROR(VLOOKUP(Master8[[#This Row],[Cell_ID]],Registre_Maintenance[],2,FALSE),"")</f>
        <v>Tanganyika</v>
      </c>
      <c r="C40" s="1" t="s">
        <v>762</v>
      </c>
      <c r="D40" s="2">
        <v>45221.717361111107</v>
      </c>
      <c r="E40" s="3">
        <v>45221.717361111107</v>
      </c>
      <c r="F40">
        <v>14</v>
      </c>
      <c r="G40">
        <f>Master8[[#This Row],[Duree_Panne_Min]]/60</f>
        <v>0.23333333333333334</v>
      </c>
      <c r="H40" s="1" t="s">
        <v>732</v>
      </c>
      <c r="I40">
        <f>IFERROR(VLOOKUP(Master8[[#This Row],[Cell_ID]],Registre_Maintenance[],3,FALSE),"")</f>
        <v>-2.4662510000000002</v>
      </c>
      <c r="J40">
        <f>IFERROR(VLOOKUP(Master8[[#This Row],[Cell_ID]],Registre_Maintenance[],4,FALSE),"")</f>
        <v>18.007998000000001</v>
      </c>
      <c r="K40" t="str">
        <f>IFERROR(VLOOKUP(Master8[[#This Row],[Cell_ID]],Registre_Maintenance[],5,FALSE),"")</f>
        <v>5G</v>
      </c>
      <c r="L40" t="str">
        <f>IFERROR(VLOOKUP(Master8[[#This Row],[Cell_ID]],Registre_Maintenance[],6,FALSE),"")</f>
        <v>Ericsson</v>
      </c>
      <c r="M40" s="1" t="str">
        <f>VLOOKUP(Master8[[#This Row],[Province_RDC]],Client[],2,FALSE)</f>
        <v>CLI-01618</v>
      </c>
      <c r="N40" s="1">
        <f>VLOOKUP(Master8[[#This Row],[Province_RDC]],Client[],3,FALSE)</f>
        <v>115</v>
      </c>
      <c r="O40" s="1" t="str">
        <f>VLOOKUP(Master8[[#This Row],[Province_RDC]],Client[],4,FALSE)</f>
        <v>Bloqué 5Go</v>
      </c>
      <c r="P40" s="1">
        <f>VLOOKUP(Master8[[#This Row],[Province_RDC]],Client[],5,FALSE)</f>
        <v>176</v>
      </c>
      <c r="Q40" s="1">
        <f>VLOOKUP(Master8[[#This Row],[Province_RDC]],Client[],6,FALSE)</f>
        <v>33.28</v>
      </c>
      <c r="R40" s="1">
        <f>VLOOKUP(Master8[[#This Row],[Province_RDC]],Client[],7,FALSE)</f>
        <v>4</v>
      </c>
      <c r="S40" s="1" t="str">
        <f>IF(Master8[[#This Row],[Type_Forfait]]="Pro Monde","B2B","B2C")</f>
        <v>B2C</v>
      </c>
      <c r="T40" s="1">
        <f>Master8[[#This Row],[Anciennete_Mois]]/12</f>
        <v>9.5833333333333339</v>
      </c>
      <c r="U40" s="1">
        <f>Master8[[#This Row],[Duree_Cumule_Panne_Min]]/60</f>
        <v>2.9333333333333331</v>
      </c>
      <c r="V4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0" s="6">
        <f>Master8[[#This Row],[Facture_Mensuelle]]*Master8[[#This Row],[Remise]]</f>
        <v>0</v>
      </c>
    </row>
    <row r="41" spans="1:24" x14ac:dyDescent="0.25">
      <c r="A41" s="1" t="s">
        <v>1382</v>
      </c>
      <c r="B41" t="str">
        <f>IFERROR(VLOOKUP(Master8[[#This Row],[Cell_ID]],Registre_Maintenance[],2,FALSE),"")</f>
        <v>Tanganyika</v>
      </c>
      <c r="C41" s="1" t="s">
        <v>852</v>
      </c>
      <c r="D41" s="2">
        <v>45220.724999999999</v>
      </c>
      <c r="E41" s="3">
        <v>45220.724999999999</v>
      </c>
      <c r="F41">
        <v>28</v>
      </c>
      <c r="G41">
        <f>Master8[[#This Row],[Duree_Panne_Min]]/60</f>
        <v>0.46666666666666667</v>
      </c>
      <c r="H41" s="1" t="s">
        <v>737</v>
      </c>
      <c r="I41">
        <f>IFERROR(VLOOKUP(Master8[[#This Row],[Cell_ID]],Registre_Maintenance[],3,FALSE),"")</f>
        <v>-9.002459</v>
      </c>
      <c r="J41">
        <f>IFERROR(VLOOKUP(Master8[[#This Row],[Cell_ID]],Registre_Maintenance[],4,FALSE),"")</f>
        <v>25.182109000000001</v>
      </c>
      <c r="K41" t="str">
        <f>IFERROR(VLOOKUP(Master8[[#This Row],[Cell_ID]],Registre_Maintenance[],5,FALSE),"")</f>
        <v>5G</v>
      </c>
      <c r="L41" t="str">
        <f>IFERROR(VLOOKUP(Master8[[#This Row],[Cell_ID]],Registre_Maintenance[],6,FALSE),"")</f>
        <v>Huawei</v>
      </c>
      <c r="M41" s="1" t="str">
        <f>VLOOKUP(Master8[[#This Row],[Province_RDC]],Client[],2,FALSE)</f>
        <v>CLI-01618</v>
      </c>
      <c r="N41" s="1">
        <f>VLOOKUP(Master8[[#This Row],[Province_RDC]],Client[],3,FALSE)</f>
        <v>115</v>
      </c>
      <c r="O41" s="1" t="str">
        <f>VLOOKUP(Master8[[#This Row],[Province_RDC]],Client[],4,FALSE)</f>
        <v>Bloqué 5Go</v>
      </c>
      <c r="P41" s="1">
        <f>VLOOKUP(Master8[[#This Row],[Province_RDC]],Client[],5,FALSE)</f>
        <v>176</v>
      </c>
      <c r="Q41" s="1">
        <f>VLOOKUP(Master8[[#This Row],[Province_RDC]],Client[],6,FALSE)</f>
        <v>33.28</v>
      </c>
      <c r="R41" s="1">
        <f>VLOOKUP(Master8[[#This Row],[Province_RDC]],Client[],7,FALSE)</f>
        <v>4</v>
      </c>
      <c r="S41" s="1" t="str">
        <f>IF(Master8[[#This Row],[Type_Forfait]]="Pro Monde","B2B","B2C")</f>
        <v>B2C</v>
      </c>
      <c r="T41" s="1">
        <f>Master8[[#This Row],[Anciennete_Mois]]/12</f>
        <v>9.5833333333333339</v>
      </c>
      <c r="U41" s="1">
        <f>Master8[[#This Row],[Duree_Cumule_Panne_Min]]/60</f>
        <v>2.9333333333333331</v>
      </c>
      <c r="V4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1" s="6">
        <f>Master8[[#This Row],[Facture_Mensuelle]]*Master8[[#This Row],[Remise]]</f>
        <v>0</v>
      </c>
    </row>
    <row r="42" spans="1:24" x14ac:dyDescent="0.25">
      <c r="A42" s="1" t="s">
        <v>1138</v>
      </c>
      <c r="B42" t="str">
        <f>IFERROR(VLOOKUP(Master8[[#This Row],[Cell_ID]],Registre_Maintenance[],2,FALSE),"")</f>
        <v>Tanganyika</v>
      </c>
      <c r="C42" s="1" t="s">
        <v>1141</v>
      </c>
      <c r="D42" s="2">
        <v>45215.457638888889</v>
      </c>
      <c r="E42" s="3">
        <v>45215.457638888889</v>
      </c>
      <c r="F42">
        <v>100</v>
      </c>
      <c r="G42">
        <f>Master8[[#This Row],[Duree_Panne_Min]]/60</f>
        <v>1.6666666666666667</v>
      </c>
      <c r="H42" s="1" t="s">
        <v>732</v>
      </c>
      <c r="I42">
        <f>IFERROR(VLOOKUP(Master8[[#This Row],[Cell_ID]],Registre_Maintenance[],3,FALSE),"")</f>
        <v>-11.793894</v>
      </c>
      <c r="J42">
        <f>IFERROR(VLOOKUP(Master8[[#This Row],[Cell_ID]],Registre_Maintenance[],4,FALSE),"")</f>
        <v>20.433340999999999</v>
      </c>
      <c r="K42" t="str">
        <f>IFERROR(VLOOKUP(Master8[[#This Row],[Cell_ID]],Registre_Maintenance[],5,FALSE),"")</f>
        <v>5G</v>
      </c>
      <c r="L42" t="str">
        <f>IFERROR(VLOOKUP(Master8[[#This Row],[Cell_ID]],Registre_Maintenance[],6,FALSE),"")</f>
        <v>Nokia</v>
      </c>
      <c r="M42" s="1" t="str">
        <f>VLOOKUP(Master8[[#This Row],[Province_RDC]],Client[],2,FALSE)</f>
        <v>CLI-01618</v>
      </c>
      <c r="N42" s="1">
        <f>VLOOKUP(Master8[[#This Row],[Province_RDC]],Client[],3,FALSE)</f>
        <v>115</v>
      </c>
      <c r="O42" s="1" t="str">
        <f>VLOOKUP(Master8[[#This Row],[Province_RDC]],Client[],4,FALSE)</f>
        <v>Bloqué 5Go</v>
      </c>
      <c r="P42" s="1">
        <f>VLOOKUP(Master8[[#This Row],[Province_RDC]],Client[],5,FALSE)</f>
        <v>176</v>
      </c>
      <c r="Q42" s="1">
        <f>VLOOKUP(Master8[[#This Row],[Province_RDC]],Client[],6,FALSE)</f>
        <v>33.28</v>
      </c>
      <c r="R42" s="1">
        <f>VLOOKUP(Master8[[#This Row],[Province_RDC]],Client[],7,FALSE)</f>
        <v>4</v>
      </c>
      <c r="S42" s="1" t="str">
        <f>IF(Master8[[#This Row],[Type_Forfait]]="Pro Monde","B2B","B2C")</f>
        <v>B2C</v>
      </c>
      <c r="T42" s="1">
        <f>Master8[[#This Row],[Anciennete_Mois]]/12</f>
        <v>9.5833333333333339</v>
      </c>
      <c r="U42" s="1">
        <f>Master8[[#This Row],[Duree_Cumule_Panne_Min]]/60</f>
        <v>2.9333333333333331</v>
      </c>
      <c r="V4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2" s="6">
        <f>Master8[[#This Row],[Facture_Mensuelle]]*Master8[[#This Row],[Remise]]</f>
        <v>0</v>
      </c>
    </row>
    <row r="43" spans="1:24" x14ac:dyDescent="0.25">
      <c r="A43" s="1" t="s">
        <v>1114</v>
      </c>
      <c r="B43" t="str">
        <f>IFERROR(VLOOKUP(Master8[[#This Row],[Cell_ID]],Registre_Maintenance[],2,FALSE),"")</f>
        <v>Tanganyika</v>
      </c>
      <c r="C43" s="1" t="s">
        <v>771</v>
      </c>
      <c r="D43" s="2">
        <v>45214.43472222222</v>
      </c>
      <c r="E43" s="3">
        <v>45214.43472222222</v>
      </c>
      <c r="F43">
        <v>61</v>
      </c>
      <c r="G43">
        <f>Master8[[#This Row],[Duree_Panne_Min]]/60</f>
        <v>1.0166666666666666</v>
      </c>
      <c r="H43" s="1" t="s">
        <v>737</v>
      </c>
      <c r="I43">
        <f>IFERROR(VLOOKUP(Master8[[#This Row],[Cell_ID]],Registre_Maintenance[],3,FALSE),"")</f>
        <v>-10.776204</v>
      </c>
      <c r="J43">
        <f>IFERROR(VLOOKUP(Master8[[#This Row],[Cell_ID]],Registre_Maintenance[],4,FALSE),"")</f>
        <v>24.672934000000001</v>
      </c>
      <c r="K43" t="str">
        <f>IFERROR(VLOOKUP(Master8[[#This Row],[Cell_ID]],Registre_Maintenance[],5,FALSE),"")</f>
        <v>4G</v>
      </c>
      <c r="L43" t="str">
        <f>IFERROR(VLOOKUP(Master8[[#This Row],[Cell_ID]],Registre_Maintenance[],6,FALSE),"")</f>
        <v>Ericsson</v>
      </c>
      <c r="M43" s="1" t="str">
        <f>VLOOKUP(Master8[[#This Row],[Province_RDC]],Client[],2,FALSE)</f>
        <v>CLI-01618</v>
      </c>
      <c r="N43" s="1">
        <f>VLOOKUP(Master8[[#This Row],[Province_RDC]],Client[],3,FALSE)</f>
        <v>115</v>
      </c>
      <c r="O43" s="1" t="str">
        <f>VLOOKUP(Master8[[#This Row],[Province_RDC]],Client[],4,FALSE)</f>
        <v>Bloqué 5Go</v>
      </c>
      <c r="P43" s="1">
        <f>VLOOKUP(Master8[[#This Row],[Province_RDC]],Client[],5,FALSE)</f>
        <v>176</v>
      </c>
      <c r="Q43" s="1">
        <f>VLOOKUP(Master8[[#This Row],[Province_RDC]],Client[],6,FALSE)</f>
        <v>33.28</v>
      </c>
      <c r="R43" s="1">
        <f>VLOOKUP(Master8[[#This Row],[Province_RDC]],Client[],7,FALSE)</f>
        <v>4</v>
      </c>
      <c r="S43" s="1" t="str">
        <f>IF(Master8[[#This Row],[Type_Forfait]]="Pro Monde","B2B","B2C")</f>
        <v>B2C</v>
      </c>
      <c r="T43" s="1">
        <f>Master8[[#This Row],[Anciennete_Mois]]/12</f>
        <v>9.5833333333333339</v>
      </c>
      <c r="U43" s="1">
        <f>Master8[[#This Row],[Duree_Cumule_Panne_Min]]/60</f>
        <v>2.9333333333333331</v>
      </c>
      <c r="V4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3" s="6">
        <f>Master8[[#This Row],[Facture_Mensuelle]]*Master8[[#This Row],[Remise]]</f>
        <v>0</v>
      </c>
    </row>
    <row r="44" spans="1:24" x14ac:dyDescent="0.25">
      <c r="A44" s="1" t="s">
        <v>730</v>
      </c>
      <c r="B44" t="str">
        <f>IFERROR(VLOOKUP(Master8[[#This Row],[Cell_ID]],Registre_Maintenance[],2,FALSE),"")</f>
        <v>Tanganyika</v>
      </c>
      <c r="C44" s="1" t="s">
        <v>751</v>
      </c>
      <c r="D44" s="2">
        <v>45212.140277777777</v>
      </c>
      <c r="E44" s="3">
        <v>45212.140277777777</v>
      </c>
      <c r="F44">
        <v>19</v>
      </c>
      <c r="G44">
        <f>Master8[[#This Row],[Duree_Panne_Min]]/60</f>
        <v>0.31666666666666665</v>
      </c>
      <c r="H44" s="1" t="s">
        <v>735</v>
      </c>
      <c r="I44">
        <f>IFERROR(VLOOKUP(Master8[[#This Row],[Cell_ID]],Registre_Maintenance[],3,FALSE),"")</f>
        <v>-9.4708620000000003</v>
      </c>
      <c r="J44">
        <f>IFERROR(VLOOKUP(Master8[[#This Row],[Cell_ID]],Registre_Maintenance[],4,FALSE),"")</f>
        <v>29.234387999999999</v>
      </c>
      <c r="K44" t="str">
        <f>IFERROR(VLOOKUP(Master8[[#This Row],[Cell_ID]],Registre_Maintenance[],5,FALSE),"")</f>
        <v>3G</v>
      </c>
      <c r="L44" t="str">
        <f>IFERROR(VLOOKUP(Master8[[#This Row],[Cell_ID]],Registre_Maintenance[],6,FALSE),"")</f>
        <v>ZTE</v>
      </c>
      <c r="M44" s="1" t="str">
        <f>VLOOKUP(Master8[[#This Row],[Province_RDC]],Client[],2,FALSE)</f>
        <v>CLI-01618</v>
      </c>
      <c r="N44" s="1">
        <f>VLOOKUP(Master8[[#This Row],[Province_RDC]],Client[],3,FALSE)</f>
        <v>115</v>
      </c>
      <c r="O44" s="1" t="str">
        <f>VLOOKUP(Master8[[#This Row],[Province_RDC]],Client[],4,FALSE)</f>
        <v>Bloqué 5Go</v>
      </c>
      <c r="P44" s="1">
        <f>VLOOKUP(Master8[[#This Row],[Province_RDC]],Client[],5,FALSE)</f>
        <v>176</v>
      </c>
      <c r="Q44" s="1">
        <f>VLOOKUP(Master8[[#This Row],[Province_RDC]],Client[],6,FALSE)</f>
        <v>33.28</v>
      </c>
      <c r="R44" s="1">
        <f>VLOOKUP(Master8[[#This Row],[Province_RDC]],Client[],7,FALSE)</f>
        <v>4</v>
      </c>
      <c r="S44" s="1" t="str">
        <f>IF(Master8[[#This Row],[Type_Forfait]]="Pro Monde","B2B","B2C")</f>
        <v>B2C</v>
      </c>
      <c r="T44" s="1">
        <f>Master8[[#This Row],[Anciennete_Mois]]/12</f>
        <v>9.5833333333333339</v>
      </c>
      <c r="U44" s="1">
        <f>Master8[[#This Row],[Duree_Cumule_Panne_Min]]/60</f>
        <v>2.9333333333333331</v>
      </c>
      <c r="V4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4" s="6">
        <f>Master8[[#This Row],[Facture_Mensuelle]]*Master8[[#This Row],[Remise]]</f>
        <v>0</v>
      </c>
    </row>
    <row r="45" spans="1:24" x14ac:dyDescent="0.25">
      <c r="A45" s="1" t="s">
        <v>730</v>
      </c>
      <c r="B45" t="str">
        <f>IFERROR(VLOOKUP(Master8[[#This Row],[Cell_ID]],Registre_Maintenance[],2,FALSE),"")</f>
        <v>Tanganyika</v>
      </c>
      <c r="C45" s="1" t="s">
        <v>762</v>
      </c>
      <c r="D45" s="2">
        <v>45211.224305555559</v>
      </c>
      <c r="E45" s="3">
        <v>45211.224305555559</v>
      </c>
      <c r="F45">
        <v>37</v>
      </c>
      <c r="G45">
        <f>Master8[[#This Row],[Duree_Panne_Min]]/60</f>
        <v>0.6166666666666667</v>
      </c>
      <c r="H45" s="1" t="s">
        <v>732</v>
      </c>
      <c r="I45">
        <f>IFERROR(VLOOKUP(Master8[[#This Row],[Cell_ID]],Registre_Maintenance[],3,FALSE),"")</f>
        <v>-2.4662510000000002</v>
      </c>
      <c r="J45">
        <f>IFERROR(VLOOKUP(Master8[[#This Row],[Cell_ID]],Registre_Maintenance[],4,FALSE),"")</f>
        <v>18.007998000000001</v>
      </c>
      <c r="K45" t="str">
        <f>IFERROR(VLOOKUP(Master8[[#This Row],[Cell_ID]],Registre_Maintenance[],5,FALSE),"")</f>
        <v>5G</v>
      </c>
      <c r="L45" t="str">
        <f>IFERROR(VLOOKUP(Master8[[#This Row],[Cell_ID]],Registre_Maintenance[],6,FALSE),"")</f>
        <v>Ericsson</v>
      </c>
      <c r="M45" s="1" t="str">
        <f>VLOOKUP(Master8[[#This Row],[Province_RDC]],Client[],2,FALSE)</f>
        <v>CLI-01618</v>
      </c>
      <c r="N45" s="1">
        <f>VLOOKUP(Master8[[#This Row],[Province_RDC]],Client[],3,FALSE)</f>
        <v>115</v>
      </c>
      <c r="O45" s="1" t="str">
        <f>VLOOKUP(Master8[[#This Row],[Province_RDC]],Client[],4,FALSE)</f>
        <v>Bloqué 5Go</v>
      </c>
      <c r="P45" s="1">
        <f>VLOOKUP(Master8[[#This Row],[Province_RDC]],Client[],5,FALSE)</f>
        <v>176</v>
      </c>
      <c r="Q45" s="1">
        <f>VLOOKUP(Master8[[#This Row],[Province_RDC]],Client[],6,FALSE)</f>
        <v>33.28</v>
      </c>
      <c r="R45" s="1">
        <f>VLOOKUP(Master8[[#This Row],[Province_RDC]],Client[],7,FALSE)</f>
        <v>4</v>
      </c>
      <c r="S45" s="1" t="str">
        <f>IF(Master8[[#This Row],[Type_Forfait]]="Pro Monde","B2B","B2C")</f>
        <v>B2C</v>
      </c>
      <c r="T45" s="1">
        <f>Master8[[#This Row],[Anciennete_Mois]]/12</f>
        <v>9.5833333333333339</v>
      </c>
      <c r="U45" s="1">
        <f>Master8[[#This Row],[Duree_Cumule_Panne_Min]]/60</f>
        <v>2.9333333333333331</v>
      </c>
      <c r="V4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5" s="6">
        <f>Master8[[#This Row],[Facture_Mensuelle]]*Master8[[#This Row],[Remise]]</f>
        <v>0</v>
      </c>
    </row>
    <row r="46" spans="1:24" x14ac:dyDescent="0.25">
      <c r="A46" s="1" t="s">
        <v>1059</v>
      </c>
      <c r="B46" t="str">
        <f>IFERROR(VLOOKUP(Master8[[#This Row],[Cell_ID]],Registre_Maintenance[],2,FALSE),"")</f>
        <v>Tanganyika</v>
      </c>
      <c r="C46" s="1" t="s">
        <v>1074</v>
      </c>
      <c r="D46" s="2">
        <v>45210.168055555558</v>
      </c>
      <c r="E46" s="3">
        <v>45210.168055555558</v>
      </c>
      <c r="F46">
        <v>110</v>
      </c>
      <c r="G46">
        <f>Master8[[#This Row],[Duree_Panne_Min]]/60</f>
        <v>1.8333333333333333</v>
      </c>
      <c r="H46" s="1" t="s">
        <v>732</v>
      </c>
      <c r="I46">
        <f>IFERROR(VLOOKUP(Master8[[#This Row],[Cell_ID]],Registre_Maintenance[],3,FALSE),"")</f>
        <v>-9.9565739999999998</v>
      </c>
      <c r="J46">
        <f>IFERROR(VLOOKUP(Master8[[#This Row],[Cell_ID]],Registre_Maintenance[],4,FALSE),"")</f>
        <v>21.017202000000001</v>
      </c>
      <c r="K46" t="str">
        <f>IFERROR(VLOOKUP(Master8[[#This Row],[Cell_ID]],Registre_Maintenance[],5,FALSE),"")</f>
        <v>4G</v>
      </c>
      <c r="L46" t="str">
        <f>IFERROR(VLOOKUP(Master8[[#This Row],[Cell_ID]],Registre_Maintenance[],6,FALSE),"")</f>
        <v>Huawei</v>
      </c>
      <c r="M46" s="1" t="str">
        <f>VLOOKUP(Master8[[#This Row],[Province_RDC]],Client[],2,FALSE)</f>
        <v>CLI-01618</v>
      </c>
      <c r="N46" s="1">
        <f>VLOOKUP(Master8[[#This Row],[Province_RDC]],Client[],3,FALSE)</f>
        <v>115</v>
      </c>
      <c r="O46" s="1" t="str">
        <f>VLOOKUP(Master8[[#This Row],[Province_RDC]],Client[],4,FALSE)</f>
        <v>Bloqué 5Go</v>
      </c>
      <c r="P46" s="1">
        <f>VLOOKUP(Master8[[#This Row],[Province_RDC]],Client[],5,FALSE)</f>
        <v>176</v>
      </c>
      <c r="Q46" s="1">
        <f>VLOOKUP(Master8[[#This Row],[Province_RDC]],Client[],6,FALSE)</f>
        <v>33.28</v>
      </c>
      <c r="R46" s="1">
        <f>VLOOKUP(Master8[[#This Row],[Province_RDC]],Client[],7,FALSE)</f>
        <v>4</v>
      </c>
      <c r="S46" s="1" t="str">
        <f>IF(Master8[[#This Row],[Type_Forfait]]="Pro Monde","B2B","B2C")</f>
        <v>B2C</v>
      </c>
      <c r="T46" s="1">
        <f>Master8[[#This Row],[Anciennete_Mois]]/12</f>
        <v>9.5833333333333339</v>
      </c>
      <c r="U46" s="1">
        <f>Master8[[#This Row],[Duree_Cumule_Panne_Min]]/60</f>
        <v>2.9333333333333331</v>
      </c>
      <c r="V4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6" s="6">
        <f>Master8[[#This Row],[Facture_Mensuelle]]*Master8[[#This Row],[Remise]]</f>
        <v>0</v>
      </c>
    </row>
    <row r="47" spans="1:24" x14ac:dyDescent="0.25">
      <c r="A47" s="1" t="s">
        <v>730</v>
      </c>
      <c r="B47" t="str">
        <f>IFERROR(VLOOKUP(Master8[[#This Row],[Cell_ID]],Registre_Maintenance[],2,FALSE),"")</f>
        <v>Tanganyika</v>
      </c>
      <c r="C47" s="1" t="s">
        <v>771</v>
      </c>
      <c r="D47" s="2">
        <v>45210.051388888889</v>
      </c>
      <c r="E47" s="3">
        <v>45210.051388888889</v>
      </c>
      <c r="F47">
        <v>73</v>
      </c>
      <c r="G47">
        <f>Master8[[#This Row],[Duree_Panne_Min]]/60</f>
        <v>1.2166666666666666</v>
      </c>
      <c r="H47" s="1" t="s">
        <v>732</v>
      </c>
      <c r="I47">
        <f>IFERROR(VLOOKUP(Master8[[#This Row],[Cell_ID]],Registre_Maintenance[],3,FALSE),"")</f>
        <v>-10.776204</v>
      </c>
      <c r="J47">
        <f>IFERROR(VLOOKUP(Master8[[#This Row],[Cell_ID]],Registre_Maintenance[],4,FALSE),"")</f>
        <v>24.672934000000001</v>
      </c>
      <c r="K47" t="str">
        <f>IFERROR(VLOOKUP(Master8[[#This Row],[Cell_ID]],Registre_Maintenance[],5,FALSE),"")</f>
        <v>4G</v>
      </c>
      <c r="L47" t="str">
        <f>IFERROR(VLOOKUP(Master8[[#This Row],[Cell_ID]],Registre_Maintenance[],6,FALSE),"")</f>
        <v>Ericsson</v>
      </c>
      <c r="M47" s="1" t="str">
        <f>VLOOKUP(Master8[[#This Row],[Province_RDC]],Client[],2,FALSE)</f>
        <v>CLI-01618</v>
      </c>
      <c r="N47" s="1">
        <f>VLOOKUP(Master8[[#This Row],[Province_RDC]],Client[],3,FALSE)</f>
        <v>115</v>
      </c>
      <c r="O47" s="1" t="str">
        <f>VLOOKUP(Master8[[#This Row],[Province_RDC]],Client[],4,FALSE)</f>
        <v>Bloqué 5Go</v>
      </c>
      <c r="P47" s="1">
        <f>VLOOKUP(Master8[[#This Row],[Province_RDC]],Client[],5,FALSE)</f>
        <v>176</v>
      </c>
      <c r="Q47" s="1">
        <f>VLOOKUP(Master8[[#This Row],[Province_RDC]],Client[],6,FALSE)</f>
        <v>33.28</v>
      </c>
      <c r="R47" s="1">
        <f>VLOOKUP(Master8[[#This Row],[Province_RDC]],Client[],7,FALSE)</f>
        <v>4</v>
      </c>
      <c r="S47" s="1" t="str">
        <f>IF(Master8[[#This Row],[Type_Forfait]]="Pro Monde","B2B","B2C")</f>
        <v>B2C</v>
      </c>
      <c r="T47" s="1">
        <f>Master8[[#This Row],[Anciennete_Mois]]/12</f>
        <v>9.5833333333333339</v>
      </c>
      <c r="U47" s="1">
        <f>Master8[[#This Row],[Duree_Cumule_Panne_Min]]/60</f>
        <v>2.9333333333333331</v>
      </c>
      <c r="V4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7" s="6">
        <f>Master8[[#This Row],[Facture_Mensuelle]]*Master8[[#This Row],[Remise]]</f>
        <v>0</v>
      </c>
    </row>
    <row r="48" spans="1:24" x14ac:dyDescent="0.25">
      <c r="A48" s="1" t="s">
        <v>902</v>
      </c>
      <c r="B48" t="str">
        <f>IFERROR(VLOOKUP(Master8[[#This Row],[Cell_ID]],Registre_Maintenance[],2,FALSE),"")</f>
        <v>Tanganyika</v>
      </c>
      <c r="C48" s="1" t="s">
        <v>925</v>
      </c>
      <c r="D48" s="2">
        <v>45207.368055555547</v>
      </c>
      <c r="E48" s="3">
        <v>45207.368055555547</v>
      </c>
      <c r="F48">
        <v>46</v>
      </c>
      <c r="G48">
        <f>Master8[[#This Row],[Duree_Panne_Min]]/60</f>
        <v>0.76666666666666672</v>
      </c>
      <c r="H48" s="1" t="s">
        <v>732</v>
      </c>
      <c r="I48">
        <f>IFERROR(VLOOKUP(Master8[[#This Row],[Cell_ID]],Registre_Maintenance[],3,FALSE),"")</f>
        <v>-10.481026999999999</v>
      </c>
      <c r="J48">
        <f>IFERROR(VLOOKUP(Master8[[#This Row],[Cell_ID]],Registre_Maintenance[],4,FALSE),"")</f>
        <v>18.160464000000001</v>
      </c>
      <c r="K48" t="str">
        <f>IFERROR(VLOOKUP(Master8[[#This Row],[Cell_ID]],Registre_Maintenance[],5,FALSE),"")</f>
        <v>5G</v>
      </c>
      <c r="L48" t="str">
        <f>IFERROR(VLOOKUP(Master8[[#This Row],[Cell_ID]],Registre_Maintenance[],6,FALSE),"")</f>
        <v>Huawei</v>
      </c>
      <c r="M48" s="1" t="str">
        <f>VLOOKUP(Master8[[#This Row],[Province_RDC]],Client[],2,FALSE)</f>
        <v>CLI-01618</v>
      </c>
      <c r="N48" s="1">
        <f>VLOOKUP(Master8[[#This Row],[Province_RDC]],Client[],3,FALSE)</f>
        <v>115</v>
      </c>
      <c r="O48" s="1" t="str">
        <f>VLOOKUP(Master8[[#This Row],[Province_RDC]],Client[],4,FALSE)</f>
        <v>Bloqué 5Go</v>
      </c>
      <c r="P48" s="1">
        <f>VLOOKUP(Master8[[#This Row],[Province_RDC]],Client[],5,FALSE)</f>
        <v>176</v>
      </c>
      <c r="Q48" s="1">
        <f>VLOOKUP(Master8[[#This Row],[Province_RDC]],Client[],6,FALSE)</f>
        <v>33.28</v>
      </c>
      <c r="R48" s="1">
        <f>VLOOKUP(Master8[[#This Row],[Province_RDC]],Client[],7,FALSE)</f>
        <v>4</v>
      </c>
      <c r="S48" s="1" t="str">
        <f>IF(Master8[[#This Row],[Type_Forfait]]="Pro Monde","B2B","B2C")</f>
        <v>B2C</v>
      </c>
      <c r="T48" s="1">
        <f>Master8[[#This Row],[Anciennete_Mois]]/12</f>
        <v>9.5833333333333339</v>
      </c>
      <c r="U48" s="1">
        <f>Master8[[#This Row],[Duree_Cumule_Panne_Min]]/60</f>
        <v>2.9333333333333331</v>
      </c>
      <c r="V4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8" s="6">
        <f>Master8[[#This Row],[Facture_Mensuelle]]*Master8[[#This Row],[Remise]]</f>
        <v>0</v>
      </c>
    </row>
    <row r="49" spans="1:24" x14ac:dyDescent="0.25">
      <c r="A49" s="1" t="s">
        <v>779</v>
      </c>
      <c r="B49" t="str">
        <f>IFERROR(VLOOKUP(Master8[[#This Row],[Cell_ID]],Registre_Maintenance[],2,FALSE),"")</f>
        <v>Tanganyika</v>
      </c>
      <c r="C49" s="1" t="s">
        <v>790</v>
      </c>
      <c r="D49" s="2">
        <v>45205.353472222218</v>
      </c>
      <c r="E49" s="3">
        <v>45205.353472222218</v>
      </c>
      <c r="F49">
        <v>52</v>
      </c>
      <c r="G49">
        <f>Master8[[#This Row],[Duree_Panne_Min]]/60</f>
        <v>0.8666666666666667</v>
      </c>
      <c r="H49" s="1" t="s">
        <v>735</v>
      </c>
      <c r="I49">
        <f>IFERROR(VLOOKUP(Master8[[#This Row],[Cell_ID]],Registre_Maintenance[],3,FALSE),"")</f>
        <v>3.1362930000000002</v>
      </c>
      <c r="J49">
        <f>IFERROR(VLOOKUP(Master8[[#This Row],[Cell_ID]],Registre_Maintenance[],4,FALSE),"")</f>
        <v>16.190878000000001</v>
      </c>
      <c r="K49" t="str">
        <f>IFERROR(VLOOKUP(Master8[[#This Row],[Cell_ID]],Registre_Maintenance[],5,FALSE),"")</f>
        <v>3G</v>
      </c>
      <c r="L49" t="str">
        <f>IFERROR(VLOOKUP(Master8[[#This Row],[Cell_ID]],Registre_Maintenance[],6,FALSE),"")</f>
        <v>Nokia</v>
      </c>
      <c r="M49" s="1" t="str">
        <f>VLOOKUP(Master8[[#This Row],[Province_RDC]],Client[],2,FALSE)</f>
        <v>CLI-01618</v>
      </c>
      <c r="N49" s="1">
        <f>VLOOKUP(Master8[[#This Row],[Province_RDC]],Client[],3,FALSE)</f>
        <v>115</v>
      </c>
      <c r="O49" s="1" t="str">
        <f>VLOOKUP(Master8[[#This Row],[Province_RDC]],Client[],4,FALSE)</f>
        <v>Bloqué 5Go</v>
      </c>
      <c r="P49" s="1">
        <f>VLOOKUP(Master8[[#This Row],[Province_RDC]],Client[],5,FALSE)</f>
        <v>176</v>
      </c>
      <c r="Q49" s="1">
        <f>VLOOKUP(Master8[[#This Row],[Province_RDC]],Client[],6,FALSE)</f>
        <v>33.28</v>
      </c>
      <c r="R49" s="1">
        <f>VLOOKUP(Master8[[#This Row],[Province_RDC]],Client[],7,FALSE)</f>
        <v>4</v>
      </c>
      <c r="S49" s="1" t="str">
        <f>IF(Master8[[#This Row],[Type_Forfait]]="Pro Monde","B2B","B2C")</f>
        <v>B2C</v>
      </c>
      <c r="T49" s="1">
        <f>Master8[[#This Row],[Anciennete_Mois]]/12</f>
        <v>9.5833333333333339</v>
      </c>
      <c r="U49" s="1">
        <f>Master8[[#This Row],[Duree_Cumule_Panne_Min]]/60</f>
        <v>2.9333333333333331</v>
      </c>
      <c r="V4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4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49" s="6">
        <f>Master8[[#This Row],[Facture_Mensuelle]]*Master8[[#This Row],[Remise]]</f>
        <v>0</v>
      </c>
    </row>
    <row r="50" spans="1:24" x14ac:dyDescent="0.25">
      <c r="A50" s="1" t="s">
        <v>1219</v>
      </c>
      <c r="B50" t="str">
        <f>IFERROR(VLOOKUP(Master8[[#This Row],[Cell_ID]],Registre_Maintenance[],2,FALSE),"")</f>
        <v>Tanganyika</v>
      </c>
      <c r="C50" s="1" t="s">
        <v>1141</v>
      </c>
      <c r="D50" s="2">
        <v>45203.304861111108</v>
      </c>
      <c r="E50" s="3">
        <v>45203.304861111108</v>
      </c>
      <c r="F50">
        <v>106</v>
      </c>
      <c r="G50">
        <f>Master8[[#This Row],[Duree_Panne_Min]]/60</f>
        <v>1.7666666666666666</v>
      </c>
      <c r="H50" s="1" t="s">
        <v>735</v>
      </c>
      <c r="I50">
        <f>IFERROR(VLOOKUP(Master8[[#This Row],[Cell_ID]],Registre_Maintenance[],3,FALSE),"")</f>
        <v>-11.793894</v>
      </c>
      <c r="J50">
        <f>IFERROR(VLOOKUP(Master8[[#This Row],[Cell_ID]],Registre_Maintenance[],4,FALSE),"")</f>
        <v>20.433340999999999</v>
      </c>
      <c r="K50" t="str">
        <f>IFERROR(VLOOKUP(Master8[[#This Row],[Cell_ID]],Registre_Maintenance[],5,FALSE),"")</f>
        <v>5G</v>
      </c>
      <c r="L50" t="str">
        <f>IFERROR(VLOOKUP(Master8[[#This Row],[Cell_ID]],Registre_Maintenance[],6,FALSE),"")</f>
        <v>Nokia</v>
      </c>
      <c r="M50" s="1" t="str">
        <f>VLOOKUP(Master8[[#This Row],[Province_RDC]],Client[],2,FALSE)</f>
        <v>CLI-01618</v>
      </c>
      <c r="N50" s="1">
        <f>VLOOKUP(Master8[[#This Row],[Province_RDC]],Client[],3,FALSE)</f>
        <v>115</v>
      </c>
      <c r="O50" s="1" t="str">
        <f>VLOOKUP(Master8[[#This Row],[Province_RDC]],Client[],4,FALSE)</f>
        <v>Bloqué 5Go</v>
      </c>
      <c r="P50" s="1">
        <f>VLOOKUP(Master8[[#This Row],[Province_RDC]],Client[],5,FALSE)</f>
        <v>176</v>
      </c>
      <c r="Q50" s="1">
        <f>VLOOKUP(Master8[[#This Row],[Province_RDC]],Client[],6,FALSE)</f>
        <v>33.28</v>
      </c>
      <c r="R50" s="1">
        <f>VLOOKUP(Master8[[#This Row],[Province_RDC]],Client[],7,FALSE)</f>
        <v>4</v>
      </c>
      <c r="S50" s="1" t="str">
        <f>IF(Master8[[#This Row],[Type_Forfait]]="Pro Monde","B2B","B2C")</f>
        <v>B2C</v>
      </c>
      <c r="T50" s="1">
        <f>Master8[[#This Row],[Anciennete_Mois]]/12</f>
        <v>9.5833333333333339</v>
      </c>
      <c r="U50" s="1">
        <f>Master8[[#This Row],[Duree_Cumule_Panne_Min]]/60</f>
        <v>2.9333333333333331</v>
      </c>
      <c r="V5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5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50" s="6">
        <f>Master8[[#This Row],[Facture_Mensuelle]]*Master8[[#This Row],[Remise]]</f>
        <v>0</v>
      </c>
    </row>
    <row r="51" spans="1:24" x14ac:dyDescent="0.25">
      <c r="A51" s="1" t="s">
        <v>730</v>
      </c>
      <c r="B51" t="str">
        <f>IFERROR(VLOOKUP(Master8[[#This Row],[Cell_ID]],Registre_Maintenance[],2,FALSE),"")</f>
        <v>Tanganyika</v>
      </c>
      <c r="C51" s="1" t="s">
        <v>731</v>
      </c>
      <c r="D51" s="2">
        <v>45203.032638888893</v>
      </c>
      <c r="E51" s="3">
        <v>45203.032638888893</v>
      </c>
      <c r="F51">
        <v>73</v>
      </c>
      <c r="G51">
        <f>Master8[[#This Row],[Duree_Panne_Min]]/60</f>
        <v>1.2166666666666666</v>
      </c>
      <c r="H51" s="1" t="s">
        <v>732</v>
      </c>
      <c r="I51">
        <f>IFERROR(VLOOKUP(Master8[[#This Row],[Cell_ID]],Registre_Maintenance[],3,FALSE),"")</f>
        <v>-11.144149000000001</v>
      </c>
      <c r="J51">
        <f>IFERROR(VLOOKUP(Master8[[#This Row],[Cell_ID]],Registre_Maintenance[],4,FALSE),"")</f>
        <v>27.244658999999999</v>
      </c>
      <c r="K51" t="str">
        <f>IFERROR(VLOOKUP(Master8[[#This Row],[Cell_ID]],Registre_Maintenance[],5,FALSE),"")</f>
        <v>4G</v>
      </c>
      <c r="L51" t="str">
        <f>IFERROR(VLOOKUP(Master8[[#This Row],[Cell_ID]],Registre_Maintenance[],6,FALSE),"")</f>
        <v>Nokia</v>
      </c>
      <c r="M51" s="1" t="str">
        <f>VLOOKUP(Master8[[#This Row],[Province_RDC]],Client[],2,FALSE)</f>
        <v>CLI-01618</v>
      </c>
      <c r="N51" s="1">
        <f>VLOOKUP(Master8[[#This Row],[Province_RDC]],Client[],3,FALSE)</f>
        <v>115</v>
      </c>
      <c r="O51" s="1" t="str">
        <f>VLOOKUP(Master8[[#This Row],[Province_RDC]],Client[],4,FALSE)</f>
        <v>Bloqué 5Go</v>
      </c>
      <c r="P51" s="1">
        <f>VLOOKUP(Master8[[#This Row],[Province_RDC]],Client[],5,FALSE)</f>
        <v>176</v>
      </c>
      <c r="Q51" s="1">
        <f>VLOOKUP(Master8[[#This Row],[Province_RDC]],Client[],6,FALSE)</f>
        <v>33.28</v>
      </c>
      <c r="R51" s="1">
        <f>VLOOKUP(Master8[[#This Row],[Province_RDC]],Client[],7,FALSE)</f>
        <v>4</v>
      </c>
      <c r="S51" s="1" t="str">
        <f>IF(Master8[[#This Row],[Type_Forfait]]="Pro Monde","B2B","B2C")</f>
        <v>B2C</v>
      </c>
      <c r="T51" s="1">
        <f>Master8[[#This Row],[Anciennete_Mois]]/12</f>
        <v>9.5833333333333339</v>
      </c>
      <c r="U51" s="1">
        <f>Master8[[#This Row],[Duree_Cumule_Panne_Min]]/60</f>
        <v>2.9333333333333331</v>
      </c>
      <c r="V5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5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51" s="6">
        <f>Master8[[#This Row],[Facture_Mensuelle]]*Master8[[#This Row],[Remise]]</f>
        <v>0</v>
      </c>
    </row>
    <row r="52" spans="1:24" x14ac:dyDescent="0.25">
      <c r="A52" s="1" t="s">
        <v>1024</v>
      </c>
      <c r="B52" t="str">
        <f>IFERROR(VLOOKUP(Master8[[#This Row],[Cell_ID]],Registre_Maintenance[],2,FALSE),"")</f>
        <v>Tanganyika</v>
      </c>
      <c r="C52" s="1" t="s">
        <v>1043</v>
      </c>
      <c r="D52" s="2">
        <v>45202.779166666667</v>
      </c>
      <c r="E52" s="3">
        <v>45202.779166666667</v>
      </c>
      <c r="F52">
        <v>61</v>
      </c>
      <c r="G52">
        <f>Master8[[#This Row],[Duree_Panne_Min]]/60</f>
        <v>1.0166666666666666</v>
      </c>
      <c r="H52" s="1" t="s">
        <v>737</v>
      </c>
      <c r="I52">
        <f>IFERROR(VLOOKUP(Master8[[#This Row],[Cell_ID]],Registre_Maintenance[],3,FALSE),"")</f>
        <v>-12.229338</v>
      </c>
      <c r="J52">
        <f>IFERROR(VLOOKUP(Master8[[#This Row],[Cell_ID]],Registre_Maintenance[],4,FALSE),"")</f>
        <v>29.587834999999998</v>
      </c>
      <c r="K52" t="str">
        <f>IFERROR(VLOOKUP(Master8[[#This Row],[Cell_ID]],Registre_Maintenance[],5,FALSE),"")</f>
        <v>4G</v>
      </c>
      <c r="L52" t="str">
        <f>IFERROR(VLOOKUP(Master8[[#This Row],[Cell_ID]],Registre_Maintenance[],6,FALSE),"")</f>
        <v>Nokia</v>
      </c>
      <c r="M52" s="1" t="str">
        <f>VLOOKUP(Master8[[#This Row],[Province_RDC]],Client[],2,FALSE)</f>
        <v>CLI-01618</v>
      </c>
      <c r="N52" s="1">
        <f>VLOOKUP(Master8[[#This Row],[Province_RDC]],Client[],3,FALSE)</f>
        <v>115</v>
      </c>
      <c r="O52" s="1" t="str">
        <f>VLOOKUP(Master8[[#This Row],[Province_RDC]],Client[],4,FALSE)</f>
        <v>Bloqué 5Go</v>
      </c>
      <c r="P52" s="1">
        <f>VLOOKUP(Master8[[#This Row],[Province_RDC]],Client[],5,FALSE)</f>
        <v>176</v>
      </c>
      <c r="Q52" s="1">
        <f>VLOOKUP(Master8[[#This Row],[Province_RDC]],Client[],6,FALSE)</f>
        <v>33.28</v>
      </c>
      <c r="R52" s="1">
        <f>VLOOKUP(Master8[[#This Row],[Province_RDC]],Client[],7,FALSE)</f>
        <v>4</v>
      </c>
      <c r="S52" s="1" t="str">
        <f>IF(Master8[[#This Row],[Type_Forfait]]="Pro Monde","B2B","B2C")</f>
        <v>B2C</v>
      </c>
      <c r="T52" s="1">
        <f>Master8[[#This Row],[Anciennete_Mois]]/12</f>
        <v>9.5833333333333339</v>
      </c>
      <c r="U52" s="1">
        <f>Master8[[#This Row],[Duree_Cumule_Panne_Min]]/60</f>
        <v>2.9333333333333331</v>
      </c>
      <c r="V5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5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52" s="6">
        <f>Master8[[#This Row],[Facture_Mensuelle]]*Master8[[#This Row],[Remise]]</f>
        <v>0</v>
      </c>
    </row>
    <row r="53" spans="1:24" x14ac:dyDescent="0.25">
      <c r="A53" s="1" t="s">
        <v>978</v>
      </c>
      <c r="B53" t="str">
        <f>IFERROR(VLOOKUP(Master8[[#This Row],[Cell_ID]],Registre_Maintenance[],2,FALSE),"")</f>
        <v>Tanganyika</v>
      </c>
      <c r="C53" s="1" t="s">
        <v>993</v>
      </c>
      <c r="D53" s="2">
        <v>45202.717361111107</v>
      </c>
      <c r="E53" s="3">
        <v>45202.717361111107</v>
      </c>
      <c r="F53">
        <v>115</v>
      </c>
      <c r="G53">
        <f>Master8[[#This Row],[Duree_Panne_Min]]/60</f>
        <v>1.9166666666666667</v>
      </c>
      <c r="H53" s="1" t="s">
        <v>737</v>
      </c>
      <c r="I53">
        <f>IFERROR(VLOOKUP(Master8[[#This Row],[Cell_ID]],Registre_Maintenance[],3,FALSE),"")</f>
        <v>-1.5936220000000001</v>
      </c>
      <c r="J53">
        <f>IFERROR(VLOOKUP(Master8[[#This Row],[Cell_ID]],Registre_Maintenance[],4,FALSE),"")</f>
        <v>14.928856</v>
      </c>
      <c r="K53" t="str">
        <f>IFERROR(VLOOKUP(Master8[[#This Row],[Cell_ID]],Registre_Maintenance[],5,FALSE),"")</f>
        <v>5G</v>
      </c>
      <c r="L53" t="str">
        <f>IFERROR(VLOOKUP(Master8[[#This Row],[Cell_ID]],Registre_Maintenance[],6,FALSE),"")</f>
        <v>Ericsson</v>
      </c>
      <c r="M53" s="1" t="str">
        <f>VLOOKUP(Master8[[#This Row],[Province_RDC]],Client[],2,FALSE)</f>
        <v>CLI-01618</v>
      </c>
      <c r="N53" s="1">
        <f>VLOOKUP(Master8[[#This Row],[Province_RDC]],Client[],3,FALSE)</f>
        <v>115</v>
      </c>
      <c r="O53" s="1" t="str">
        <f>VLOOKUP(Master8[[#This Row],[Province_RDC]],Client[],4,FALSE)</f>
        <v>Bloqué 5Go</v>
      </c>
      <c r="P53" s="1">
        <f>VLOOKUP(Master8[[#This Row],[Province_RDC]],Client[],5,FALSE)</f>
        <v>176</v>
      </c>
      <c r="Q53" s="1">
        <f>VLOOKUP(Master8[[#This Row],[Province_RDC]],Client[],6,FALSE)</f>
        <v>33.28</v>
      </c>
      <c r="R53" s="1">
        <f>VLOOKUP(Master8[[#This Row],[Province_RDC]],Client[],7,FALSE)</f>
        <v>4</v>
      </c>
      <c r="S53" s="1" t="str">
        <f>IF(Master8[[#This Row],[Type_Forfait]]="Pro Monde","B2B","B2C")</f>
        <v>B2C</v>
      </c>
      <c r="T53" s="1">
        <f>Master8[[#This Row],[Anciennete_Mois]]/12</f>
        <v>9.5833333333333339</v>
      </c>
      <c r="U53" s="1">
        <f>Master8[[#This Row],[Duree_Cumule_Panne_Min]]/60</f>
        <v>2.9333333333333331</v>
      </c>
      <c r="V5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5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53" s="6">
        <f>Master8[[#This Row],[Facture_Mensuelle]]*Master8[[#This Row],[Remise]]</f>
        <v>0</v>
      </c>
    </row>
    <row r="54" spans="1:24" x14ac:dyDescent="0.25">
      <c r="A54" s="1" t="s">
        <v>1308</v>
      </c>
      <c r="B54" t="str">
        <f>IFERROR(VLOOKUP(Master8[[#This Row],[Cell_ID]],Registre_Maintenance[],2,FALSE),"")</f>
        <v>Sud-Ubangi</v>
      </c>
      <c r="C54" s="1" t="s">
        <v>1188</v>
      </c>
      <c r="D54" s="2">
        <v>45227.751388888893</v>
      </c>
      <c r="E54" s="3">
        <v>45227.751388888893</v>
      </c>
      <c r="F54">
        <v>42</v>
      </c>
      <c r="G54">
        <f>Master8[[#This Row],[Duree_Panne_Min]]/60</f>
        <v>0.7</v>
      </c>
      <c r="H54" s="1" t="s">
        <v>732</v>
      </c>
      <c r="I54">
        <f>IFERROR(VLOOKUP(Master8[[#This Row],[Cell_ID]],Registre_Maintenance[],3,FALSE),"")</f>
        <v>-12.050063</v>
      </c>
      <c r="J54">
        <f>IFERROR(VLOOKUP(Master8[[#This Row],[Cell_ID]],Registre_Maintenance[],4,FALSE),"")</f>
        <v>26.636987999999999</v>
      </c>
      <c r="K54" t="str">
        <f>IFERROR(VLOOKUP(Master8[[#This Row],[Cell_ID]],Registre_Maintenance[],5,FALSE),"")</f>
        <v>3G</v>
      </c>
      <c r="L54" t="str">
        <f>IFERROR(VLOOKUP(Master8[[#This Row],[Cell_ID]],Registre_Maintenance[],6,FALSE),"")</f>
        <v>Nokia</v>
      </c>
      <c r="M54" s="1" t="str">
        <f>VLOOKUP(Master8[[#This Row],[Province_RDC]],Client[],2,FALSE)</f>
        <v>CLI-00280</v>
      </c>
      <c r="N54" s="1">
        <f>VLOOKUP(Master8[[#This Row],[Province_RDC]],Client[],3,FALSE)</f>
        <v>113</v>
      </c>
      <c r="O54" s="1" t="str">
        <f>VLOOKUP(Master8[[#This Row],[Province_RDC]],Client[],4,FALSE)</f>
        <v>Illimité 50Go</v>
      </c>
      <c r="P54" s="1">
        <f>VLOOKUP(Master8[[#This Row],[Province_RDC]],Client[],5,FALSE)</f>
        <v>380</v>
      </c>
      <c r="Q54" s="1">
        <f>VLOOKUP(Master8[[#This Row],[Province_RDC]],Client[],6,FALSE)</f>
        <v>12.11</v>
      </c>
      <c r="R54" s="1">
        <f>VLOOKUP(Master8[[#This Row],[Province_RDC]],Client[],7,FALSE)</f>
        <v>0</v>
      </c>
      <c r="S54" s="1" t="str">
        <f>IF(Master8[[#This Row],[Type_Forfait]]="Pro Monde","B2B","B2C")</f>
        <v>B2C</v>
      </c>
      <c r="T54" s="1">
        <f>Master8[[#This Row],[Anciennete_Mois]]/12</f>
        <v>9.4166666666666661</v>
      </c>
      <c r="U54" s="1">
        <f>Master8[[#This Row],[Duree_Cumule_Panne_Min]]/60</f>
        <v>6.333333333333333</v>
      </c>
      <c r="V5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4" s="6">
        <f>Master8[[#This Row],[Facture_Mensuelle]]*Master8[[#This Row],[Remise]]</f>
        <v>5.4494999999999996</v>
      </c>
    </row>
    <row r="55" spans="1:24" x14ac:dyDescent="0.25">
      <c r="A55" s="1" t="s">
        <v>779</v>
      </c>
      <c r="B55" t="str">
        <f>IFERROR(VLOOKUP(Master8[[#This Row],[Cell_ID]],Registre_Maintenance[],2,FALSE),"")</f>
        <v>Sud-Ubangi</v>
      </c>
      <c r="C55" s="1" t="s">
        <v>810</v>
      </c>
      <c r="D55" s="2">
        <v>45227.309027777781</v>
      </c>
      <c r="E55" s="3">
        <v>45227.309027777781</v>
      </c>
      <c r="F55">
        <v>118</v>
      </c>
      <c r="G55">
        <f>Master8[[#This Row],[Duree_Panne_Min]]/60</f>
        <v>1.9666666666666666</v>
      </c>
      <c r="H55" s="1" t="s">
        <v>737</v>
      </c>
      <c r="I55">
        <f>IFERROR(VLOOKUP(Master8[[#This Row],[Cell_ID]],Registre_Maintenance[],3,FALSE),"")</f>
        <v>-10.914952</v>
      </c>
      <c r="J55">
        <f>IFERROR(VLOOKUP(Master8[[#This Row],[Cell_ID]],Registre_Maintenance[],4,FALSE),"")</f>
        <v>26.409648000000001</v>
      </c>
      <c r="K55" t="str">
        <f>IFERROR(VLOOKUP(Master8[[#This Row],[Cell_ID]],Registre_Maintenance[],5,FALSE),"")</f>
        <v>4G</v>
      </c>
      <c r="L55" t="str">
        <f>IFERROR(VLOOKUP(Master8[[#This Row],[Cell_ID]],Registre_Maintenance[],6,FALSE),"")</f>
        <v>Huawei</v>
      </c>
      <c r="M55" s="1" t="str">
        <f>VLOOKUP(Master8[[#This Row],[Province_RDC]],Client[],2,FALSE)</f>
        <v>CLI-00280</v>
      </c>
      <c r="N55" s="1">
        <f>VLOOKUP(Master8[[#This Row],[Province_RDC]],Client[],3,FALSE)</f>
        <v>113</v>
      </c>
      <c r="O55" s="1" t="str">
        <f>VLOOKUP(Master8[[#This Row],[Province_RDC]],Client[],4,FALSE)</f>
        <v>Illimité 50Go</v>
      </c>
      <c r="P55" s="1">
        <f>VLOOKUP(Master8[[#This Row],[Province_RDC]],Client[],5,FALSE)</f>
        <v>380</v>
      </c>
      <c r="Q55" s="1">
        <f>VLOOKUP(Master8[[#This Row],[Province_RDC]],Client[],6,FALSE)</f>
        <v>12.11</v>
      </c>
      <c r="R55" s="1">
        <f>VLOOKUP(Master8[[#This Row],[Province_RDC]],Client[],7,FALSE)</f>
        <v>0</v>
      </c>
      <c r="S55" s="1" t="str">
        <f>IF(Master8[[#This Row],[Type_Forfait]]="Pro Monde","B2B","B2C")</f>
        <v>B2C</v>
      </c>
      <c r="T55" s="1">
        <f>Master8[[#This Row],[Anciennete_Mois]]/12</f>
        <v>9.4166666666666661</v>
      </c>
      <c r="U55" s="1">
        <f>Master8[[#This Row],[Duree_Cumule_Panne_Min]]/60</f>
        <v>6.333333333333333</v>
      </c>
      <c r="V5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5" s="6">
        <f>Master8[[#This Row],[Facture_Mensuelle]]*Master8[[#This Row],[Remise]]</f>
        <v>5.4494999999999996</v>
      </c>
    </row>
    <row r="56" spans="1:24" x14ac:dyDescent="0.25">
      <c r="A56" s="1" t="s">
        <v>1086</v>
      </c>
      <c r="B56" t="str">
        <f>IFERROR(VLOOKUP(Master8[[#This Row],[Cell_ID]],Registre_Maintenance[],2,FALSE),"")</f>
        <v>Sud-Ubangi</v>
      </c>
      <c r="C56" s="1" t="s">
        <v>1092</v>
      </c>
      <c r="D56" s="2">
        <v>45225.625694444447</v>
      </c>
      <c r="E56" s="3">
        <v>45225.625694444447</v>
      </c>
      <c r="F56">
        <v>108</v>
      </c>
      <c r="G56">
        <f>Master8[[#This Row],[Duree_Panne_Min]]/60</f>
        <v>1.8</v>
      </c>
      <c r="H56" s="1" t="s">
        <v>737</v>
      </c>
      <c r="I56">
        <f>IFERROR(VLOOKUP(Master8[[#This Row],[Cell_ID]],Registre_Maintenance[],3,FALSE),"")</f>
        <v>-10.611184</v>
      </c>
      <c r="J56">
        <f>IFERROR(VLOOKUP(Master8[[#This Row],[Cell_ID]],Registre_Maintenance[],4,FALSE),"")</f>
        <v>23.022268</v>
      </c>
      <c r="K56" t="str">
        <f>IFERROR(VLOOKUP(Master8[[#This Row],[Cell_ID]],Registre_Maintenance[],5,FALSE),"")</f>
        <v>5G</v>
      </c>
      <c r="L56" t="str">
        <f>IFERROR(VLOOKUP(Master8[[#This Row],[Cell_ID]],Registre_Maintenance[],6,FALSE),"")</f>
        <v>ZTE</v>
      </c>
      <c r="M56" s="1" t="str">
        <f>VLOOKUP(Master8[[#This Row],[Province_RDC]],Client[],2,FALSE)</f>
        <v>CLI-00280</v>
      </c>
      <c r="N56" s="1">
        <f>VLOOKUP(Master8[[#This Row],[Province_RDC]],Client[],3,FALSE)</f>
        <v>113</v>
      </c>
      <c r="O56" s="1" t="str">
        <f>VLOOKUP(Master8[[#This Row],[Province_RDC]],Client[],4,FALSE)</f>
        <v>Illimité 50Go</v>
      </c>
      <c r="P56" s="1">
        <f>VLOOKUP(Master8[[#This Row],[Province_RDC]],Client[],5,FALSE)</f>
        <v>380</v>
      </c>
      <c r="Q56" s="1">
        <f>VLOOKUP(Master8[[#This Row],[Province_RDC]],Client[],6,FALSE)</f>
        <v>12.11</v>
      </c>
      <c r="R56" s="1">
        <f>VLOOKUP(Master8[[#This Row],[Province_RDC]],Client[],7,FALSE)</f>
        <v>0</v>
      </c>
      <c r="S56" s="1" t="str">
        <f>IF(Master8[[#This Row],[Type_Forfait]]="Pro Monde","B2B","B2C")</f>
        <v>B2C</v>
      </c>
      <c r="T56" s="1">
        <f>Master8[[#This Row],[Anciennete_Mois]]/12</f>
        <v>9.4166666666666661</v>
      </c>
      <c r="U56" s="1">
        <f>Master8[[#This Row],[Duree_Cumule_Panne_Min]]/60</f>
        <v>6.333333333333333</v>
      </c>
      <c r="V5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6" s="6">
        <f>Master8[[#This Row],[Facture_Mensuelle]]*Master8[[#This Row],[Remise]]</f>
        <v>5.4494999999999996</v>
      </c>
    </row>
    <row r="57" spans="1:24" x14ac:dyDescent="0.25">
      <c r="A57" s="1" t="s">
        <v>1165</v>
      </c>
      <c r="B57" t="str">
        <f>IFERROR(VLOOKUP(Master8[[#This Row],[Cell_ID]],Registre_Maintenance[],2,FALSE),"")</f>
        <v>Sud-Ubangi</v>
      </c>
      <c r="C57" s="1" t="s">
        <v>1188</v>
      </c>
      <c r="D57" s="2">
        <v>45223.554166666669</v>
      </c>
      <c r="E57" s="3">
        <v>45223.554166666669</v>
      </c>
      <c r="F57">
        <v>86</v>
      </c>
      <c r="G57">
        <f>Master8[[#This Row],[Duree_Panne_Min]]/60</f>
        <v>1.4333333333333333</v>
      </c>
      <c r="H57" s="1" t="s">
        <v>735</v>
      </c>
      <c r="I57">
        <f>IFERROR(VLOOKUP(Master8[[#This Row],[Cell_ID]],Registre_Maintenance[],3,FALSE),"")</f>
        <v>-12.050063</v>
      </c>
      <c r="J57">
        <f>IFERROR(VLOOKUP(Master8[[#This Row],[Cell_ID]],Registre_Maintenance[],4,FALSE),"")</f>
        <v>26.636987999999999</v>
      </c>
      <c r="K57" t="str">
        <f>IFERROR(VLOOKUP(Master8[[#This Row],[Cell_ID]],Registre_Maintenance[],5,FALSE),"")</f>
        <v>3G</v>
      </c>
      <c r="L57" t="str">
        <f>IFERROR(VLOOKUP(Master8[[#This Row],[Cell_ID]],Registre_Maintenance[],6,FALSE),"")</f>
        <v>Nokia</v>
      </c>
      <c r="M57" s="1" t="str">
        <f>VLOOKUP(Master8[[#This Row],[Province_RDC]],Client[],2,FALSE)</f>
        <v>CLI-00280</v>
      </c>
      <c r="N57" s="1">
        <f>VLOOKUP(Master8[[#This Row],[Province_RDC]],Client[],3,FALSE)</f>
        <v>113</v>
      </c>
      <c r="O57" s="1" t="str">
        <f>VLOOKUP(Master8[[#This Row],[Province_RDC]],Client[],4,FALSE)</f>
        <v>Illimité 50Go</v>
      </c>
      <c r="P57" s="1">
        <f>VLOOKUP(Master8[[#This Row],[Province_RDC]],Client[],5,FALSE)</f>
        <v>380</v>
      </c>
      <c r="Q57" s="1">
        <f>VLOOKUP(Master8[[#This Row],[Province_RDC]],Client[],6,FALSE)</f>
        <v>12.11</v>
      </c>
      <c r="R57" s="1">
        <f>VLOOKUP(Master8[[#This Row],[Province_RDC]],Client[],7,FALSE)</f>
        <v>0</v>
      </c>
      <c r="S57" s="1" t="str">
        <f>IF(Master8[[#This Row],[Type_Forfait]]="Pro Monde","B2B","B2C")</f>
        <v>B2C</v>
      </c>
      <c r="T57" s="1">
        <f>Master8[[#This Row],[Anciennete_Mois]]/12</f>
        <v>9.4166666666666661</v>
      </c>
      <c r="U57" s="1">
        <f>Master8[[#This Row],[Duree_Cumule_Panne_Min]]/60</f>
        <v>6.333333333333333</v>
      </c>
      <c r="V5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7" s="6">
        <f>Master8[[#This Row],[Facture_Mensuelle]]*Master8[[#This Row],[Remise]]</f>
        <v>5.4494999999999996</v>
      </c>
    </row>
    <row r="58" spans="1:24" x14ac:dyDescent="0.25">
      <c r="A58" s="1" t="s">
        <v>1138</v>
      </c>
      <c r="B58" t="str">
        <f>IFERROR(VLOOKUP(Master8[[#This Row],[Cell_ID]],Registre_Maintenance[],2,FALSE),"")</f>
        <v>Sud-Ubangi</v>
      </c>
      <c r="C58" s="1" t="s">
        <v>820</v>
      </c>
      <c r="D58" s="2">
        <v>45220.488888888889</v>
      </c>
      <c r="E58" s="3">
        <v>45220.488888888889</v>
      </c>
      <c r="F58">
        <v>49</v>
      </c>
      <c r="G58">
        <f>Master8[[#This Row],[Duree_Panne_Min]]/60</f>
        <v>0.81666666666666665</v>
      </c>
      <c r="H58" s="1" t="s">
        <v>737</v>
      </c>
      <c r="I58">
        <f>IFERROR(VLOOKUP(Master8[[#This Row],[Cell_ID]],Registre_Maintenance[],3,FALSE),"")</f>
        <v>-9.3652239999999995</v>
      </c>
      <c r="J58">
        <f>IFERROR(VLOOKUP(Master8[[#This Row],[Cell_ID]],Registre_Maintenance[],4,FALSE),"")</f>
        <v>22.593423999999999</v>
      </c>
      <c r="K58" t="str">
        <f>IFERROR(VLOOKUP(Master8[[#This Row],[Cell_ID]],Registre_Maintenance[],5,FALSE),"")</f>
        <v>5G</v>
      </c>
      <c r="L58" t="str">
        <f>IFERROR(VLOOKUP(Master8[[#This Row],[Cell_ID]],Registre_Maintenance[],6,FALSE),"")</f>
        <v>Nokia</v>
      </c>
      <c r="M58" s="1" t="str">
        <f>VLOOKUP(Master8[[#This Row],[Province_RDC]],Client[],2,FALSE)</f>
        <v>CLI-00280</v>
      </c>
      <c r="N58" s="1">
        <f>VLOOKUP(Master8[[#This Row],[Province_RDC]],Client[],3,FALSE)</f>
        <v>113</v>
      </c>
      <c r="O58" s="1" t="str">
        <f>VLOOKUP(Master8[[#This Row],[Province_RDC]],Client[],4,FALSE)</f>
        <v>Illimité 50Go</v>
      </c>
      <c r="P58" s="1">
        <f>VLOOKUP(Master8[[#This Row],[Province_RDC]],Client[],5,FALSE)</f>
        <v>380</v>
      </c>
      <c r="Q58" s="1">
        <f>VLOOKUP(Master8[[#This Row],[Province_RDC]],Client[],6,FALSE)</f>
        <v>12.11</v>
      </c>
      <c r="R58" s="1">
        <f>VLOOKUP(Master8[[#This Row],[Province_RDC]],Client[],7,FALSE)</f>
        <v>0</v>
      </c>
      <c r="S58" s="1" t="str">
        <f>IF(Master8[[#This Row],[Type_Forfait]]="Pro Monde","B2B","B2C")</f>
        <v>B2C</v>
      </c>
      <c r="T58" s="1">
        <f>Master8[[#This Row],[Anciennete_Mois]]/12</f>
        <v>9.4166666666666661</v>
      </c>
      <c r="U58" s="1">
        <f>Master8[[#This Row],[Duree_Cumule_Panne_Min]]/60</f>
        <v>6.333333333333333</v>
      </c>
      <c r="V5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8" s="6">
        <f>Master8[[#This Row],[Facture_Mensuelle]]*Master8[[#This Row],[Remise]]</f>
        <v>5.4494999999999996</v>
      </c>
    </row>
    <row r="59" spans="1:24" x14ac:dyDescent="0.25">
      <c r="A59" s="1" t="s">
        <v>1382</v>
      </c>
      <c r="B59" t="str">
        <f>IFERROR(VLOOKUP(Master8[[#This Row],[Cell_ID]],Registre_Maintenance[],2,FALSE),"")</f>
        <v>Sud-Ubangi</v>
      </c>
      <c r="C59" s="1" t="s">
        <v>1388</v>
      </c>
      <c r="D59" s="2">
        <v>45219.438888888893</v>
      </c>
      <c r="E59" s="3">
        <v>45219.438888888893</v>
      </c>
      <c r="F59">
        <v>105</v>
      </c>
      <c r="G59">
        <f>Master8[[#This Row],[Duree_Panne_Min]]/60</f>
        <v>1.75</v>
      </c>
      <c r="H59" s="1" t="s">
        <v>735</v>
      </c>
      <c r="I59">
        <f>IFERROR(VLOOKUP(Master8[[#This Row],[Cell_ID]],Registre_Maintenance[],3,FALSE),"")</f>
        <v>-0.54908599999999996</v>
      </c>
      <c r="J59">
        <f>IFERROR(VLOOKUP(Master8[[#This Row],[Cell_ID]],Registre_Maintenance[],4,FALSE),"")</f>
        <v>14.816867</v>
      </c>
      <c r="K59" t="str">
        <f>IFERROR(VLOOKUP(Master8[[#This Row],[Cell_ID]],Registre_Maintenance[],5,FALSE),"")</f>
        <v>5G</v>
      </c>
      <c r="L59" t="str">
        <f>IFERROR(VLOOKUP(Master8[[#This Row],[Cell_ID]],Registre_Maintenance[],6,FALSE),"")</f>
        <v>ZTE</v>
      </c>
      <c r="M59" s="1" t="str">
        <f>VLOOKUP(Master8[[#This Row],[Province_RDC]],Client[],2,FALSE)</f>
        <v>CLI-00280</v>
      </c>
      <c r="N59" s="1">
        <f>VLOOKUP(Master8[[#This Row],[Province_RDC]],Client[],3,FALSE)</f>
        <v>113</v>
      </c>
      <c r="O59" s="1" t="str">
        <f>VLOOKUP(Master8[[#This Row],[Province_RDC]],Client[],4,FALSE)</f>
        <v>Illimité 50Go</v>
      </c>
      <c r="P59" s="1">
        <f>VLOOKUP(Master8[[#This Row],[Province_RDC]],Client[],5,FALSE)</f>
        <v>380</v>
      </c>
      <c r="Q59" s="1">
        <f>VLOOKUP(Master8[[#This Row],[Province_RDC]],Client[],6,FALSE)</f>
        <v>12.11</v>
      </c>
      <c r="R59" s="1">
        <f>VLOOKUP(Master8[[#This Row],[Province_RDC]],Client[],7,FALSE)</f>
        <v>0</v>
      </c>
      <c r="S59" s="1" t="str">
        <f>IF(Master8[[#This Row],[Type_Forfait]]="Pro Monde","B2B","B2C")</f>
        <v>B2C</v>
      </c>
      <c r="T59" s="1">
        <f>Master8[[#This Row],[Anciennete_Mois]]/12</f>
        <v>9.4166666666666661</v>
      </c>
      <c r="U59" s="1">
        <f>Master8[[#This Row],[Duree_Cumule_Panne_Min]]/60</f>
        <v>6.333333333333333</v>
      </c>
      <c r="V5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5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59" s="6">
        <f>Master8[[#This Row],[Facture_Mensuelle]]*Master8[[#This Row],[Remise]]</f>
        <v>5.4494999999999996</v>
      </c>
    </row>
    <row r="60" spans="1:24" x14ac:dyDescent="0.25">
      <c r="A60" s="1" t="s">
        <v>939</v>
      </c>
      <c r="B60" t="str">
        <f>IFERROR(VLOOKUP(Master8[[#This Row],[Cell_ID]],Registre_Maintenance[],2,FALSE),"")</f>
        <v>Sud-Ubangi</v>
      </c>
      <c r="C60" s="1" t="s">
        <v>810</v>
      </c>
      <c r="D60" s="2">
        <v>45216.76458333333</v>
      </c>
      <c r="E60" s="3">
        <v>45216.76458333333</v>
      </c>
      <c r="F60">
        <v>53</v>
      </c>
      <c r="G60">
        <f>Master8[[#This Row],[Duree_Panne_Min]]/60</f>
        <v>0.8833333333333333</v>
      </c>
      <c r="H60" s="1" t="s">
        <v>735</v>
      </c>
      <c r="I60">
        <f>IFERROR(VLOOKUP(Master8[[#This Row],[Cell_ID]],Registre_Maintenance[],3,FALSE),"")</f>
        <v>-10.914952</v>
      </c>
      <c r="J60">
        <f>IFERROR(VLOOKUP(Master8[[#This Row],[Cell_ID]],Registre_Maintenance[],4,FALSE),"")</f>
        <v>26.409648000000001</v>
      </c>
      <c r="K60" t="str">
        <f>IFERROR(VLOOKUP(Master8[[#This Row],[Cell_ID]],Registre_Maintenance[],5,FALSE),"")</f>
        <v>4G</v>
      </c>
      <c r="L60" t="str">
        <f>IFERROR(VLOOKUP(Master8[[#This Row],[Cell_ID]],Registre_Maintenance[],6,FALSE),"")</f>
        <v>Huawei</v>
      </c>
      <c r="M60" s="1" t="str">
        <f>VLOOKUP(Master8[[#This Row],[Province_RDC]],Client[],2,FALSE)</f>
        <v>CLI-00280</v>
      </c>
      <c r="N60" s="1">
        <f>VLOOKUP(Master8[[#This Row],[Province_RDC]],Client[],3,FALSE)</f>
        <v>113</v>
      </c>
      <c r="O60" s="1" t="str">
        <f>VLOOKUP(Master8[[#This Row],[Province_RDC]],Client[],4,FALSE)</f>
        <v>Illimité 50Go</v>
      </c>
      <c r="P60" s="1">
        <f>VLOOKUP(Master8[[#This Row],[Province_RDC]],Client[],5,FALSE)</f>
        <v>380</v>
      </c>
      <c r="Q60" s="1">
        <f>VLOOKUP(Master8[[#This Row],[Province_RDC]],Client[],6,FALSE)</f>
        <v>12.11</v>
      </c>
      <c r="R60" s="1">
        <f>VLOOKUP(Master8[[#This Row],[Province_RDC]],Client[],7,FALSE)</f>
        <v>0</v>
      </c>
      <c r="S60" s="1" t="str">
        <f>IF(Master8[[#This Row],[Type_Forfait]]="Pro Monde","B2B","B2C")</f>
        <v>B2C</v>
      </c>
      <c r="T60" s="1">
        <f>Master8[[#This Row],[Anciennete_Mois]]/12</f>
        <v>9.4166666666666661</v>
      </c>
      <c r="U60" s="1">
        <f>Master8[[#This Row],[Duree_Cumule_Panne_Min]]/60</f>
        <v>6.333333333333333</v>
      </c>
      <c r="V6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0" s="6">
        <f>Master8[[#This Row],[Facture_Mensuelle]]*Master8[[#This Row],[Remise]]</f>
        <v>5.4494999999999996</v>
      </c>
    </row>
    <row r="61" spans="1:24" x14ac:dyDescent="0.25">
      <c r="A61" s="1" t="s">
        <v>779</v>
      </c>
      <c r="B61" t="str">
        <f>IFERROR(VLOOKUP(Master8[[#This Row],[Cell_ID]],Registre_Maintenance[],2,FALSE),"")</f>
        <v>Sud-Ubangi</v>
      </c>
      <c r="C61" s="1" t="s">
        <v>806</v>
      </c>
      <c r="D61" s="2">
        <v>45216.673611111109</v>
      </c>
      <c r="E61" s="3">
        <v>45216.673611111109</v>
      </c>
      <c r="F61">
        <v>117</v>
      </c>
      <c r="G61">
        <f>Master8[[#This Row],[Duree_Panne_Min]]/60</f>
        <v>1.95</v>
      </c>
      <c r="H61" s="1" t="s">
        <v>732</v>
      </c>
      <c r="I61">
        <f>IFERROR(VLOOKUP(Master8[[#This Row],[Cell_ID]],Registre_Maintenance[],3,FALSE),"")</f>
        <v>-12.141233</v>
      </c>
      <c r="J61">
        <f>IFERROR(VLOOKUP(Master8[[#This Row],[Cell_ID]],Registre_Maintenance[],4,FALSE),"")</f>
        <v>15.179043999999999</v>
      </c>
      <c r="K61" t="str">
        <f>IFERROR(VLOOKUP(Master8[[#This Row],[Cell_ID]],Registre_Maintenance[],5,FALSE),"")</f>
        <v>5G</v>
      </c>
      <c r="L61" t="str">
        <f>IFERROR(VLOOKUP(Master8[[#This Row],[Cell_ID]],Registre_Maintenance[],6,FALSE),"")</f>
        <v>Ericsson</v>
      </c>
      <c r="M61" s="1" t="str">
        <f>VLOOKUP(Master8[[#This Row],[Province_RDC]],Client[],2,FALSE)</f>
        <v>CLI-00280</v>
      </c>
      <c r="N61" s="1">
        <f>VLOOKUP(Master8[[#This Row],[Province_RDC]],Client[],3,FALSE)</f>
        <v>113</v>
      </c>
      <c r="O61" s="1" t="str">
        <f>VLOOKUP(Master8[[#This Row],[Province_RDC]],Client[],4,FALSE)</f>
        <v>Illimité 50Go</v>
      </c>
      <c r="P61" s="1">
        <f>VLOOKUP(Master8[[#This Row],[Province_RDC]],Client[],5,FALSE)</f>
        <v>380</v>
      </c>
      <c r="Q61" s="1">
        <f>VLOOKUP(Master8[[#This Row],[Province_RDC]],Client[],6,FALSE)</f>
        <v>12.11</v>
      </c>
      <c r="R61" s="1">
        <f>VLOOKUP(Master8[[#This Row],[Province_RDC]],Client[],7,FALSE)</f>
        <v>0</v>
      </c>
      <c r="S61" s="1" t="str">
        <f>IF(Master8[[#This Row],[Type_Forfait]]="Pro Monde","B2B","B2C")</f>
        <v>B2C</v>
      </c>
      <c r="T61" s="1">
        <f>Master8[[#This Row],[Anciennete_Mois]]/12</f>
        <v>9.4166666666666661</v>
      </c>
      <c r="U61" s="1">
        <f>Master8[[#This Row],[Duree_Cumule_Panne_Min]]/60</f>
        <v>6.333333333333333</v>
      </c>
      <c r="V6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1" s="6">
        <f>Master8[[#This Row],[Facture_Mensuelle]]*Master8[[#This Row],[Remise]]</f>
        <v>5.4494999999999996</v>
      </c>
    </row>
    <row r="62" spans="1:24" x14ac:dyDescent="0.25">
      <c r="A62" s="1" t="s">
        <v>1024</v>
      </c>
      <c r="B62" t="str">
        <f>IFERROR(VLOOKUP(Master8[[#This Row],[Cell_ID]],Registre_Maintenance[],2,FALSE),"")</f>
        <v>Sud-Ubangi</v>
      </c>
      <c r="C62" s="1" t="s">
        <v>810</v>
      </c>
      <c r="D62" s="2">
        <v>45214.774305555547</v>
      </c>
      <c r="E62" s="3">
        <v>45214.774305555547</v>
      </c>
      <c r="F62">
        <v>118</v>
      </c>
      <c r="G62">
        <f>Master8[[#This Row],[Duree_Panne_Min]]/60</f>
        <v>1.9666666666666666</v>
      </c>
      <c r="H62" s="1" t="s">
        <v>732</v>
      </c>
      <c r="I62">
        <f>IFERROR(VLOOKUP(Master8[[#This Row],[Cell_ID]],Registre_Maintenance[],3,FALSE),"")</f>
        <v>-10.914952</v>
      </c>
      <c r="J62">
        <f>IFERROR(VLOOKUP(Master8[[#This Row],[Cell_ID]],Registre_Maintenance[],4,FALSE),"")</f>
        <v>26.409648000000001</v>
      </c>
      <c r="K62" t="str">
        <f>IFERROR(VLOOKUP(Master8[[#This Row],[Cell_ID]],Registre_Maintenance[],5,FALSE),"")</f>
        <v>4G</v>
      </c>
      <c r="L62" t="str">
        <f>IFERROR(VLOOKUP(Master8[[#This Row],[Cell_ID]],Registre_Maintenance[],6,FALSE),"")</f>
        <v>Huawei</v>
      </c>
      <c r="M62" s="1" t="str">
        <f>VLOOKUP(Master8[[#This Row],[Province_RDC]],Client[],2,FALSE)</f>
        <v>CLI-00280</v>
      </c>
      <c r="N62" s="1">
        <f>VLOOKUP(Master8[[#This Row],[Province_RDC]],Client[],3,FALSE)</f>
        <v>113</v>
      </c>
      <c r="O62" s="1" t="str">
        <f>VLOOKUP(Master8[[#This Row],[Province_RDC]],Client[],4,FALSE)</f>
        <v>Illimité 50Go</v>
      </c>
      <c r="P62" s="1">
        <f>VLOOKUP(Master8[[#This Row],[Province_RDC]],Client[],5,FALSE)</f>
        <v>380</v>
      </c>
      <c r="Q62" s="1">
        <f>VLOOKUP(Master8[[#This Row],[Province_RDC]],Client[],6,FALSE)</f>
        <v>12.11</v>
      </c>
      <c r="R62" s="1">
        <f>VLOOKUP(Master8[[#This Row],[Province_RDC]],Client[],7,FALSE)</f>
        <v>0</v>
      </c>
      <c r="S62" s="1" t="str">
        <f>IF(Master8[[#This Row],[Type_Forfait]]="Pro Monde","B2B","B2C")</f>
        <v>B2C</v>
      </c>
      <c r="T62" s="1">
        <f>Master8[[#This Row],[Anciennete_Mois]]/12</f>
        <v>9.4166666666666661</v>
      </c>
      <c r="U62" s="1">
        <f>Master8[[#This Row],[Duree_Cumule_Panne_Min]]/60</f>
        <v>6.333333333333333</v>
      </c>
      <c r="V6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2" s="6">
        <f>Master8[[#This Row],[Facture_Mensuelle]]*Master8[[#This Row],[Remise]]</f>
        <v>5.4494999999999996</v>
      </c>
    </row>
    <row r="63" spans="1:24" x14ac:dyDescent="0.25">
      <c r="A63" s="1" t="s">
        <v>779</v>
      </c>
      <c r="B63" t="str">
        <f>IFERROR(VLOOKUP(Master8[[#This Row],[Cell_ID]],Registre_Maintenance[],2,FALSE),"")</f>
        <v>Sud-Ubangi</v>
      </c>
      <c r="C63" s="1" t="s">
        <v>820</v>
      </c>
      <c r="D63" s="2">
        <v>45214.457638888889</v>
      </c>
      <c r="E63" s="3">
        <v>45214.457638888889</v>
      </c>
      <c r="F63">
        <v>48</v>
      </c>
      <c r="G63">
        <f>Master8[[#This Row],[Duree_Panne_Min]]/60</f>
        <v>0.8</v>
      </c>
      <c r="H63" s="1" t="s">
        <v>737</v>
      </c>
      <c r="I63">
        <f>IFERROR(VLOOKUP(Master8[[#This Row],[Cell_ID]],Registre_Maintenance[],3,FALSE),"")</f>
        <v>-9.3652239999999995</v>
      </c>
      <c r="J63">
        <f>IFERROR(VLOOKUP(Master8[[#This Row],[Cell_ID]],Registre_Maintenance[],4,FALSE),"")</f>
        <v>22.593423999999999</v>
      </c>
      <c r="K63" t="str">
        <f>IFERROR(VLOOKUP(Master8[[#This Row],[Cell_ID]],Registre_Maintenance[],5,FALSE),"")</f>
        <v>5G</v>
      </c>
      <c r="L63" t="str">
        <f>IFERROR(VLOOKUP(Master8[[#This Row],[Cell_ID]],Registre_Maintenance[],6,FALSE),"")</f>
        <v>Nokia</v>
      </c>
      <c r="M63" s="1" t="str">
        <f>VLOOKUP(Master8[[#This Row],[Province_RDC]],Client[],2,FALSE)</f>
        <v>CLI-00280</v>
      </c>
      <c r="N63" s="1">
        <f>VLOOKUP(Master8[[#This Row],[Province_RDC]],Client[],3,FALSE)</f>
        <v>113</v>
      </c>
      <c r="O63" s="1" t="str">
        <f>VLOOKUP(Master8[[#This Row],[Province_RDC]],Client[],4,FALSE)</f>
        <v>Illimité 50Go</v>
      </c>
      <c r="P63" s="1">
        <f>VLOOKUP(Master8[[#This Row],[Province_RDC]],Client[],5,FALSE)</f>
        <v>380</v>
      </c>
      <c r="Q63" s="1">
        <f>VLOOKUP(Master8[[#This Row],[Province_RDC]],Client[],6,FALSE)</f>
        <v>12.11</v>
      </c>
      <c r="R63" s="1">
        <f>VLOOKUP(Master8[[#This Row],[Province_RDC]],Client[],7,FALSE)</f>
        <v>0</v>
      </c>
      <c r="S63" s="1" t="str">
        <f>IF(Master8[[#This Row],[Type_Forfait]]="Pro Monde","B2B","B2C")</f>
        <v>B2C</v>
      </c>
      <c r="T63" s="1">
        <f>Master8[[#This Row],[Anciennete_Mois]]/12</f>
        <v>9.4166666666666661</v>
      </c>
      <c r="U63" s="1">
        <f>Master8[[#This Row],[Duree_Cumule_Panne_Min]]/60</f>
        <v>6.333333333333333</v>
      </c>
      <c r="V6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3" s="6">
        <f>Master8[[#This Row],[Facture_Mensuelle]]*Master8[[#This Row],[Remise]]</f>
        <v>5.4494999999999996</v>
      </c>
    </row>
    <row r="64" spans="1:24" x14ac:dyDescent="0.25">
      <c r="A64" s="1" t="s">
        <v>1165</v>
      </c>
      <c r="B64" t="str">
        <f>IFERROR(VLOOKUP(Master8[[#This Row],[Cell_ID]],Registre_Maintenance[],2,FALSE),"")</f>
        <v>Sud-Ubangi</v>
      </c>
      <c r="C64" s="1" t="s">
        <v>1071</v>
      </c>
      <c r="D64" s="2">
        <v>45213.066666666673</v>
      </c>
      <c r="E64" s="3">
        <v>45213.066666666673</v>
      </c>
      <c r="F64">
        <v>63</v>
      </c>
      <c r="G64">
        <f>Master8[[#This Row],[Duree_Panne_Min]]/60</f>
        <v>1.05</v>
      </c>
      <c r="H64" s="1" t="s">
        <v>732</v>
      </c>
      <c r="I64">
        <f>IFERROR(VLOOKUP(Master8[[#This Row],[Cell_ID]],Registre_Maintenance[],3,FALSE),"")</f>
        <v>-11.387295999999999</v>
      </c>
      <c r="J64">
        <f>IFERROR(VLOOKUP(Master8[[#This Row],[Cell_ID]],Registre_Maintenance[],4,FALSE),"")</f>
        <v>19.384257999999999</v>
      </c>
      <c r="K64" t="str">
        <f>IFERROR(VLOOKUP(Master8[[#This Row],[Cell_ID]],Registre_Maintenance[],5,FALSE),"")</f>
        <v>3G</v>
      </c>
      <c r="L64" t="str">
        <f>IFERROR(VLOOKUP(Master8[[#This Row],[Cell_ID]],Registre_Maintenance[],6,FALSE),"")</f>
        <v>Huawei</v>
      </c>
      <c r="M64" s="1" t="str">
        <f>VLOOKUP(Master8[[#This Row],[Province_RDC]],Client[],2,FALSE)</f>
        <v>CLI-00280</v>
      </c>
      <c r="N64" s="1">
        <f>VLOOKUP(Master8[[#This Row],[Province_RDC]],Client[],3,FALSE)</f>
        <v>113</v>
      </c>
      <c r="O64" s="1" t="str">
        <f>VLOOKUP(Master8[[#This Row],[Province_RDC]],Client[],4,FALSE)</f>
        <v>Illimité 50Go</v>
      </c>
      <c r="P64" s="1">
        <f>VLOOKUP(Master8[[#This Row],[Province_RDC]],Client[],5,FALSE)</f>
        <v>380</v>
      </c>
      <c r="Q64" s="1">
        <f>VLOOKUP(Master8[[#This Row],[Province_RDC]],Client[],6,FALSE)</f>
        <v>12.11</v>
      </c>
      <c r="R64" s="1">
        <f>VLOOKUP(Master8[[#This Row],[Province_RDC]],Client[],7,FALSE)</f>
        <v>0</v>
      </c>
      <c r="S64" s="1" t="str">
        <f>IF(Master8[[#This Row],[Type_Forfait]]="Pro Monde","B2B","B2C")</f>
        <v>B2C</v>
      </c>
      <c r="T64" s="1">
        <f>Master8[[#This Row],[Anciennete_Mois]]/12</f>
        <v>9.4166666666666661</v>
      </c>
      <c r="U64" s="1">
        <f>Master8[[#This Row],[Duree_Cumule_Panne_Min]]/60</f>
        <v>6.333333333333333</v>
      </c>
      <c r="V6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4" s="6">
        <f>Master8[[#This Row],[Facture_Mensuelle]]*Master8[[#This Row],[Remise]]</f>
        <v>5.4494999999999996</v>
      </c>
    </row>
    <row r="65" spans="1:24" x14ac:dyDescent="0.25">
      <c r="A65" s="1" t="s">
        <v>1361</v>
      </c>
      <c r="B65" t="str">
        <f>IFERROR(VLOOKUP(Master8[[#This Row],[Cell_ID]],Registre_Maintenance[],2,FALSE),"")</f>
        <v>Sud-Ubangi</v>
      </c>
      <c r="C65" s="1" t="s">
        <v>941</v>
      </c>
      <c r="D65" s="2">
        <v>45211.904861111107</v>
      </c>
      <c r="E65" s="3">
        <v>45211.904861111107</v>
      </c>
      <c r="F65">
        <v>45</v>
      </c>
      <c r="G65">
        <f>Master8[[#This Row],[Duree_Panne_Min]]/60</f>
        <v>0.75</v>
      </c>
      <c r="H65" s="1" t="s">
        <v>737</v>
      </c>
      <c r="I65">
        <f>IFERROR(VLOOKUP(Master8[[#This Row],[Cell_ID]],Registre_Maintenance[],3,FALSE),"")</f>
        <v>-12.342053999999999</v>
      </c>
      <c r="J65">
        <f>IFERROR(VLOOKUP(Master8[[#This Row],[Cell_ID]],Registre_Maintenance[],4,FALSE),"")</f>
        <v>18.756862000000002</v>
      </c>
      <c r="K65" t="str">
        <f>IFERROR(VLOOKUP(Master8[[#This Row],[Cell_ID]],Registre_Maintenance[],5,FALSE),"")</f>
        <v>3G</v>
      </c>
      <c r="L65" t="str">
        <f>IFERROR(VLOOKUP(Master8[[#This Row],[Cell_ID]],Registre_Maintenance[],6,FALSE),"")</f>
        <v>Ericsson</v>
      </c>
      <c r="M65" s="1" t="str">
        <f>VLOOKUP(Master8[[#This Row],[Province_RDC]],Client[],2,FALSE)</f>
        <v>CLI-00280</v>
      </c>
      <c r="N65" s="1">
        <f>VLOOKUP(Master8[[#This Row],[Province_RDC]],Client[],3,FALSE)</f>
        <v>113</v>
      </c>
      <c r="O65" s="1" t="str">
        <f>VLOOKUP(Master8[[#This Row],[Province_RDC]],Client[],4,FALSE)</f>
        <v>Illimité 50Go</v>
      </c>
      <c r="P65" s="1">
        <f>VLOOKUP(Master8[[#This Row],[Province_RDC]],Client[],5,FALSE)</f>
        <v>380</v>
      </c>
      <c r="Q65" s="1">
        <f>VLOOKUP(Master8[[#This Row],[Province_RDC]],Client[],6,FALSE)</f>
        <v>12.11</v>
      </c>
      <c r="R65" s="1">
        <f>VLOOKUP(Master8[[#This Row],[Province_RDC]],Client[],7,FALSE)</f>
        <v>0</v>
      </c>
      <c r="S65" s="1" t="str">
        <f>IF(Master8[[#This Row],[Type_Forfait]]="Pro Monde","B2B","B2C")</f>
        <v>B2C</v>
      </c>
      <c r="T65" s="1">
        <f>Master8[[#This Row],[Anciennete_Mois]]/12</f>
        <v>9.4166666666666661</v>
      </c>
      <c r="U65" s="1">
        <f>Master8[[#This Row],[Duree_Cumule_Panne_Min]]/60</f>
        <v>6.333333333333333</v>
      </c>
      <c r="V6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5" s="6">
        <f>Master8[[#This Row],[Facture_Mensuelle]]*Master8[[#This Row],[Remise]]</f>
        <v>5.4494999999999996</v>
      </c>
    </row>
    <row r="66" spans="1:24" x14ac:dyDescent="0.25">
      <c r="A66" s="1" t="s">
        <v>1059</v>
      </c>
      <c r="B66" t="str">
        <f>IFERROR(VLOOKUP(Master8[[#This Row],[Cell_ID]],Registre_Maintenance[],2,FALSE),"")</f>
        <v>Sud-Ubangi</v>
      </c>
      <c r="C66" s="1" t="s">
        <v>1071</v>
      </c>
      <c r="D66" s="2">
        <v>45211.098611111112</v>
      </c>
      <c r="E66" s="3">
        <v>45211.098611111112</v>
      </c>
      <c r="F66">
        <v>59</v>
      </c>
      <c r="G66">
        <f>Master8[[#This Row],[Duree_Panne_Min]]/60</f>
        <v>0.98333333333333328</v>
      </c>
      <c r="H66" s="1" t="s">
        <v>737</v>
      </c>
      <c r="I66">
        <f>IFERROR(VLOOKUP(Master8[[#This Row],[Cell_ID]],Registre_Maintenance[],3,FALSE),"")</f>
        <v>-11.387295999999999</v>
      </c>
      <c r="J66">
        <f>IFERROR(VLOOKUP(Master8[[#This Row],[Cell_ID]],Registre_Maintenance[],4,FALSE),"")</f>
        <v>19.384257999999999</v>
      </c>
      <c r="K66" t="str">
        <f>IFERROR(VLOOKUP(Master8[[#This Row],[Cell_ID]],Registre_Maintenance[],5,FALSE),"")</f>
        <v>3G</v>
      </c>
      <c r="L66" t="str">
        <f>IFERROR(VLOOKUP(Master8[[#This Row],[Cell_ID]],Registre_Maintenance[],6,FALSE),"")</f>
        <v>Huawei</v>
      </c>
      <c r="M66" s="1" t="str">
        <f>VLOOKUP(Master8[[#This Row],[Province_RDC]],Client[],2,FALSE)</f>
        <v>CLI-00280</v>
      </c>
      <c r="N66" s="1">
        <f>VLOOKUP(Master8[[#This Row],[Province_RDC]],Client[],3,FALSE)</f>
        <v>113</v>
      </c>
      <c r="O66" s="1" t="str">
        <f>VLOOKUP(Master8[[#This Row],[Province_RDC]],Client[],4,FALSE)</f>
        <v>Illimité 50Go</v>
      </c>
      <c r="P66" s="1">
        <f>VLOOKUP(Master8[[#This Row],[Province_RDC]],Client[],5,FALSE)</f>
        <v>380</v>
      </c>
      <c r="Q66" s="1">
        <f>VLOOKUP(Master8[[#This Row],[Province_RDC]],Client[],6,FALSE)</f>
        <v>12.11</v>
      </c>
      <c r="R66" s="1">
        <f>VLOOKUP(Master8[[#This Row],[Province_RDC]],Client[],7,FALSE)</f>
        <v>0</v>
      </c>
      <c r="S66" s="1" t="str">
        <f>IF(Master8[[#This Row],[Type_Forfait]]="Pro Monde","B2B","B2C")</f>
        <v>B2C</v>
      </c>
      <c r="T66" s="1">
        <f>Master8[[#This Row],[Anciennete_Mois]]/12</f>
        <v>9.4166666666666661</v>
      </c>
      <c r="U66" s="1">
        <f>Master8[[#This Row],[Duree_Cumule_Panne_Min]]/60</f>
        <v>6.333333333333333</v>
      </c>
      <c r="V6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6" s="6">
        <f>Master8[[#This Row],[Facture_Mensuelle]]*Master8[[#This Row],[Remise]]</f>
        <v>5.4494999999999996</v>
      </c>
    </row>
    <row r="67" spans="1:24" x14ac:dyDescent="0.25">
      <c r="A67" s="1" t="s">
        <v>939</v>
      </c>
      <c r="B67" t="str">
        <f>IFERROR(VLOOKUP(Master8[[#This Row],[Cell_ID]],Registre_Maintenance[],2,FALSE),"")</f>
        <v>Sud-Ubangi</v>
      </c>
      <c r="C67" s="1" t="s">
        <v>941</v>
      </c>
      <c r="D67" s="2">
        <v>45210.280555555553</v>
      </c>
      <c r="E67" s="3">
        <v>45210.280555555553</v>
      </c>
      <c r="F67">
        <v>43</v>
      </c>
      <c r="G67">
        <f>Master8[[#This Row],[Duree_Panne_Min]]/60</f>
        <v>0.71666666666666667</v>
      </c>
      <c r="H67" s="1" t="s">
        <v>735</v>
      </c>
      <c r="I67">
        <f>IFERROR(VLOOKUP(Master8[[#This Row],[Cell_ID]],Registre_Maintenance[],3,FALSE),"")</f>
        <v>-12.342053999999999</v>
      </c>
      <c r="J67">
        <f>IFERROR(VLOOKUP(Master8[[#This Row],[Cell_ID]],Registre_Maintenance[],4,FALSE),"")</f>
        <v>18.756862000000002</v>
      </c>
      <c r="K67" t="str">
        <f>IFERROR(VLOOKUP(Master8[[#This Row],[Cell_ID]],Registre_Maintenance[],5,FALSE),"")</f>
        <v>3G</v>
      </c>
      <c r="L67" t="str">
        <f>IFERROR(VLOOKUP(Master8[[#This Row],[Cell_ID]],Registre_Maintenance[],6,FALSE),"")</f>
        <v>Ericsson</v>
      </c>
      <c r="M67" s="1" t="str">
        <f>VLOOKUP(Master8[[#This Row],[Province_RDC]],Client[],2,FALSE)</f>
        <v>CLI-00280</v>
      </c>
      <c r="N67" s="1">
        <f>VLOOKUP(Master8[[#This Row],[Province_RDC]],Client[],3,FALSE)</f>
        <v>113</v>
      </c>
      <c r="O67" s="1" t="str">
        <f>VLOOKUP(Master8[[#This Row],[Province_RDC]],Client[],4,FALSE)</f>
        <v>Illimité 50Go</v>
      </c>
      <c r="P67" s="1">
        <f>VLOOKUP(Master8[[#This Row],[Province_RDC]],Client[],5,FALSE)</f>
        <v>380</v>
      </c>
      <c r="Q67" s="1">
        <f>VLOOKUP(Master8[[#This Row],[Province_RDC]],Client[],6,FALSE)</f>
        <v>12.11</v>
      </c>
      <c r="R67" s="1">
        <f>VLOOKUP(Master8[[#This Row],[Province_RDC]],Client[],7,FALSE)</f>
        <v>0</v>
      </c>
      <c r="S67" s="1" t="str">
        <f>IF(Master8[[#This Row],[Type_Forfait]]="Pro Monde","B2B","B2C")</f>
        <v>B2C</v>
      </c>
      <c r="T67" s="1">
        <f>Master8[[#This Row],[Anciennete_Mois]]/12</f>
        <v>9.4166666666666661</v>
      </c>
      <c r="U67" s="1">
        <f>Master8[[#This Row],[Duree_Cumule_Panne_Min]]/60</f>
        <v>6.333333333333333</v>
      </c>
      <c r="V6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7" s="6">
        <f>Master8[[#This Row],[Facture_Mensuelle]]*Master8[[#This Row],[Remise]]</f>
        <v>5.4494999999999996</v>
      </c>
    </row>
    <row r="68" spans="1:24" x14ac:dyDescent="0.25">
      <c r="A68" s="1" t="s">
        <v>861</v>
      </c>
      <c r="B68" t="str">
        <f>IFERROR(VLOOKUP(Master8[[#This Row],[Cell_ID]],Registre_Maintenance[],2,FALSE),"")</f>
        <v>Sud-Ubangi</v>
      </c>
      <c r="C68" s="1" t="s">
        <v>893</v>
      </c>
      <c r="D68" s="2">
        <v>45209.901388888888</v>
      </c>
      <c r="E68" s="3">
        <v>45209.901388888888</v>
      </c>
      <c r="F68">
        <v>68</v>
      </c>
      <c r="G68">
        <f>Master8[[#This Row],[Duree_Panne_Min]]/60</f>
        <v>1.1333333333333333</v>
      </c>
      <c r="H68" s="1" t="s">
        <v>735</v>
      </c>
      <c r="I68">
        <f>IFERROR(VLOOKUP(Master8[[#This Row],[Cell_ID]],Registre_Maintenance[],3,FALSE),"")</f>
        <v>-8.3241560000000003</v>
      </c>
      <c r="J68">
        <f>IFERROR(VLOOKUP(Master8[[#This Row],[Cell_ID]],Registre_Maintenance[],4,FALSE),"")</f>
        <v>19.543866000000001</v>
      </c>
      <c r="K68" t="str">
        <f>IFERROR(VLOOKUP(Master8[[#This Row],[Cell_ID]],Registre_Maintenance[],5,FALSE),"")</f>
        <v>4G</v>
      </c>
      <c r="L68" t="str">
        <f>IFERROR(VLOOKUP(Master8[[#This Row],[Cell_ID]],Registre_Maintenance[],6,FALSE),"")</f>
        <v>ZTE</v>
      </c>
      <c r="M68" s="1" t="str">
        <f>VLOOKUP(Master8[[#This Row],[Province_RDC]],Client[],2,FALSE)</f>
        <v>CLI-00280</v>
      </c>
      <c r="N68" s="1">
        <f>VLOOKUP(Master8[[#This Row],[Province_RDC]],Client[],3,FALSE)</f>
        <v>113</v>
      </c>
      <c r="O68" s="1" t="str">
        <f>VLOOKUP(Master8[[#This Row],[Province_RDC]],Client[],4,FALSE)</f>
        <v>Illimité 50Go</v>
      </c>
      <c r="P68" s="1">
        <f>VLOOKUP(Master8[[#This Row],[Province_RDC]],Client[],5,FALSE)</f>
        <v>380</v>
      </c>
      <c r="Q68" s="1">
        <f>VLOOKUP(Master8[[#This Row],[Province_RDC]],Client[],6,FALSE)</f>
        <v>12.11</v>
      </c>
      <c r="R68" s="1">
        <f>VLOOKUP(Master8[[#This Row],[Province_RDC]],Client[],7,FALSE)</f>
        <v>0</v>
      </c>
      <c r="S68" s="1" t="str">
        <f>IF(Master8[[#This Row],[Type_Forfait]]="Pro Monde","B2B","B2C")</f>
        <v>B2C</v>
      </c>
      <c r="T68" s="1">
        <f>Master8[[#This Row],[Anciennete_Mois]]/12</f>
        <v>9.4166666666666661</v>
      </c>
      <c r="U68" s="1">
        <f>Master8[[#This Row],[Duree_Cumule_Panne_Min]]/60</f>
        <v>6.333333333333333</v>
      </c>
      <c r="V6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8" s="6">
        <f>Master8[[#This Row],[Facture_Mensuelle]]*Master8[[#This Row],[Remise]]</f>
        <v>5.4494999999999996</v>
      </c>
    </row>
    <row r="69" spans="1:24" x14ac:dyDescent="0.25">
      <c r="A69" s="1" t="s">
        <v>1193</v>
      </c>
      <c r="B69" t="str">
        <f>IFERROR(VLOOKUP(Master8[[#This Row],[Cell_ID]],Registre_Maintenance[],2,FALSE),"")</f>
        <v>Sud-Ubangi</v>
      </c>
      <c r="C69" s="1" t="s">
        <v>1215</v>
      </c>
      <c r="D69" s="2">
        <v>45205.178472222222</v>
      </c>
      <c r="E69" s="3">
        <v>45205.178472222222</v>
      </c>
      <c r="F69">
        <v>42</v>
      </c>
      <c r="G69">
        <f>Master8[[#This Row],[Duree_Panne_Min]]/60</f>
        <v>0.7</v>
      </c>
      <c r="H69" s="1" t="s">
        <v>735</v>
      </c>
      <c r="I69">
        <f>IFERROR(VLOOKUP(Master8[[#This Row],[Cell_ID]],Registre_Maintenance[],3,FALSE),"")</f>
        <v>3.611561</v>
      </c>
      <c r="J69">
        <f>IFERROR(VLOOKUP(Master8[[#This Row],[Cell_ID]],Registre_Maintenance[],4,FALSE),"")</f>
        <v>17.725974999999998</v>
      </c>
      <c r="K69" t="str">
        <f>IFERROR(VLOOKUP(Master8[[#This Row],[Cell_ID]],Registre_Maintenance[],5,FALSE),"")</f>
        <v>3G</v>
      </c>
      <c r="L69" t="str">
        <f>IFERROR(VLOOKUP(Master8[[#This Row],[Cell_ID]],Registre_Maintenance[],6,FALSE),"")</f>
        <v>ZTE</v>
      </c>
      <c r="M69" s="1" t="str">
        <f>VLOOKUP(Master8[[#This Row],[Province_RDC]],Client[],2,FALSE)</f>
        <v>CLI-00280</v>
      </c>
      <c r="N69" s="1">
        <f>VLOOKUP(Master8[[#This Row],[Province_RDC]],Client[],3,FALSE)</f>
        <v>113</v>
      </c>
      <c r="O69" s="1" t="str">
        <f>VLOOKUP(Master8[[#This Row],[Province_RDC]],Client[],4,FALSE)</f>
        <v>Illimité 50Go</v>
      </c>
      <c r="P69" s="1">
        <f>VLOOKUP(Master8[[#This Row],[Province_RDC]],Client[],5,FALSE)</f>
        <v>380</v>
      </c>
      <c r="Q69" s="1">
        <f>VLOOKUP(Master8[[#This Row],[Province_RDC]],Client[],6,FALSE)</f>
        <v>12.11</v>
      </c>
      <c r="R69" s="1">
        <f>VLOOKUP(Master8[[#This Row],[Province_RDC]],Client[],7,FALSE)</f>
        <v>0</v>
      </c>
      <c r="S69" s="1" t="str">
        <f>IF(Master8[[#This Row],[Type_Forfait]]="Pro Monde","B2B","B2C")</f>
        <v>B2C</v>
      </c>
      <c r="T69" s="1">
        <f>Master8[[#This Row],[Anciennete_Mois]]/12</f>
        <v>9.4166666666666661</v>
      </c>
      <c r="U69" s="1">
        <f>Master8[[#This Row],[Duree_Cumule_Panne_Min]]/60</f>
        <v>6.333333333333333</v>
      </c>
      <c r="V6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6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69" s="6">
        <f>Master8[[#This Row],[Facture_Mensuelle]]*Master8[[#This Row],[Remise]]</f>
        <v>5.4494999999999996</v>
      </c>
    </row>
    <row r="70" spans="1:24" x14ac:dyDescent="0.25">
      <c r="A70" s="1" t="s">
        <v>1024</v>
      </c>
      <c r="B70" t="str">
        <f>IFERROR(VLOOKUP(Master8[[#This Row],[Cell_ID]],Registre_Maintenance[],2,FALSE),"")</f>
        <v>Sud-Kivu</v>
      </c>
      <c r="C70" s="1" t="s">
        <v>1045</v>
      </c>
      <c r="D70" s="2">
        <v>45230.863888888889</v>
      </c>
      <c r="E70" s="3">
        <v>45230.863888888889</v>
      </c>
      <c r="F70">
        <v>57</v>
      </c>
      <c r="G70">
        <f>Master8[[#This Row],[Duree_Panne_Min]]/60</f>
        <v>0.95</v>
      </c>
      <c r="H70" s="1" t="s">
        <v>732</v>
      </c>
      <c r="I70">
        <f>IFERROR(VLOOKUP(Master8[[#This Row],[Cell_ID]],Registre_Maintenance[],3,FALSE),"")</f>
        <v>-4.1694589999999998</v>
      </c>
      <c r="J70">
        <f>IFERROR(VLOOKUP(Master8[[#This Row],[Cell_ID]],Registre_Maintenance[],4,FALSE),"")</f>
        <v>23.376487000000001</v>
      </c>
      <c r="K70" t="str">
        <f>IFERROR(VLOOKUP(Master8[[#This Row],[Cell_ID]],Registre_Maintenance[],5,FALSE),"")</f>
        <v>3G</v>
      </c>
      <c r="L70" t="str">
        <f>IFERROR(VLOOKUP(Master8[[#This Row],[Cell_ID]],Registre_Maintenance[],6,FALSE),"")</f>
        <v>Nokia</v>
      </c>
      <c r="M70" s="1" t="str">
        <f>VLOOKUP(Master8[[#This Row],[Province_RDC]],Client[],2,FALSE)</f>
        <v>CLI-01855</v>
      </c>
      <c r="N70" s="1">
        <f>VLOOKUP(Master8[[#This Row],[Province_RDC]],Client[],3,FALSE)</f>
        <v>101</v>
      </c>
      <c r="O70" s="1" t="str">
        <f>VLOOKUP(Master8[[#This Row],[Province_RDC]],Client[],4,FALSE)</f>
        <v>Illimité 50Go</v>
      </c>
      <c r="P70" s="1">
        <f>VLOOKUP(Master8[[#This Row],[Province_RDC]],Client[],5,FALSE)</f>
        <v>358</v>
      </c>
      <c r="Q70" s="1">
        <f>VLOOKUP(Master8[[#This Row],[Province_RDC]],Client[],6,FALSE)</f>
        <v>29.24</v>
      </c>
      <c r="R70" s="1">
        <f>VLOOKUP(Master8[[#This Row],[Province_RDC]],Client[],7,FALSE)</f>
        <v>3</v>
      </c>
      <c r="S70" s="1" t="str">
        <f>IF(Master8[[#This Row],[Type_Forfait]]="Pro Monde","B2B","B2C")</f>
        <v>B2C</v>
      </c>
      <c r="T70" s="1">
        <f>Master8[[#This Row],[Anciennete_Mois]]/12</f>
        <v>8.4166666666666661</v>
      </c>
      <c r="U70" s="1">
        <f>Master8[[#This Row],[Duree_Cumule_Panne_Min]]/60</f>
        <v>5.9666666666666668</v>
      </c>
      <c r="V7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0" s="6">
        <f>Master8[[#This Row],[Facture_Mensuelle]]*Master8[[#This Row],[Remise]]</f>
        <v>13.157999999999999</v>
      </c>
    </row>
    <row r="71" spans="1:24" x14ac:dyDescent="0.25">
      <c r="A71" s="1" t="s">
        <v>939</v>
      </c>
      <c r="B71" t="str">
        <f>IFERROR(VLOOKUP(Master8[[#This Row],[Cell_ID]],Registre_Maintenance[],2,FALSE),"")</f>
        <v>Sud-Kivu</v>
      </c>
      <c r="C71" s="1" t="s">
        <v>964</v>
      </c>
      <c r="D71" s="2">
        <v>45228.001388888893</v>
      </c>
      <c r="E71" s="3">
        <v>45228.001388888893</v>
      </c>
      <c r="F71">
        <v>100</v>
      </c>
      <c r="G71">
        <f>Master8[[#This Row],[Duree_Panne_Min]]/60</f>
        <v>1.6666666666666667</v>
      </c>
      <c r="H71" s="1" t="s">
        <v>735</v>
      </c>
      <c r="I71">
        <f>IFERROR(VLOOKUP(Master8[[#This Row],[Cell_ID]],Registre_Maintenance[],3,FALSE),"")</f>
        <v>-9.3900009999999998</v>
      </c>
      <c r="J71">
        <f>IFERROR(VLOOKUP(Master8[[#This Row],[Cell_ID]],Registre_Maintenance[],4,FALSE),"")</f>
        <v>30.001517</v>
      </c>
      <c r="K71" t="str">
        <f>IFERROR(VLOOKUP(Master8[[#This Row],[Cell_ID]],Registre_Maintenance[],5,FALSE),"")</f>
        <v>3G</v>
      </c>
      <c r="L71" t="str">
        <f>IFERROR(VLOOKUP(Master8[[#This Row],[Cell_ID]],Registre_Maintenance[],6,FALSE),"")</f>
        <v>Nokia</v>
      </c>
      <c r="M71" s="1" t="str">
        <f>VLOOKUP(Master8[[#This Row],[Province_RDC]],Client[],2,FALSE)</f>
        <v>CLI-01855</v>
      </c>
      <c r="N71" s="1">
        <f>VLOOKUP(Master8[[#This Row],[Province_RDC]],Client[],3,FALSE)</f>
        <v>101</v>
      </c>
      <c r="O71" s="1" t="str">
        <f>VLOOKUP(Master8[[#This Row],[Province_RDC]],Client[],4,FALSE)</f>
        <v>Illimité 50Go</v>
      </c>
      <c r="P71" s="1">
        <f>VLOOKUP(Master8[[#This Row],[Province_RDC]],Client[],5,FALSE)</f>
        <v>358</v>
      </c>
      <c r="Q71" s="1">
        <f>VLOOKUP(Master8[[#This Row],[Province_RDC]],Client[],6,FALSE)</f>
        <v>29.24</v>
      </c>
      <c r="R71" s="1">
        <f>VLOOKUP(Master8[[#This Row],[Province_RDC]],Client[],7,FALSE)</f>
        <v>3</v>
      </c>
      <c r="S71" s="1" t="str">
        <f>IF(Master8[[#This Row],[Type_Forfait]]="Pro Monde","B2B","B2C")</f>
        <v>B2C</v>
      </c>
      <c r="T71" s="1">
        <f>Master8[[#This Row],[Anciennete_Mois]]/12</f>
        <v>8.4166666666666661</v>
      </c>
      <c r="U71" s="1">
        <f>Master8[[#This Row],[Duree_Cumule_Panne_Min]]/60</f>
        <v>5.9666666666666668</v>
      </c>
      <c r="V7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1" s="6">
        <f>Master8[[#This Row],[Facture_Mensuelle]]*Master8[[#This Row],[Remise]]</f>
        <v>13.157999999999999</v>
      </c>
    </row>
    <row r="72" spans="1:24" x14ac:dyDescent="0.25">
      <c r="A72" s="1" t="s">
        <v>1382</v>
      </c>
      <c r="B72" t="str">
        <f>IFERROR(VLOOKUP(Master8[[#This Row],[Cell_ID]],Registre_Maintenance[],2,FALSE),"")</f>
        <v>Sud-Kivu</v>
      </c>
      <c r="C72" s="1" t="s">
        <v>1156</v>
      </c>
      <c r="D72" s="2">
        <v>45227.447916666657</v>
      </c>
      <c r="E72" s="3">
        <v>45227.447916666657</v>
      </c>
      <c r="F72">
        <v>84</v>
      </c>
      <c r="G72">
        <f>Master8[[#This Row],[Duree_Panne_Min]]/60</f>
        <v>1.4</v>
      </c>
      <c r="H72" s="1" t="s">
        <v>735</v>
      </c>
      <c r="I72">
        <f>IFERROR(VLOOKUP(Master8[[#This Row],[Cell_ID]],Registre_Maintenance[],3,FALSE),"")</f>
        <v>2.4414509999999998</v>
      </c>
      <c r="J72">
        <f>IFERROR(VLOOKUP(Master8[[#This Row],[Cell_ID]],Registre_Maintenance[],4,FALSE),"")</f>
        <v>30.167489</v>
      </c>
      <c r="K72" t="str">
        <f>IFERROR(VLOOKUP(Master8[[#This Row],[Cell_ID]],Registre_Maintenance[],5,FALSE),"")</f>
        <v>5G</v>
      </c>
      <c r="L72" t="str">
        <f>IFERROR(VLOOKUP(Master8[[#This Row],[Cell_ID]],Registre_Maintenance[],6,FALSE),"")</f>
        <v>Nokia</v>
      </c>
      <c r="M72" s="1" t="str">
        <f>VLOOKUP(Master8[[#This Row],[Province_RDC]],Client[],2,FALSE)</f>
        <v>CLI-01855</v>
      </c>
      <c r="N72" s="1">
        <f>VLOOKUP(Master8[[#This Row],[Province_RDC]],Client[],3,FALSE)</f>
        <v>101</v>
      </c>
      <c r="O72" s="1" t="str">
        <f>VLOOKUP(Master8[[#This Row],[Province_RDC]],Client[],4,FALSE)</f>
        <v>Illimité 50Go</v>
      </c>
      <c r="P72" s="1">
        <f>VLOOKUP(Master8[[#This Row],[Province_RDC]],Client[],5,FALSE)</f>
        <v>358</v>
      </c>
      <c r="Q72" s="1">
        <f>VLOOKUP(Master8[[#This Row],[Province_RDC]],Client[],6,FALSE)</f>
        <v>29.24</v>
      </c>
      <c r="R72" s="1">
        <f>VLOOKUP(Master8[[#This Row],[Province_RDC]],Client[],7,FALSE)</f>
        <v>3</v>
      </c>
      <c r="S72" s="1" t="str">
        <f>IF(Master8[[#This Row],[Type_Forfait]]="Pro Monde","B2B","B2C")</f>
        <v>B2C</v>
      </c>
      <c r="T72" s="1">
        <f>Master8[[#This Row],[Anciennete_Mois]]/12</f>
        <v>8.4166666666666661</v>
      </c>
      <c r="U72" s="1">
        <f>Master8[[#This Row],[Duree_Cumule_Panne_Min]]/60</f>
        <v>5.9666666666666668</v>
      </c>
      <c r="V7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2" s="6">
        <f>Master8[[#This Row],[Facture_Mensuelle]]*Master8[[#This Row],[Remise]]</f>
        <v>13.157999999999999</v>
      </c>
    </row>
    <row r="73" spans="1:24" x14ac:dyDescent="0.25">
      <c r="A73" s="1" t="s">
        <v>1024</v>
      </c>
      <c r="B73" t="str">
        <f>IFERROR(VLOOKUP(Master8[[#This Row],[Cell_ID]],Registre_Maintenance[],2,FALSE),"")</f>
        <v>Sud-Kivu</v>
      </c>
      <c r="C73" s="1" t="s">
        <v>1058</v>
      </c>
      <c r="D73" s="2">
        <v>45225.147222222222</v>
      </c>
      <c r="E73" s="3">
        <v>45225.147222222222</v>
      </c>
      <c r="F73">
        <v>44</v>
      </c>
      <c r="G73">
        <f>Master8[[#This Row],[Duree_Panne_Min]]/60</f>
        <v>0.73333333333333328</v>
      </c>
      <c r="H73" s="1" t="s">
        <v>732</v>
      </c>
      <c r="I73">
        <f>IFERROR(VLOOKUP(Master8[[#This Row],[Cell_ID]],Registre_Maintenance[],3,FALSE),"")</f>
        <v>4.2904629999999999</v>
      </c>
      <c r="J73">
        <f>IFERROR(VLOOKUP(Master8[[#This Row],[Cell_ID]],Registre_Maintenance[],4,FALSE),"")</f>
        <v>26.354195000000001</v>
      </c>
      <c r="K73" t="str">
        <f>IFERROR(VLOOKUP(Master8[[#This Row],[Cell_ID]],Registre_Maintenance[],5,FALSE),"")</f>
        <v>3G</v>
      </c>
      <c r="L73" t="str">
        <f>IFERROR(VLOOKUP(Master8[[#This Row],[Cell_ID]],Registre_Maintenance[],6,FALSE),"")</f>
        <v>Ericsson</v>
      </c>
      <c r="M73" s="1" t="str">
        <f>VLOOKUP(Master8[[#This Row],[Province_RDC]],Client[],2,FALSE)</f>
        <v>CLI-01855</v>
      </c>
      <c r="N73" s="1">
        <f>VLOOKUP(Master8[[#This Row],[Province_RDC]],Client[],3,FALSE)</f>
        <v>101</v>
      </c>
      <c r="O73" s="1" t="str">
        <f>VLOOKUP(Master8[[#This Row],[Province_RDC]],Client[],4,FALSE)</f>
        <v>Illimité 50Go</v>
      </c>
      <c r="P73" s="1">
        <f>VLOOKUP(Master8[[#This Row],[Province_RDC]],Client[],5,FALSE)</f>
        <v>358</v>
      </c>
      <c r="Q73" s="1">
        <f>VLOOKUP(Master8[[#This Row],[Province_RDC]],Client[],6,FALSE)</f>
        <v>29.24</v>
      </c>
      <c r="R73" s="1">
        <f>VLOOKUP(Master8[[#This Row],[Province_RDC]],Client[],7,FALSE)</f>
        <v>3</v>
      </c>
      <c r="S73" s="1" t="str">
        <f>IF(Master8[[#This Row],[Type_Forfait]]="Pro Monde","B2B","B2C")</f>
        <v>B2C</v>
      </c>
      <c r="T73" s="1">
        <f>Master8[[#This Row],[Anciennete_Mois]]/12</f>
        <v>8.4166666666666661</v>
      </c>
      <c r="U73" s="1">
        <f>Master8[[#This Row],[Duree_Cumule_Panne_Min]]/60</f>
        <v>5.9666666666666668</v>
      </c>
      <c r="V7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3" s="6">
        <f>Master8[[#This Row],[Facture_Mensuelle]]*Master8[[#This Row],[Remise]]</f>
        <v>13.157999999999999</v>
      </c>
    </row>
    <row r="74" spans="1:24" x14ac:dyDescent="0.25">
      <c r="A74" s="1" t="s">
        <v>779</v>
      </c>
      <c r="B74" t="str">
        <f>IFERROR(VLOOKUP(Master8[[#This Row],[Cell_ID]],Registre_Maintenance[],2,FALSE),"")</f>
        <v>Sud-Kivu</v>
      </c>
      <c r="C74" s="1" t="s">
        <v>819</v>
      </c>
      <c r="D74" s="2">
        <v>45221.84652777778</v>
      </c>
      <c r="E74" s="3">
        <v>45221.84652777778</v>
      </c>
      <c r="F74">
        <v>96</v>
      </c>
      <c r="G74">
        <f>Master8[[#This Row],[Duree_Panne_Min]]/60</f>
        <v>1.6</v>
      </c>
      <c r="H74" s="1" t="s">
        <v>737</v>
      </c>
      <c r="I74">
        <f>IFERROR(VLOOKUP(Master8[[#This Row],[Cell_ID]],Registre_Maintenance[],3,FALSE),"")</f>
        <v>-5.2526849999999996</v>
      </c>
      <c r="J74">
        <f>IFERROR(VLOOKUP(Master8[[#This Row],[Cell_ID]],Registre_Maintenance[],4,FALSE),"")</f>
        <v>12.374528</v>
      </c>
      <c r="K74" t="str">
        <f>IFERROR(VLOOKUP(Master8[[#This Row],[Cell_ID]],Registre_Maintenance[],5,FALSE),"")</f>
        <v>3G</v>
      </c>
      <c r="L74" t="str">
        <f>IFERROR(VLOOKUP(Master8[[#This Row],[Cell_ID]],Registre_Maintenance[],6,FALSE),"")</f>
        <v>Nokia</v>
      </c>
      <c r="M74" s="1" t="str">
        <f>VLOOKUP(Master8[[#This Row],[Province_RDC]],Client[],2,FALSE)</f>
        <v>CLI-01855</v>
      </c>
      <c r="N74" s="1">
        <f>VLOOKUP(Master8[[#This Row],[Province_RDC]],Client[],3,FALSE)</f>
        <v>101</v>
      </c>
      <c r="O74" s="1" t="str">
        <f>VLOOKUP(Master8[[#This Row],[Province_RDC]],Client[],4,FALSE)</f>
        <v>Illimité 50Go</v>
      </c>
      <c r="P74" s="1">
        <f>VLOOKUP(Master8[[#This Row],[Province_RDC]],Client[],5,FALSE)</f>
        <v>358</v>
      </c>
      <c r="Q74" s="1">
        <f>VLOOKUP(Master8[[#This Row],[Province_RDC]],Client[],6,FALSE)</f>
        <v>29.24</v>
      </c>
      <c r="R74" s="1">
        <f>VLOOKUP(Master8[[#This Row],[Province_RDC]],Client[],7,FALSE)</f>
        <v>3</v>
      </c>
      <c r="S74" s="1" t="str">
        <f>IF(Master8[[#This Row],[Type_Forfait]]="Pro Monde","B2B","B2C")</f>
        <v>B2C</v>
      </c>
      <c r="T74" s="1">
        <f>Master8[[#This Row],[Anciennete_Mois]]/12</f>
        <v>8.4166666666666661</v>
      </c>
      <c r="U74" s="1">
        <f>Master8[[#This Row],[Duree_Cumule_Panne_Min]]/60</f>
        <v>5.9666666666666668</v>
      </c>
      <c r="V7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4" s="6">
        <f>Master8[[#This Row],[Facture_Mensuelle]]*Master8[[#This Row],[Remise]]</f>
        <v>13.157999999999999</v>
      </c>
    </row>
    <row r="75" spans="1:24" x14ac:dyDescent="0.25">
      <c r="A75" s="1" t="s">
        <v>1288</v>
      </c>
      <c r="B75" t="str">
        <f>IFERROR(VLOOKUP(Master8[[#This Row],[Cell_ID]],Registre_Maintenance[],2,FALSE),"")</f>
        <v>Sud-Kivu</v>
      </c>
      <c r="C75" s="1" t="s">
        <v>1283</v>
      </c>
      <c r="D75" s="2">
        <v>45220.618750000001</v>
      </c>
      <c r="E75" s="3">
        <v>45220.618750000001</v>
      </c>
      <c r="F75">
        <v>79</v>
      </c>
      <c r="G75">
        <f>Master8[[#This Row],[Duree_Panne_Min]]/60</f>
        <v>1.3166666666666667</v>
      </c>
      <c r="H75" s="1" t="s">
        <v>732</v>
      </c>
      <c r="I75">
        <f>IFERROR(VLOOKUP(Master8[[#This Row],[Cell_ID]],Registre_Maintenance[],3,FALSE),"")</f>
        <v>-1.4700059999999999</v>
      </c>
      <c r="J75">
        <f>IFERROR(VLOOKUP(Master8[[#This Row],[Cell_ID]],Registre_Maintenance[],4,FALSE),"")</f>
        <v>18.680958</v>
      </c>
      <c r="K75" t="str">
        <f>IFERROR(VLOOKUP(Master8[[#This Row],[Cell_ID]],Registre_Maintenance[],5,FALSE),"")</f>
        <v>3G</v>
      </c>
      <c r="L75" t="str">
        <f>IFERROR(VLOOKUP(Master8[[#This Row],[Cell_ID]],Registre_Maintenance[],6,FALSE),"")</f>
        <v>Huawei</v>
      </c>
      <c r="M75" s="1" t="str">
        <f>VLOOKUP(Master8[[#This Row],[Province_RDC]],Client[],2,FALSE)</f>
        <v>CLI-01855</v>
      </c>
      <c r="N75" s="1">
        <f>VLOOKUP(Master8[[#This Row],[Province_RDC]],Client[],3,FALSE)</f>
        <v>101</v>
      </c>
      <c r="O75" s="1" t="str">
        <f>VLOOKUP(Master8[[#This Row],[Province_RDC]],Client[],4,FALSE)</f>
        <v>Illimité 50Go</v>
      </c>
      <c r="P75" s="1">
        <f>VLOOKUP(Master8[[#This Row],[Province_RDC]],Client[],5,FALSE)</f>
        <v>358</v>
      </c>
      <c r="Q75" s="1">
        <f>VLOOKUP(Master8[[#This Row],[Province_RDC]],Client[],6,FALSE)</f>
        <v>29.24</v>
      </c>
      <c r="R75" s="1">
        <f>VLOOKUP(Master8[[#This Row],[Province_RDC]],Client[],7,FALSE)</f>
        <v>3</v>
      </c>
      <c r="S75" s="1" t="str">
        <f>IF(Master8[[#This Row],[Type_Forfait]]="Pro Monde","B2B","B2C")</f>
        <v>B2C</v>
      </c>
      <c r="T75" s="1">
        <f>Master8[[#This Row],[Anciennete_Mois]]/12</f>
        <v>8.4166666666666661</v>
      </c>
      <c r="U75" s="1">
        <f>Master8[[#This Row],[Duree_Cumule_Panne_Min]]/60</f>
        <v>5.9666666666666668</v>
      </c>
      <c r="V7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5" s="6">
        <f>Master8[[#This Row],[Facture_Mensuelle]]*Master8[[#This Row],[Remise]]</f>
        <v>13.157999999999999</v>
      </c>
    </row>
    <row r="76" spans="1:24" x14ac:dyDescent="0.25">
      <c r="A76" s="1" t="s">
        <v>1241</v>
      </c>
      <c r="B76" t="str">
        <f>IFERROR(VLOOKUP(Master8[[#This Row],[Cell_ID]],Registre_Maintenance[],2,FALSE),"")</f>
        <v>Sud-Kivu</v>
      </c>
      <c r="C76" s="1" t="s">
        <v>997</v>
      </c>
      <c r="D76" s="2">
        <v>45220.469444444447</v>
      </c>
      <c r="E76" s="3">
        <v>45220.469444444447</v>
      </c>
      <c r="F76">
        <v>17</v>
      </c>
      <c r="G76">
        <f>Master8[[#This Row],[Duree_Panne_Min]]/60</f>
        <v>0.28333333333333333</v>
      </c>
      <c r="H76" s="1" t="s">
        <v>735</v>
      </c>
      <c r="I76">
        <f>IFERROR(VLOOKUP(Master8[[#This Row],[Cell_ID]],Registre_Maintenance[],3,FALSE),"")</f>
        <v>-1.5419050000000001</v>
      </c>
      <c r="J76">
        <f>IFERROR(VLOOKUP(Master8[[#This Row],[Cell_ID]],Registre_Maintenance[],4,FALSE),"")</f>
        <v>14.730632999999999</v>
      </c>
      <c r="K76" t="str">
        <f>IFERROR(VLOOKUP(Master8[[#This Row],[Cell_ID]],Registre_Maintenance[],5,FALSE),"")</f>
        <v>3G</v>
      </c>
      <c r="L76" t="str">
        <f>IFERROR(VLOOKUP(Master8[[#This Row],[Cell_ID]],Registre_Maintenance[],6,FALSE),"")</f>
        <v>ZTE</v>
      </c>
      <c r="M76" s="1" t="str">
        <f>VLOOKUP(Master8[[#This Row],[Province_RDC]],Client[],2,FALSE)</f>
        <v>CLI-01855</v>
      </c>
      <c r="N76" s="1">
        <f>VLOOKUP(Master8[[#This Row],[Province_RDC]],Client[],3,FALSE)</f>
        <v>101</v>
      </c>
      <c r="O76" s="1" t="str">
        <f>VLOOKUP(Master8[[#This Row],[Province_RDC]],Client[],4,FALSE)</f>
        <v>Illimité 50Go</v>
      </c>
      <c r="P76" s="1">
        <f>VLOOKUP(Master8[[#This Row],[Province_RDC]],Client[],5,FALSE)</f>
        <v>358</v>
      </c>
      <c r="Q76" s="1">
        <f>VLOOKUP(Master8[[#This Row],[Province_RDC]],Client[],6,FALSE)</f>
        <v>29.24</v>
      </c>
      <c r="R76" s="1">
        <f>VLOOKUP(Master8[[#This Row],[Province_RDC]],Client[],7,FALSE)</f>
        <v>3</v>
      </c>
      <c r="S76" s="1" t="str">
        <f>IF(Master8[[#This Row],[Type_Forfait]]="Pro Monde","B2B","B2C")</f>
        <v>B2C</v>
      </c>
      <c r="T76" s="1">
        <f>Master8[[#This Row],[Anciennete_Mois]]/12</f>
        <v>8.4166666666666661</v>
      </c>
      <c r="U76" s="1">
        <f>Master8[[#This Row],[Duree_Cumule_Panne_Min]]/60</f>
        <v>5.9666666666666668</v>
      </c>
      <c r="V7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6" s="6">
        <f>Master8[[#This Row],[Facture_Mensuelle]]*Master8[[#This Row],[Remise]]</f>
        <v>13.157999999999999</v>
      </c>
    </row>
    <row r="77" spans="1:24" x14ac:dyDescent="0.25">
      <c r="A77" s="1" t="s">
        <v>1345</v>
      </c>
      <c r="B77" t="str">
        <f>IFERROR(VLOOKUP(Master8[[#This Row],[Cell_ID]],Registre_Maintenance[],2,FALSE),"")</f>
        <v>Sud-Kivu</v>
      </c>
      <c r="C77" s="1" t="s">
        <v>1246</v>
      </c>
      <c r="D77" s="2">
        <v>45218.589583333327</v>
      </c>
      <c r="E77" s="3">
        <v>45218.589583333327</v>
      </c>
      <c r="F77">
        <v>21</v>
      </c>
      <c r="G77">
        <f>Master8[[#This Row],[Duree_Panne_Min]]/60</f>
        <v>0.35</v>
      </c>
      <c r="H77" s="1" t="s">
        <v>732</v>
      </c>
      <c r="I77">
        <f>IFERROR(VLOOKUP(Master8[[#This Row],[Cell_ID]],Registre_Maintenance[],3,FALSE),"")</f>
        <v>-11.514817000000001</v>
      </c>
      <c r="J77">
        <f>IFERROR(VLOOKUP(Master8[[#This Row],[Cell_ID]],Registre_Maintenance[],4,FALSE),"")</f>
        <v>24.891375</v>
      </c>
      <c r="K77" t="str">
        <f>IFERROR(VLOOKUP(Master8[[#This Row],[Cell_ID]],Registre_Maintenance[],5,FALSE),"")</f>
        <v>3G</v>
      </c>
      <c r="L77" t="str">
        <f>IFERROR(VLOOKUP(Master8[[#This Row],[Cell_ID]],Registre_Maintenance[],6,FALSE),"")</f>
        <v>Nokia</v>
      </c>
      <c r="M77" s="1" t="str">
        <f>VLOOKUP(Master8[[#This Row],[Province_RDC]],Client[],2,FALSE)</f>
        <v>CLI-01855</v>
      </c>
      <c r="N77" s="1">
        <f>VLOOKUP(Master8[[#This Row],[Province_RDC]],Client[],3,FALSE)</f>
        <v>101</v>
      </c>
      <c r="O77" s="1" t="str">
        <f>VLOOKUP(Master8[[#This Row],[Province_RDC]],Client[],4,FALSE)</f>
        <v>Illimité 50Go</v>
      </c>
      <c r="P77" s="1">
        <f>VLOOKUP(Master8[[#This Row],[Province_RDC]],Client[],5,FALSE)</f>
        <v>358</v>
      </c>
      <c r="Q77" s="1">
        <f>VLOOKUP(Master8[[#This Row],[Province_RDC]],Client[],6,FALSE)</f>
        <v>29.24</v>
      </c>
      <c r="R77" s="1">
        <f>VLOOKUP(Master8[[#This Row],[Province_RDC]],Client[],7,FALSE)</f>
        <v>3</v>
      </c>
      <c r="S77" s="1" t="str">
        <f>IF(Master8[[#This Row],[Type_Forfait]]="Pro Monde","B2B","B2C")</f>
        <v>B2C</v>
      </c>
      <c r="T77" s="1">
        <f>Master8[[#This Row],[Anciennete_Mois]]/12</f>
        <v>8.4166666666666661</v>
      </c>
      <c r="U77" s="1">
        <f>Master8[[#This Row],[Duree_Cumule_Panne_Min]]/60</f>
        <v>5.9666666666666668</v>
      </c>
      <c r="V7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7" s="6">
        <f>Master8[[#This Row],[Facture_Mensuelle]]*Master8[[#This Row],[Remise]]</f>
        <v>13.157999999999999</v>
      </c>
    </row>
    <row r="78" spans="1:24" x14ac:dyDescent="0.25">
      <c r="A78" s="1" t="s">
        <v>1138</v>
      </c>
      <c r="B78" t="str">
        <f>IFERROR(VLOOKUP(Master8[[#This Row],[Cell_ID]],Registre_Maintenance[],2,FALSE),"")</f>
        <v>Sud-Kivu</v>
      </c>
      <c r="C78" s="1" t="s">
        <v>1007</v>
      </c>
      <c r="D78" s="2">
        <v>45218.127083333333</v>
      </c>
      <c r="E78" s="3">
        <v>45218.127083333333</v>
      </c>
      <c r="F78">
        <v>58</v>
      </c>
      <c r="G78">
        <f>Master8[[#This Row],[Duree_Panne_Min]]/60</f>
        <v>0.96666666666666667</v>
      </c>
      <c r="H78" s="1" t="s">
        <v>735</v>
      </c>
      <c r="I78">
        <f>IFERROR(VLOOKUP(Master8[[#This Row],[Cell_ID]],Registre_Maintenance[],3,FALSE),"")</f>
        <v>1.2419519999999999</v>
      </c>
      <c r="J78">
        <f>IFERROR(VLOOKUP(Master8[[#This Row],[Cell_ID]],Registre_Maintenance[],4,FALSE),"")</f>
        <v>25.261382999999999</v>
      </c>
      <c r="K78" t="str">
        <f>IFERROR(VLOOKUP(Master8[[#This Row],[Cell_ID]],Registre_Maintenance[],5,FALSE),"")</f>
        <v>4G</v>
      </c>
      <c r="L78" t="str">
        <f>IFERROR(VLOOKUP(Master8[[#This Row],[Cell_ID]],Registre_Maintenance[],6,FALSE),"")</f>
        <v>Huawei</v>
      </c>
      <c r="M78" s="1" t="str">
        <f>VLOOKUP(Master8[[#This Row],[Province_RDC]],Client[],2,FALSE)</f>
        <v>CLI-01855</v>
      </c>
      <c r="N78" s="1">
        <f>VLOOKUP(Master8[[#This Row],[Province_RDC]],Client[],3,FALSE)</f>
        <v>101</v>
      </c>
      <c r="O78" s="1" t="str">
        <f>VLOOKUP(Master8[[#This Row],[Province_RDC]],Client[],4,FALSE)</f>
        <v>Illimité 50Go</v>
      </c>
      <c r="P78" s="1">
        <f>VLOOKUP(Master8[[#This Row],[Province_RDC]],Client[],5,FALSE)</f>
        <v>358</v>
      </c>
      <c r="Q78" s="1">
        <f>VLOOKUP(Master8[[#This Row],[Province_RDC]],Client[],6,FALSE)</f>
        <v>29.24</v>
      </c>
      <c r="R78" s="1">
        <f>VLOOKUP(Master8[[#This Row],[Province_RDC]],Client[],7,FALSE)</f>
        <v>3</v>
      </c>
      <c r="S78" s="1" t="str">
        <f>IF(Master8[[#This Row],[Type_Forfait]]="Pro Monde","B2B","B2C")</f>
        <v>B2C</v>
      </c>
      <c r="T78" s="1">
        <f>Master8[[#This Row],[Anciennete_Mois]]/12</f>
        <v>8.4166666666666661</v>
      </c>
      <c r="U78" s="1">
        <f>Master8[[#This Row],[Duree_Cumule_Panne_Min]]/60</f>
        <v>5.9666666666666668</v>
      </c>
      <c r="V7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8" s="6">
        <f>Master8[[#This Row],[Facture_Mensuelle]]*Master8[[#This Row],[Remise]]</f>
        <v>13.157999999999999</v>
      </c>
    </row>
    <row r="79" spans="1:24" x14ac:dyDescent="0.25">
      <c r="A79" s="1" t="s">
        <v>1330</v>
      </c>
      <c r="B79" t="str">
        <f>IFERROR(VLOOKUP(Master8[[#This Row],[Cell_ID]],Registre_Maintenance[],2,FALSE),"")</f>
        <v>Sud-Kivu</v>
      </c>
      <c r="C79" s="1" t="s">
        <v>843</v>
      </c>
      <c r="D79" s="2">
        <v>45218.007638888892</v>
      </c>
      <c r="E79" s="3">
        <v>45218.007638888892</v>
      </c>
      <c r="F79">
        <v>44</v>
      </c>
      <c r="G79">
        <f>Master8[[#This Row],[Duree_Panne_Min]]/60</f>
        <v>0.73333333333333328</v>
      </c>
      <c r="H79" s="1" t="s">
        <v>735</v>
      </c>
      <c r="I79">
        <f>IFERROR(VLOOKUP(Master8[[#This Row],[Cell_ID]],Registre_Maintenance[],3,FALSE),"")</f>
        <v>-9.4702129999999993</v>
      </c>
      <c r="J79">
        <f>IFERROR(VLOOKUP(Master8[[#This Row],[Cell_ID]],Registre_Maintenance[],4,FALSE),"")</f>
        <v>12.826158</v>
      </c>
      <c r="K79" t="str">
        <f>IFERROR(VLOOKUP(Master8[[#This Row],[Cell_ID]],Registre_Maintenance[],5,FALSE),"")</f>
        <v>3G</v>
      </c>
      <c r="L79" t="str">
        <f>IFERROR(VLOOKUP(Master8[[#This Row],[Cell_ID]],Registre_Maintenance[],6,FALSE),"")</f>
        <v>Ericsson</v>
      </c>
      <c r="M79" s="1" t="str">
        <f>VLOOKUP(Master8[[#This Row],[Province_RDC]],Client[],2,FALSE)</f>
        <v>CLI-01855</v>
      </c>
      <c r="N79" s="1">
        <f>VLOOKUP(Master8[[#This Row],[Province_RDC]],Client[],3,FALSE)</f>
        <v>101</v>
      </c>
      <c r="O79" s="1" t="str">
        <f>VLOOKUP(Master8[[#This Row],[Province_RDC]],Client[],4,FALSE)</f>
        <v>Illimité 50Go</v>
      </c>
      <c r="P79" s="1">
        <f>VLOOKUP(Master8[[#This Row],[Province_RDC]],Client[],5,FALSE)</f>
        <v>358</v>
      </c>
      <c r="Q79" s="1">
        <f>VLOOKUP(Master8[[#This Row],[Province_RDC]],Client[],6,FALSE)</f>
        <v>29.24</v>
      </c>
      <c r="R79" s="1">
        <f>VLOOKUP(Master8[[#This Row],[Province_RDC]],Client[],7,FALSE)</f>
        <v>3</v>
      </c>
      <c r="S79" s="1" t="str">
        <f>IF(Master8[[#This Row],[Type_Forfait]]="Pro Monde","B2B","B2C")</f>
        <v>B2C</v>
      </c>
      <c r="T79" s="1">
        <f>Master8[[#This Row],[Anciennete_Mois]]/12</f>
        <v>8.4166666666666661</v>
      </c>
      <c r="U79" s="1">
        <f>Master8[[#This Row],[Duree_Cumule_Panne_Min]]/60</f>
        <v>5.9666666666666668</v>
      </c>
      <c r="V7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7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79" s="6">
        <f>Master8[[#This Row],[Facture_Mensuelle]]*Master8[[#This Row],[Remise]]</f>
        <v>13.157999999999999</v>
      </c>
    </row>
    <row r="80" spans="1:24" x14ac:dyDescent="0.25">
      <c r="A80" s="1" t="s">
        <v>823</v>
      </c>
      <c r="B80" t="str">
        <f>IFERROR(VLOOKUP(Master8[[#This Row],[Cell_ID]],Registre_Maintenance[],2,FALSE),"")</f>
        <v>Sud-Kivu</v>
      </c>
      <c r="C80" s="1" t="s">
        <v>843</v>
      </c>
      <c r="D80" s="2">
        <v>45217.175000000003</v>
      </c>
      <c r="E80" s="3">
        <v>45217.175000000003</v>
      </c>
      <c r="F80">
        <v>18</v>
      </c>
      <c r="G80">
        <f>Master8[[#This Row],[Duree_Panne_Min]]/60</f>
        <v>0.3</v>
      </c>
      <c r="H80" s="1" t="s">
        <v>737</v>
      </c>
      <c r="I80">
        <f>IFERROR(VLOOKUP(Master8[[#This Row],[Cell_ID]],Registre_Maintenance[],3,FALSE),"")</f>
        <v>-9.4702129999999993</v>
      </c>
      <c r="J80">
        <f>IFERROR(VLOOKUP(Master8[[#This Row],[Cell_ID]],Registre_Maintenance[],4,FALSE),"")</f>
        <v>12.826158</v>
      </c>
      <c r="K80" t="str">
        <f>IFERROR(VLOOKUP(Master8[[#This Row],[Cell_ID]],Registre_Maintenance[],5,FALSE),"")</f>
        <v>3G</v>
      </c>
      <c r="L80" t="str">
        <f>IFERROR(VLOOKUP(Master8[[#This Row],[Cell_ID]],Registre_Maintenance[],6,FALSE),"")</f>
        <v>Ericsson</v>
      </c>
      <c r="M80" s="1" t="str">
        <f>VLOOKUP(Master8[[#This Row],[Province_RDC]],Client[],2,FALSE)</f>
        <v>CLI-01855</v>
      </c>
      <c r="N80" s="1">
        <f>VLOOKUP(Master8[[#This Row],[Province_RDC]],Client[],3,FALSE)</f>
        <v>101</v>
      </c>
      <c r="O80" s="1" t="str">
        <f>VLOOKUP(Master8[[#This Row],[Province_RDC]],Client[],4,FALSE)</f>
        <v>Illimité 50Go</v>
      </c>
      <c r="P80" s="1">
        <f>VLOOKUP(Master8[[#This Row],[Province_RDC]],Client[],5,FALSE)</f>
        <v>358</v>
      </c>
      <c r="Q80" s="1">
        <f>VLOOKUP(Master8[[#This Row],[Province_RDC]],Client[],6,FALSE)</f>
        <v>29.24</v>
      </c>
      <c r="R80" s="1">
        <f>VLOOKUP(Master8[[#This Row],[Province_RDC]],Client[],7,FALSE)</f>
        <v>3</v>
      </c>
      <c r="S80" s="1" t="str">
        <f>IF(Master8[[#This Row],[Type_Forfait]]="Pro Monde","B2B","B2C")</f>
        <v>B2C</v>
      </c>
      <c r="T80" s="1">
        <f>Master8[[#This Row],[Anciennete_Mois]]/12</f>
        <v>8.4166666666666661</v>
      </c>
      <c r="U80" s="1">
        <f>Master8[[#This Row],[Duree_Cumule_Panne_Min]]/60</f>
        <v>5.9666666666666668</v>
      </c>
      <c r="V8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0" s="6">
        <f>Master8[[#This Row],[Facture_Mensuelle]]*Master8[[#This Row],[Remise]]</f>
        <v>13.157999999999999</v>
      </c>
    </row>
    <row r="81" spans="1:24" x14ac:dyDescent="0.25">
      <c r="A81" s="1" t="s">
        <v>1404</v>
      </c>
      <c r="B81" t="str">
        <f>IFERROR(VLOOKUP(Master8[[#This Row],[Cell_ID]],Registre_Maintenance[],2,FALSE),"")</f>
        <v>Sud-Kivu</v>
      </c>
      <c r="C81" s="1" t="s">
        <v>1045</v>
      </c>
      <c r="D81" s="2">
        <v>45217.02847222222</v>
      </c>
      <c r="E81" s="3">
        <v>45217.02847222222</v>
      </c>
      <c r="F81">
        <v>120</v>
      </c>
      <c r="G81">
        <f>Master8[[#This Row],[Duree_Panne_Min]]/60</f>
        <v>2</v>
      </c>
      <c r="H81" s="1" t="s">
        <v>737</v>
      </c>
      <c r="I81">
        <f>IFERROR(VLOOKUP(Master8[[#This Row],[Cell_ID]],Registre_Maintenance[],3,FALSE),"")</f>
        <v>-4.1694589999999998</v>
      </c>
      <c r="J81">
        <f>IFERROR(VLOOKUP(Master8[[#This Row],[Cell_ID]],Registre_Maintenance[],4,FALSE),"")</f>
        <v>23.376487000000001</v>
      </c>
      <c r="K81" t="str">
        <f>IFERROR(VLOOKUP(Master8[[#This Row],[Cell_ID]],Registre_Maintenance[],5,FALSE),"")</f>
        <v>3G</v>
      </c>
      <c r="L81" t="str">
        <f>IFERROR(VLOOKUP(Master8[[#This Row],[Cell_ID]],Registre_Maintenance[],6,FALSE),"")</f>
        <v>Nokia</v>
      </c>
      <c r="M81" s="1" t="str">
        <f>VLOOKUP(Master8[[#This Row],[Province_RDC]],Client[],2,FALSE)</f>
        <v>CLI-01855</v>
      </c>
      <c r="N81" s="1">
        <f>VLOOKUP(Master8[[#This Row],[Province_RDC]],Client[],3,FALSE)</f>
        <v>101</v>
      </c>
      <c r="O81" s="1" t="str">
        <f>VLOOKUP(Master8[[#This Row],[Province_RDC]],Client[],4,FALSE)</f>
        <v>Illimité 50Go</v>
      </c>
      <c r="P81" s="1">
        <f>VLOOKUP(Master8[[#This Row],[Province_RDC]],Client[],5,FALSE)</f>
        <v>358</v>
      </c>
      <c r="Q81" s="1">
        <f>VLOOKUP(Master8[[#This Row],[Province_RDC]],Client[],6,FALSE)</f>
        <v>29.24</v>
      </c>
      <c r="R81" s="1">
        <f>VLOOKUP(Master8[[#This Row],[Province_RDC]],Client[],7,FALSE)</f>
        <v>3</v>
      </c>
      <c r="S81" s="1" t="str">
        <f>IF(Master8[[#This Row],[Type_Forfait]]="Pro Monde","B2B","B2C")</f>
        <v>B2C</v>
      </c>
      <c r="T81" s="1">
        <f>Master8[[#This Row],[Anciennete_Mois]]/12</f>
        <v>8.4166666666666661</v>
      </c>
      <c r="U81" s="1">
        <f>Master8[[#This Row],[Duree_Cumule_Panne_Min]]/60</f>
        <v>5.9666666666666668</v>
      </c>
      <c r="V8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1" s="6">
        <f>Master8[[#This Row],[Facture_Mensuelle]]*Master8[[#This Row],[Remise]]</f>
        <v>13.157999999999999</v>
      </c>
    </row>
    <row r="82" spans="1:24" x14ac:dyDescent="0.25">
      <c r="A82" s="1" t="s">
        <v>1138</v>
      </c>
      <c r="B82" t="str">
        <f>IFERROR(VLOOKUP(Master8[[#This Row],[Cell_ID]],Registre_Maintenance[],2,FALSE),"")</f>
        <v>Sud-Kivu</v>
      </c>
      <c r="C82" s="1" t="s">
        <v>1156</v>
      </c>
      <c r="D82" s="2">
        <v>45216.275000000001</v>
      </c>
      <c r="E82" s="3">
        <v>45216.275000000001</v>
      </c>
      <c r="F82">
        <v>119</v>
      </c>
      <c r="G82">
        <f>Master8[[#This Row],[Duree_Panne_Min]]/60</f>
        <v>1.9833333333333334</v>
      </c>
      <c r="H82" s="1" t="s">
        <v>737</v>
      </c>
      <c r="I82">
        <f>IFERROR(VLOOKUP(Master8[[#This Row],[Cell_ID]],Registre_Maintenance[],3,FALSE),"")</f>
        <v>2.4414509999999998</v>
      </c>
      <c r="J82">
        <f>IFERROR(VLOOKUP(Master8[[#This Row],[Cell_ID]],Registre_Maintenance[],4,FALSE),"")</f>
        <v>30.167489</v>
      </c>
      <c r="K82" t="str">
        <f>IFERROR(VLOOKUP(Master8[[#This Row],[Cell_ID]],Registre_Maintenance[],5,FALSE),"")</f>
        <v>5G</v>
      </c>
      <c r="L82" t="str">
        <f>IFERROR(VLOOKUP(Master8[[#This Row],[Cell_ID]],Registre_Maintenance[],6,FALSE),"")</f>
        <v>Nokia</v>
      </c>
      <c r="M82" s="1" t="str">
        <f>VLOOKUP(Master8[[#This Row],[Province_RDC]],Client[],2,FALSE)</f>
        <v>CLI-01855</v>
      </c>
      <c r="N82" s="1">
        <f>VLOOKUP(Master8[[#This Row],[Province_RDC]],Client[],3,FALSE)</f>
        <v>101</v>
      </c>
      <c r="O82" s="1" t="str">
        <f>VLOOKUP(Master8[[#This Row],[Province_RDC]],Client[],4,FALSE)</f>
        <v>Illimité 50Go</v>
      </c>
      <c r="P82" s="1">
        <f>VLOOKUP(Master8[[#This Row],[Province_RDC]],Client[],5,FALSE)</f>
        <v>358</v>
      </c>
      <c r="Q82" s="1">
        <f>VLOOKUP(Master8[[#This Row],[Province_RDC]],Client[],6,FALSE)</f>
        <v>29.24</v>
      </c>
      <c r="R82" s="1">
        <f>VLOOKUP(Master8[[#This Row],[Province_RDC]],Client[],7,FALSE)</f>
        <v>3</v>
      </c>
      <c r="S82" s="1" t="str">
        <f>IF(Master8[[#This Row],[Type_Forfait]]="Pro Monde","B2B","B2C")</f>
        <v>B2C</v>
      </c>
      <c r="T82" s="1">
        <f>Master8[[#This Row],[Anciennete_Mois]]/12</f>
        <v>8.4166666666666661</v>
      </c>
      <c r="U82" s="1">
        <f>Master8[[#This Row],[Duree_Cumule_Panne_Min]]/60</f>
        <v>5.9666666666666668</v>
      </c>
      <c r="V8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2" s="6">
        <f>Master8[[#This Row],[Facture_Mensuelle]]*Master8[[#This Row],[Remise]]</f>
        <v>13.157999999999999</v>
      </c>
    </row>
    <row r="83" spans="1:24" x14ac:dyDescent="0.25">
      <c r="A83" s="1" t="s">
        <v>1288</v>
      </c>
      <c r="B83" t="str">
        <f>IFERROR(VLOOKUP(Master8[[#This Row],[Cell_ID]],Registre_Maintenance[],2,FALSE),"")</f>
        <v>Sud-Kivu</v>
      </c>
      <c r="C83" s="1" t="s">
        <v>1301</v>
      </c>
      <c r="D83" s="2">
        <v>45214.168055555558</v>
      </c>
      <c r="E83" s="3">
        <v>45214.168055555558</v>
      </c>
      <c r="F83">
        <v>106</v>
      </c>
      <c r="G83">
        <f>Master8[[#This Row],[Duree_Panne_Min]]/60</f>
        <v>1.7666666666666666</v>
      </c>
      <c r="H83" s="1" t="s">
        <v>732</v>
      </c>
      <c r="I83">
        <f>IFERROR(VLOOKUP(Master8[[#This Row],[Cell_ID]],Registre_Maintenance[],3,FALSE),"")</f>
        <v>-11.207139</v>
      </c>
      <c r="J83">
        <f>IFERROR(VLOOKUP(Master8[[#This Row],[Cell_ID]],Registre_Maintenance[],4,FALSE),"")</f>
        <v>18.702511999999999</v>
      </c>
      <c r="K83" t="str">
        <f>IFERROR(VLOOKUP(Master8[[#This Row],[Cell_ID]],Registre_Maintenance[],5,FALSE),"")</f>
        <v>5G</v>
      </c>
      <c r="L83" t="str">
        <f>IFERROR(VLOOKUP(Master8[[#This Row],[Cell_ID]],Registre_Maintenance[],6,FALSE),"")</f>
        <v>Ericsson</v>
      </c>
      <c r="M83" s="1" t="str">
        <f>VLOOKUP(Master8[[#This Row],[Province_RDC]],Client[],2,FALSE)</f>
        <v>CLI-01855</v>
      </c>
      <c r="N83" s="1">
        <f>VLOOKUP(Master8[[#This Row],[Province_RDC]],Client[],3,FALSE)</f>
        <v>101</v>
      </c>
      <c r="O83" s="1" t="str">
        <f>VLOOKUP(Master8[[#This Row],[Province_RDC]],Client[],4,FALSE)</f>
        <v>Illimité 50Go</v>
      </c>
      <c r="P83" s="1">
        <f>VLOOKUP(Master8[[#This Row],[Province_RDC]],Client[],5,FALSE)</f>
        <v>358</v>
      </c>
      <c r="Q83" s="1">
        <f>VLOOKUP(Master8[[#This Row],[Province_RDC]],Client[],6,FALSE)</f>
        <v>29.24</v>
      </c>
      <c r="R83" s="1">
        <f>VLOOKUP(Master8[[#This Row],[Province_RDC]],Client[],7,FALSE)</f>
        <v>3</v>
      </c>
      <c r="S83" s="1" t="str">
        <f>IF(Master8[[#This Row],[Type_Forfait]]="Pro Monde","B2B","B2C")</f>
        <v>B2C</v>
      </c>
      <c r="T83" s="1">
        <f>Master8[[#This Row],[Anciennete_Mois]]/12</f>
        <v>8.4166666666666661</v>
      </c>
      <c r="U83" s="1">
        <f>Master8[[#This Row],[Duree_Cumule_Panne_Min]]/60</f>
        <v>5.9666666666666668</v>
      </c>
      <c r="V8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3" s="6">
        <f>Master8[[#This Row],[Facture_Mensuelle]]*Master8[[#This Row],[Remise]]</f>
        <v>13.157999999999999</v>
      </c>
    </row>
    <row r="84" spans="1:24" x14ac:dyDescent="0.25">
      <c r="A84" s="1" t="s">
        <v>999</v>
      </c>
      <c r="B84" t="str">
        <f>IFERROR(VLOOKUP(Master8[[#This Row],[Cell_ID]],Registre_Maintenance[],2,FALSE),"")</f>
        <v>Sud-Kivu</v>
      </c>
      <c r="C84" s="1" t="s">
        <v>1020</v>
      </c>
      <c r="D84" s="2">
        <v>45213.342361111107</v>
      </c>
      <c r="E84" s="3">
        <v>45213.342361111107</v>
      </c>
      <c r="F84">
        <v>63</v>
      </c>
      <c r="G84">
        <f>Master8[[#This Row],[Duree_Panne_Min]]/60</f>
        <v>1.05</v>
      </c>
      <c r="H84" s="1" t="s">
        <v>735</v>
      </c>
      <c r="I84">
        <f>IFERROR(VLOOKUP(Master8[[#This Row],[Cell_ID]],Registre_Maintenance[],3,FALSE),"")</f>
        <v>0.31740800000000002</v>
      </c>
      <c r="J84">
        <f>IFERROR(VLOOKUP(Master8[[#This Row],[Cell_ID]],Registre_Maintenance[],4,FALSE),"")</f>
        <v>27.197666999999999</v>
      </c>
      <c r="K84" t="str">
        <f>IFERROR(VLOOKUP(Master8[[#This Row],[Cell_ID]],Registre_Maintenance[],5,FALSE),"")</f>
        <v>5G</v>
      </c>
      <c r="L84" t="str">
        <f>IFERROR(VLOOKUP(Master8[[#This Row],[Cell_ID]],Registre_Maintenance[],6,FALSE),"")</f>
        <v>Nokia</v>
      </c>
      <c r="M84" s="1" t="str">
        <f>VLOOKUP(Master8[[#This Row],[Province_RDC]],Client[],2,FALSE)</f>
        <v>CLI-01855</v>
      </c>
      <c r="N84" s="1">
        <f>VLOOKUP(Master8[[#This Row],[Province_RDC]],Client[],3,FALSE)</f>
        <v>101</v>
      </c>
      <c r="O84" s="1" t="str">
        <f>VLOOKUP(Master8[[#This Row],[Province_RDC]],Client[],4,FALSE)</f>
        <v>Illimité 50Go</v>
      </c>
      <c r="P84" s="1">
        <f>VLOOKUP(Master8[[#This Row],[Province_RDC]],Client[],5,FALSE)</f>
        <v>358</v>
      </c>
      <c r="Q84" s="1">
        <f>VLOOKUP(Master8[[#This Row],[Province_RDC]],Client[],6,FALSE)</f>
        <v>29.24</v>
      </c>
      <c r="R84" s="1">
        <f>VLOOKUP(Master8[[#This Row],[Province_RDC]],Client[],7,FALSE)</f>
        <v>3</v>
      </c>
      <c r="S84" s="1" t="str">
        <f>IF(Master8[[#This Row],[Type_Forfait]]="Pro Monde","B2B","B2C")</f>
        <v>B2C</v>
      </c>
      <c r="T84" s="1">
        <f>Master8[[#This Row],[Anciennete_Mois]]/12</f>
        <v>8.4166666666666661</v>
      </c>
      <c r="U84" s="1">
        <f>Master8[[#This Row],[Duree_Cumule_Panne_Min]]/60</f>
        <v>5.9666666666666668</v>
      </c>
      <c r="V8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4" s="6">
        <f>Master8[[#This Row],[Facture_Mensuelle]]*Master8[[#This Row],[Remise]]</f>
        <v>13.157999999999999</v>
      </c>
    </row>
    <row r="85" spans="1:24" x14ac:dyDescent="0.25">
      <c r="A85" s="1" t="s">
        <v>1193</v>
      </c>
      <c r="B85" t="str">
        <f>IFERROR(VLOOKUP(Master8[[#This Row],[Cell_ID]],Registre_Maintenance[],2,FALSE),"")</f>
        <v>Sud-Kivu</v>
      </c>
      <c r="C85" s="1" t="s">
        <v>1206</v>
      </c>
      <c r="D85" s="2">
        <v>45211.128472222219</v>
      </c>
      <c r="E85" s="3">
        <v>45211.128472222219</v>
      </c>
      <c r="F85">
        <v>110</v>
      </c>
      <c r="G85">
        <f>Master8[[#This Row],[Duree_Panne_Min]]/60</f>
        <v>1.8333333333333333</v>
      </c>
      <c r="H85" s="1" t="s">
        <v>735</v>
      </c>
      <c r="I85">
        <f>IFERROR(VLOOKUP(Master8[[#This Row],[Cell_ID]],Registre_Maintenance[],3,FALSE),"")</f>
        <v>2.453036</v>
      </c>
      <c r="J85">
        <f>IFERROR(VLOOKUP(Master8[[#This Row],[Cell_ID]],Registre_Maintenance[],4,FALSE),"")</f>
        <v>20.555484</v>
      </c>
      <c r="K85" t="str">
        <f>IFERROR(VLOOKUP(Master8[[#This Row],[Cell_ID]],Registre_Maintenance[],5,FALSE),"")</f>
        <v>5G</v>
      </c>
      <c r="L85" t="str">
        <f>IFERROR(VLOOKUP(Master8[[#This Row],[Cell_ID]],Registre_Maintenance[],6,FALSE),"")</f>
        <v>Ericsson</v>
      </c>
      <c r="M85" s="1" t="str">
        <f>VLOOKUP(Master8[[#This Row],[Province_RDC]],Client[],2,FALSE)</f>
        <v>CLI-01855</v>
      </c>
      <c r="N85" s="1">
        <f>VLOOKUP(Master8[[#This Row],[Province_RDC]],Client[],3,FALSE)</f>
        <v>101</v>
      </c>
      <c r="O85" s="1" t="str">
        <f>VLOOKUP(Master8[[#This Row],[Province_RDC]],Client[],4,FALSE)</f>
        <v>Illimité 50Go</v>
      </c>
      <c r="P85" s="1">
        <f>VLOOKUP(Master8[[#This Row],[Province_RDC]],Client[],5,FALSE)</f>
        <v>358</v>
      </c>
      <c r="Q85" s="1">
        <f>VLOOKUP(Master8[[#This Row],[Province_RDC]],Client[],6,FALSE)</f>
        <v>29.24</v>
      </c>
      <c r="R85" s="1">
        <f>VLOOKUP(Master8[[#This Row],[Province_RDC]],Client[],7,FALSE)</f>
        <v>3</v>
      </c>
      <c r="S85" s="1" t="str">
        <f>IF(Master8[[#This Row],[Type_Forfait]]="Pro Monde","B2B","B2C")</f>
        <v>B2C</v>
      </c>
      <c r="T85" s="1">
        <f>Master8[[#This Row],[Anciennete_Mois]]/12</f>
        <v>8.4166666666666661</v>
      </c>
      <c r="U85" s="1">
        <f>Master8[[#This Row],[Duree_Cumule_Panne_Min]]/60</f>
        <v>5.9666666666666668</v>
      </c>
      <c r="V8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5" s="6">
        <f>Master8[[#This Row],[Facture_Mensuelle]]*Master8[[#This Row],[Remise]]</f>
        <v>13.157999999999999</v>
      </c>
    </row>
    <row r="86" spans="1:24" x14ac:dyDescent="0.25">
      <c r="A86" s="1" t="s">
        <v>1165</v>
      </c>
      <c r="B86" t="str">
        <f>IFERROR(VLOOKUP(Master8[[#This Row],[Cell_ID]],Registre_Maintenance[],2,FALSE),"")</f>
        <v>Sud-Kivu</v>
      </c>
      <c r="C86" s="1" t="s">
        <v>819</v>
      </c>
      <c r="D86" s="2">
        <v>45211.106944444437</v>
      </c>
      <c r="E86" s="3">
        <v>45211.106944444437</v>
      </c>
      <c r="F86">
        <v>87</v>
      </c>
      <c r="G86">
        <f>Master8[[#This Row],[Duree_Panne_Min]]/60</f>
        <v>1.45</v>
      </c>
      <c r="H86" s="1" t="s">
        <v>737</v>
      </c>
      <c r="I86">
        <f>IFERROR(VLOOKUP(Master8[[#This Row],[Cell_ID]],Registre_Maintenance[],3,FALSE),"")</f>
        <v>-5.2526849999999996</v>
      </c>
      <c r="J86">
        <f>IFERROR(VLOOKUP(Master8[[#This Row],[Cell_ID]],Registre_Maintenance[],4,FALSE),"")</f>
        <v>12.374528</v>
      </c>
      <c r="K86" t="str">
        <f>IFERROR(VLOOKUP(Master8[[#This Row],[Cell_ID]],Registre_Maintenance[],5,FALSE),"")</f>
        <v>3G</v>
      </c>
      <c r="L86" t="str">
        <f>IFERROR(VLOOKUP(Master8[[#This Row],[Cell_ID]],Registre_Maintenance[],6,FALSE),"")</f>
        <v>Nokia</v>
      </c>
      <c r="M86" s="1" t="str">
        <f>VLOOKUP(Master8[[#This Row],[Province_RDC]],Client[],2,FALSE)</f>
        <v>CLI-01855</v>
      </c>
      <c r="N86" s="1">
        <f>VLOOKUP(Master8[[#This Row],[Province_RDC]],Client[],3,FALSE)</f>
        <v>101</v>
      </c>
      <c r="O86" s="1" t="str">
        <f>VLOOKUP(Master8[[#This Row],[Province_RDC]],Client[],4,FALSE)</f>
        <v>Illimité 50Go</v>
      </c>
      <c r="P86" s="1">
        <f>VLOOKUP(Master8[[#This Row],[Province_RDC]],Client[],5,FALSE)</f>
        <v>358</v>
      </c>
      <c r="Q86" s="1">
        <f>VLOOKUP(Master8[[#This Row],[Province_RDC]],Client[],6,FALSE)</f>
        <v>29.24</v>
      </c>
      <c r="R86" s="1">
        <f>VLOOKUP(Master8[[#This Row],[Province_RDC]],Client[],7,FALSE)</f>
        <v>3</v>
      </c>
      <c r="S86" s="1" t="str">
        <f>IF(Master8[[#This Row],[Type_Forfait]]="Pro Monde","B2B","B2C")</f>
        <v>B2C</v>
      </c>
      <c r="T86" s="1">
        <f>Master8[[#This Row],[Anciennete_Mois]]/12</f>
        <v>8.4166666666666661</v>
      </c>
      <c r="U86" s="1">
        <f>Master8[[#This Row],[Duree_Cumule_Panne_Min]]/60</f>
        <v>5.9666666666666668</v>
      </c>
      <c r="V8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6" s="6">
        <f>Master8[[#This Row],[Facture_Mensuelle]]*Master8[[#This Row],[Remise]]</f>
        <v>13.157999999999999</v>
      </c>
    </row>
    <row r="87" spans="1:24" x14ac:dyDescent="0.25">
      <c r="A87" s="1" t="s">
        <v>1241</v>
      </c>
      <c r="B87" t="str">
        <f>IFERROR(VLOOKUP(Master8[[#This Row],[Cell_ID]],Registre_Maintenance[],2,FALSE),"")</f>
        <v>Sud-Kivu</v>
      </c>
      <c r="C87" s="1" t="s">
        <v>964</v>
      </c>
      <c r="D87" s="2">
        <v>45210.49722222222</v>
      </c>
      <c r="E87" s="3">
        <v>45210.49722222222</v>
      </c>
      <c r="F87">
        <v>75</v>
      </c>
      <c r="G87">
        <f>Master8[[#This Row],[Duree_Panne_Min]]/60</f>
        <v>1.25</v>
      </c>
      <c r="H87" s="1" t="s">
        <v>737</v>
      </c>
      <c r="I87">
        <f>IFERROR(VLOOKUP(Master8[[#This Row],[Cell_ID]],Registre_Maintenance[],3,FALSE),"")</f>
        <v>-9.3900009999999998</v>
      </c>
      <c r="J87">
        <f>IFERROR(VLOOKUP(Master8[[#This Row],[Cell_ID]],Registre_Maintenance[],4,FALSE),"")</f>
        <v>30.001517</v>
      </c>
      <c r="K87" t="str">
        <f>IFERROR(VLOOKUP(Master8[[#This Row],[Cell_ID]],Registre_Maintenance[],5,FALSE),"")</f>
        <v>3G</v>
      </c>
      <c r="L87" t="str">
        <f>IFERROR(VLOOKUP(Master8[[#This Row],[Cell_ID]],Registre_Maintenance[],6,FALSE),"")</f>
        <v>Nokia</v>
      </c>
      <c r="M87" s="1" t="str">
        <f>VLOOKUP(Master8[[#This Row],[Province_RDC]],Client[],2,FALSE)</f>
        <v>CLI-01855</v>
      </c>
      <c r="N87" s="1">
        <f>VLOOKUP(Master8[[#This Row],[Province_RDC]],Client[],3,FALSE)</f>
        <v>101</v>
      </c>
      <c r="O87" s="1" t="str">
        <f>VLOOKUP(Master8[[#This Row],[Province_RDC]],Client[],4,FALSE)</f>
        <v>Illimité 50Go</v>
      </c>
      <c r="P87" s="1">
        <f>VLOOKUP(Master8[[#This Row],[Province_RDC]],Client[],5,FALSE)</f>
        <v>358</v>
      </c>
      <c r="Q87" s="1">
        <f>VLOOKUP(Master8[[#This Row],[Province_RDC]],Client[],6,FALSE)</f>
        <v>29.24</v>
      </c>
      <c r="R87" s="1">
        <f>VLOOKUP(Master8[[#This Row],[Province_RDC]],Client[],7,FALSE)</f>
        <v>3</v>
      </c>
      <c r="S87" s="1" t="str">
        <f>IF(Master8[[#This Row],[Type_Forfait]]="Pro Monde","B2B","B2C")</f>
        <v>B2C</v>
      </c>
      <c r="T87" s="1">
        <f>Master8[[#This Row],[Anciennete_Mois]]/12</f>
        <v>8.4166666666666661</v>
      </c>
      <c r="U87" s="1">
        <f>Master8[[#This Row],[Duree_Cumule_Panne_Min]]/60</f>
        <v>5.9666666666666668</v>
      </c>
      <c r="V8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7" s="6">
        <f>Master8[[#This Row],[Facture_Mensuelle]]*Master8[[#This Row],[Remise]]</f>
        <v>13.157999999999999</v>
      </c>
    </row>
    <row r="88" spans="1:24" x14ac:dyDescent="0.25">
      <c r="A88" s="1" t="s">
        <v>1261</v>
      </c>
      <c r="B88" t="str">
        <f>IFERROR(VLOOKUP(Master8[[#This Row],[Cell_ID]],Registre_Maintenance[],2,FALSE),"")</f>
        <v>Sud-Kivu</v>
      </c>
      <c r="C88" s="1" t="s">
        <v>1283</v>
      </c>
      <c r="D88" s="2">
        <v>45208.10833333333</v>
      </c>
      <c r="E88" s="3">
        <v>45208.10833333333</v>
      </c>
      <c r="F88">
        <v>102</v>
      </c>
      <c r="G88">
        <f>Master8[[#This Row],[Duree_Panne_Min]]/60</f>
        <v>1.7</v>
      </c>
      <c r="H88" s="1" t="s">
        <v>735</v>
      </c>
      <c r="I88">
        <f>IFERROR(VLOOKUP(Master8[[#This Row],[Cell_ID]],Registre_Maintenance[],3,FALSE),"")</f>
        <v>-1.4700059999999999</v>
      </c>
      <c r="J88">
        <f>IFERROR(VLOOKUP(Master8[[#This Row],[Cell_ID]],Registre_Maintenance[],4,FALSE),"")</f>
        <v>18.680958</v>
      </c>
      <c r="K88" t="str">
        <f>IFERROR(VLOOKUP(Master8[[#This Row],[Cell_ID]],Registre_Maintenance[],5,FALSE),"")</f>
        <v>3G</v>
      </c>
      <c r="L88" t="str">
        <f>IFERROR(VLOOKUP(Master8[[#This Row],[Cell_ID]],Registre_Maintenance[],6,FALSE),"")</f>
        <v>Huawei</v>
      </c>
      <c r="M88" s="1" t="str">
        <f>VLOOKUP(Master8[[#This Row],[Province_RDC]],Client[],2,FALSE)</f>
        <v>CLI-01855</v>
      </c>
      <c r="N88" s="1">
        <f>VLOOKUP(Master8[[#This Row],[Province_RDC]],Client[],3,FALSE)</f>
        <v>101</v>
      </c>
      <c r="O88" s="1" t="str">
        <f>VLOOKUP(Master8[[#This Row],[Province_RDC]],Client[],4,FALSE)</f>
        <v>Illimité 50Go</v>
      </c>
      <c r="P88" s="1">
        <f>VLOOKUP(Master8[[#This Row],[Province_RDC]],Client[],5,FALSE)</f>
        <v>358</v>
      </c>
      <c r="Q88" s="1">
        <f>VLOOKUP(Master8[[#This Row],[Province_RDC]],Client[],6,FALSE)</f>
        <v>29.24</v>
      </c>
      <c r="R88" s="1">
        <f>VLOOKUP(Master8[[#This Row],[Province_RDC]],Client[],7,FALSE)</f>
        <v>3</v>
      </c>
      <c r="S88" s="1" t="str">
        <f>IF(Master8[[#This Row],[Type_Forfait]]="Pro Monde","B2B","B2C")</f>
        <v>B2C</v>
      </c>
      <c r="T88" s="1">
        <f>Master8[[#This Row],[Anciennete_Mois]]/12</f>
        <v>8.4166666666666661</v>
      </c>
      <c r="U88" s="1">
        <f>Master8[[#This Row],[Duree_Cumule_Panne_Min]]/60</f>
        <v>5.9666666666666668</v>
      </c>
      <c r="V8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8" s="6">
        <f>Master8[[#This Row],[Facture_Mensuelle]]*Master8[[#This Row],[Remise]]</f>
        <v>13.157999999999999</v>
      </c>
    </row>
    <row r="89" spans="1:24" x14ac:dyDescent="0.25">
      <c r="A89" s="1" t="s">
        <v>1241</v>
      </c>
      <c r="B89" t="str">
        <f>IFERROR(VLOOKUP(Master8[[#This Row],[Cell_ID]],Registre_Maintenance[],2,FALSE),"")</f>
        <v>Sud-Kivu</v>
      </c>
      <c r="C89" s="1" t="s">
        <v>1246</v>
      </c>
      <c r="D89" s="2">
        <v>45206.636805555558</v>
      </c>
      <c r="E89" s="3">
        <v>45206.636805555558</v>
      </c>
      <c r="F89">
        <v>32</v>
      </c>
      <c r="G89">
        <f>Master8[[#This Row],[Duree_Panne_Min]]/60</f>
        <v>0.53333333333333333</v>
      </c>
      <c r="H89" s="1" t="s">
        <v>737</v>
      </c>
      <c r="I89">
        <f>IFERROR(VLOOKUP(Master8[[#This Row],[Cell_ID]],Registre_Maintenance[],3,FALSE),"")</f>
        <v>-11.514817000000001</v>
      </c>
      <c r="J89">
        <f>IFERROR(VLOOKUP(Master8[[#This Row],[Cell_ID]],Registre_Maintenance[],4,FALSE),"")</f>
        <v>24.891375</v>
      </c>
      <c r="K89" t="str">
        <f>IFERROR(VLOOKUP(Master8[[#This Row],[Cell_ID]],Registre_Maintenance[],5,FALSE),"")</f>
        <v>3G</v>
      </c>
      <c r="L89" t="str">
        <f>IFERROR(VLOOKUP(Master8[[#This Row],[Cell_ID]],Registre_Maintenance[],6,FALSE),"")</f>
        <v>Nokia</v>
      </c>
      <c r="M89" s="1" t="str">
        <f>VLOOKUP(Master8[[#This Row],[Province_RDC]],Client[],2,FALSE)</f>
        <v>CLI-01855</v>
      </c>
      <c r="N89" s="1">
        <f>VLOOKUP(Master8[[#This Row],[Province_RDC]],Client[],3,FALSE)</f>
        <v>101</v>
      </c>
      <c r="O89" s="1" t="str">
        <f>VLOOKUP(Master8[[#This Row],[Province_RDC]],Client[],4,FALSE)</f>
        <v>Illimité 50Go</v>
      </c>
      <c r="P89" s="1">
        <f>VLOOKUP(Master8[[#This Row],[Province_RDC]],Client[],5,FALSE)</f>
        <v>358</v>
      </c>
      <c r="Q89" s="1">
        <f>VLOOKUP(Master8[[#This Row],[Province_RDC]],Client[],6,FALSE)</f>
        <v>29.24</v>
      </c>
      <c r="R89" s="1">
        <f>VLOOKUP(Master8[[#This Row],[Province_RDC]],Client[],7,FALSE)</f>
        <v>3</v>
      </c>
      <c r="S89" s="1" t="str">
        <f>IF(Master8[[#This Row],[Type_Forfait]]="Pro Monde","B2B","B2C")</f>
        <v>B2C</v>
      </c>
      <c r="T89" s="1">
        <f>Master8[[#This Row],[Anciennete_Mois]]/12</f>
        <v>8.4166666666666661</v>
      </c>
      <c r="U89" s="1">
        <f>Master8[[#This Row],[Duree_Cumule_Panne_Min]]/60</f>
        <v>5.9666666666666668</v>
      </c>
      <c r="V8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8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89" s="6">
        <f>Master8[[#This Row],[Facture_Mensuelle]]*Master8[[#This Row],[Remise]]</f>
        <v>13.157999999999999</v>
      </c>
    </row>
    <row r="90" spans="1:24" x14ac:dyDescent="0.25">
      <c r="A90" s="1" t="s">
        <v>1219</v>
      </c>
      <c r="B90" t="str">
        <f>IFERROR(VLOOKUP(Master8[[#This Row],[Cell_ID]],Registre_Maintenance[],2,FALSE),"")</f>
        <v>Sud-Kivu</v>
      </c>
      <c r="C90" s="1" t="s">
        <v>1230</v>
      </c>
      <c r="D90" s="2">
        <v>45205.440972222219</v>
      </c>
      <c r="E90" s="3">
        <v>45205.440972222219</v>
      </c>
      <c r="F90">
        <v>115</v>
      </c>
      <c r="G90">
        <f>Master8[[#This Row],[Duree_Panne_Min]]/60</f>
        <v>1.9166666666666667</v>
      </c>
      <c r="H90" s="1" t="s">
        <v>735</v>
      </c>
      <c r="I90">
        <f>IFERROR(VLOOKUP(Master8[[#This Row],[Cell_ID]],Registre_Maintenance[],3,FALSE),"")</f>
        <v>-1.3024210000000001</v>
      </c>
      <c r="J90">
        <f>IFERROR(VLOOKUP(Master8[[#This Row],[Cell_ID]],Registre_Maintenance[],4,FALSE),"")</f>
        <v>13.601914000000001</v>
      </c>
      <c r="K90" t="str">
        <f>IFERROR(VLOOKUP(Master8[[#This Row],[Cell_ID]],Registre_Maintenance[],5,FALSE),"")</f>
        <v>3G</v>
      </c>
      <c r="L90" t="str">
        <f>IFERROR(VLOOKUP(Master8[[#This Row],[Cell_ID]],Registre_Maintenance[],6,FALSE),"")</f>
        <v>Huawei</v>
      </c>
      <c r="M90" s="1" t="str">
        <f>VLOOKUP(Master8[[#This Row],[Province_RDC]],Client[],2,FALSE)</f>
        <v>CLI-01855</v>
      </c>
      <c r="N90" s="1">
        <f>VLOOKUP(Master8[[#This Row],[Province_RDC]],Client[],3,FALSE)</f>
        <v>101</v>
      </c>
      <c r="O90" s="1" t="str">
        <f>VLOOKUP(Master8[[#This Row],[Province_RDC]],Client[],4,FALSE)</f>
        <v>Illimité 50Go</v>
      </c>
      <c r="P90" s="1">
        <f>VLOOKUP(Master8[[#This Row],[Province_RDC]],Client[],5,FALSE)</f>
        <v>358</v>
      </c>
      <c r="Q90" s="1">
        <f>VLOOKUP(Master8[[#This Row],[Province_RDC]],Client[],6,FALSE)</f>
        <v>29.24</v>
      </c>
      <c r="R90" s="1">
        <f>VLOOKUP(Master8[[#This Row],[Province_RDC]],Client[],7,FALSE)</f>
        <v>3</v>
      </c>
      <c r="S90" s="1" t="str">
        <f>IF(Master8[[#This Row],[Type_Forfait]]="Pro Monde","B2B","B2C")</f>
        <v>B2C</v>
      </c>
      <c r="T90" s="1">
        <f>Master8[[#This Row],[Anciennete_Mois]]/12</f>
        <v>8.4166666666666661</v>
      </c>
      <c r="U90" s="1">
        <f>Master8[[#This Row],[Duree_Cumule_Panne_Min]]/60</f>
        <v>5.9666666666666668</v>
      </c>
      <c r="V9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0" s="6">
        <f>Master8[[#This Row],[Facture_Mensuelle]]*Master8[[#This Row],[Remise]]</f>
        <v>13.157999999999999</v>
      </c>
    </row>
    <row r="91" spans="1:24" x14ac:dyDescent="0.25">
      <c r="A91" s="1" t="s">
        <v>978</v>
      </c>
      <c r="B91" t="str">
        <f>IFERROR(VLOOKUP(Master8[[#This Row],[Cell_ID]],Registre_Maintenance[],2,FALSE),"")</f>
        <v>Sud-Kivu</v>
      </c>
      <c r="C91" s="1" t="s">
        <v>819</v>
      </c>
      <c r="D91" s="2">
        <v>45205.154166666667</v>
      </c>
      <c r="E91" s="3">
        <v>45205.154166666667</v>
      </c>
      <c r="F91">
        <v>12</v>
      </c>
      <c r="G91">
        <f>Master8[[#This Row],[Duree_Panne_Min]]/60</f>
        <v>0.2</v>
      </c>
      <c r="H91" s="1" t="s">
        <v>732</v>
      </c>
      <c r="I91">
        <f>IFERROR(VLOOKUP(Master8[[#This Row],[Cell_ID]],Registre_Maintenance[],3,FALSE),"")</f>
        <v>-5.2526849999999996</v>
      </c>
      <c r="J91">
        <f>IFERROR(VLOOKUP(Master8[[#This Row],[Cell_ID]],Registre_Maintenance[],4,FALSE),"")</f>
        <v>12.374528</v>
      </c>
      <c r="K91" t="str">
        <f>IFERROR(VLOOKUP(Master8[[#This Row],[Cell_ID]],Registre_Maintenance[],5,FALSE),"")</f>
        <v>3G</v>
      </c>
      <c r="L91" t="str">
        <f>IFERROR(VLOOKUP(Master8[[#This Row],[Cell_ID]],Registre_Maintenance[],6,FALSE),"")</f>
        <v>Nokia</v>
      </c>
      <c r="M91" s="1" t="str">
        <f>VLOOKUP(Master8[[#This Row],[Province_RDC]],Client[],2,FALSE)</f>
        <v>CLI-01855</v>
      </c>
      <c r="N91" s="1">
        <f>VLOOKUP(Master8[[#This Row],[Province_RDC]],Client[],3,FALSE)</f>
        <v>101</v>
      </c>
      <c r="O91" s="1" t="str">
        <f>VLOOKUP(Master8[[#This Row],[Province_RDC]],Client[],4,FALSE)</f>
        <v>Illimité 50Go</v>
      </c>
      <c r="P91" s="1">
        <f>VLOOKUP(Master8[[#This Row],[Province_RDC]],Client[],5,FALSE)</f>
        <v>358</v>
      </c>
      <c r="Q91" s="1">
        <f>VLOOKUP(Master8[[#This Row],[Province_RDC]],Client[],6,FALSE)</f>
        <v>29.24</v>
      </c>
      <c r="R91" s="1">
        <f>VLOOKUP(Master8[[#This Row],[Province_RDC]],Client[],7,FALSE)</f>
        <v>3</v>
      </c>
      <c r="S91" s="1" t="str">
        <f>IF(Master8[[#This Row],[Type_Forfait]]="Pro Monde","B2B","B2C")</f>
        <v>B2C</v>
      </c>
      <c r="T91" s="1">
        <f>Master8[[#This Row],[Anciennete_Mois]]/12</f>
        <v>8.4166666666666661</v>
      </c>
      <c r="U91" s="1">
        <f>Master8[[#This Row],[Duree_Cumule_Panne_Min]]/60</f>
        <v>5.9666666666666668</v>
      </c>
      <c r="V9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1" s="6">
        <f>Master8[[#This Row],[Facture_Mensuelle]]*Master8[[#This Row],[Remise]]</f>
        <v>13.157999999999999</v>
      </c>
    </row>
    <row r="92" spans="1:24" x14ac:dyDescent="0.25">
      <c r="A92" s="1" t="s">
        <v>1219</v>
      </c>
      <c r="B92" t="str">
        <f>IFERROR(VLOOKUP(Master8[[#This Row],[Cell_ID]],Registre_Maintenance[],2,FALSE),"")</f>
        <v>Sud-Kivu</v>
      </c>
      <c r="C92" s="1" t="s">
        <v>843</v>
      </c>
      <c r="D92" s="2">
        <v>45203.224305555559</v>
      </c>
      <c r="E92" s="3">
        <v>45203.224305555559</v>
      </c>
      <c r="F92">
        <v>102</v>
      </c>
      <c r="G92">
        <f>Master8[[#This Row],[Duree_Panne_Min]]/60</f>
        <v>1.7</v>
      </c>
      <c r="H92" s="1" t="s">
        <v>737</v>
      </c>
      <c r="I92">
        <f>IFERROR(VLOOKUP(Master8[[#This Row],[Cell_ID]],Registre_Maintenance[],3,FALSE),"")</f>
        <v>-9.4702129999999993</v>
      </c>
      <c r="J92">
        <f>IFERROR(VLOOKUP(Master8[[#This Row],[Cell_ID]],Registre_Maintenance[],4,FALSE),"")</f>
        <v>12.826158</v>
      </c>
      <c r="K92" t="str">
        <f>IFERROR(VLOOKUP(Master8[[#This Row],[Cell_ID]],Registre_Maintenance[],5,FALSE),"")</f>
        <v>3G</v>
      </c>
      <c r="L92" t="str">
        <f>IFERROR(VLOOKUP(Master8[[#This Row],[Cell_ID]],Registre_Maintenance[],6,FALSE),"")</f>
        <v>Ericsson</v>
      </c>
      <c r="M92" s="1" t="str">
        <f>VLOOKUP(Master8[[#This Row],[Province_RDC]],Client[],2,FALSE)</f>
        <v>CLI-01855</v>
      </c>
      <c r="N92" s="1">
        <f>VLOOKUP(Master8[[#This Row],[Province_RDC]],Client[],3,FALSE)</f>
        <v>101</v>
      </c>
      <c r="O92" s="1" t="str">
        <f>VLOOKUP(Master8[[#This Row],[Province_RDC]],Client[],4,FALSE)</f>
        <v>Illimité 50Go</v>
      </c>
      <c r="P92" s="1">
        <f>VLOOKUP(Master8[[#This Row],[Province_RDC]],Client[],5,FALSE)</f>
        <v>358</v>
      </c>
      <c r="Q92" s="1">
        <f>VLOOKUP(Master8[[#This Row],[Province_RDC]],Client[],6,FALSE)</f>
        <v>29.24</v>
      </c>
      <c r="R92" s="1">
        <f>VLOOKUP(Master8[[#This Row],[Province_RDC]],Client[],7,FALSE)</f>
        <v>3</v>
      </c>
      <c r="S92" s="1" t="str">
        <f>IF(Master8[[#This Row],[Type_Forfait]]="Pro Monde","B2B","B2C")</f>
        <v>B2C</v>
      </c>
      <c r="T92" s="1">
        <f>Master8[[#This Row],[Anciennete_Mois]]/12</f>
        <v>8.4166666666666661</v>
      </c>
      <c r="U92" s="1">
        <f>Master8[[#This Row],[Duree_Cumule_Panne_Min]]/60</f>
        <v>5.9666666666666668</v>
      </c>
      <c r="V9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2" s="6">
        <f>Master8[[#This Row],[Facture_Mensuelle]]*Master8[[#This Row],[Remise]]</f>
        <v>13.157999999999999</v>
      </c>
    </row>
    <row r="93" spans="1:24" x14ac:dyDescent="0.25">
      <c r="A93" s="1" t="s">
        <v>999</v>
      </c>
      <c r="B93" t="str">
        <f>IFERROR(VLOOKUP(Master8[[#This Row],[Cell_ID]],Registre_Maintenance[],2,FALSE),"")</f>
        <v>Sud-Kivu</v>
      </c>
      <c r="C93" s="1" t="s">
        <v>1007</v>
      </c>
      <c r="D93" s="2">
        <v>45200.832638888889</v>
      </c>
      <c r="E93" s="3">
        <v>45200.832638888889</v>
      </c>
      <c r="F93">
        <v>27</v>
      </c>
      <c r="G93">
        <f>Master8[[#This Row],[Duree_Panne_Min]]/60</f>
        <v>0.45</v>
      </c>
      <c r="H93" s="1" t="s">
        <v>732</v>
      </c>
      <c r="I93">
        <f>IFERROR(VLOOKUP(Master8[[#This Row],[Cell_ID]],Registre_Maintenance[],3,FALSE),"")</f>
        <v>1.2419519999999999</v>
      </c>
      <c r="J93">
        <f>IFERROR(VLOOKUP(Master8[[#This Row],[Cell_ID]],Registre_Maintenance[],4,FALSE),"")</f>
        <v>25.261382999999999</v>
      </c>
      <c r="K93" t="str">
        <f>IFERROR(VLOOKUP(Master8[[#This Row],[Cell_ID]],Registre_Maintenance[],5,FALSE),"")</f>
        <v>4G</v>
      </c>
      <c r="L93" t="str">
        <f>IFERROR(VLOOKUP(Master8[[#This Row],[Cell_ID]],Registre_Maintenance[],6,FALSE),"")</f>
        <v>Huawei</v>
      </c>
      <c r="M93" s="1" t="str">
        <f>VLOOKUP(Master8[[#This Row],[Province_RDC]],Client[],2,FALSE)</f>
        <v>CLI-01855</v>
      </c>
      <c r="N93" s="1">
        <f>VLOOKUP(Master8[[#This Row],[Province_RDC]],Client[],3,FALSE)</f>
        <v>101</v>
      </c>
      <c r="O93" s="1" t="str">
        <f>VLOOKUP(Master8[[#This Row],[Province_RDC]],Client[],4,FALSE)</f>
        <v>Illimité 50Go</v>
      </c>
      <c r="P93" s="1">
        <f>VLOOKUP(Master8[[#This Row],[Province_RDC]],Client[],5,FALSE)</f>
        <v>358</v>
      </c>
      <c r="Q93" s="1">
        <f>VLOOKUP(Master8[[#This Row],[Province_RDC]],Client[],6,FALSE)</f>
        <v>29.24</v>
      </c>
      <c r="R93" s="1">
        <f>VLOOKUP(Master8[[#This Row],[Province_RDC]],Client[],7,FALSE)</f>
        <v>3</v>
      </c>
      <c r="S93" s="1" t="str">
        <f>IF(Master8[[#This Row],[Type_Forfait]]="Pro Monde","B2B","B2C")</f>
        <v>B2C</v>
      </c>
      <c r="T93" s="1">
        <f>Master8[[#This Row],[Anciennete_Mois]]/12</f>
        <v>8.4166666666666661</v>
      </c>
      <c r="U93" s="1">
        <f>Master8[[#This Row],[Duree_Cumule_Panne_Min]]/60</f>
        <v>5.9666666666666668</v>
      </c>
      <c r="V9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3" s="6">
        <f>Master8[[#This Row],[Facture_Mensuelle]]*Master8[[#This Row],[Remise]]</f>
        <v>13.157999999999999</v>
      </c>
    </row>
    <row r="94" spans="1:24" x14ac:dyDescent="0.25">
      <c r="A94" s="1" t="s">
        <v>978</v>
      </c>
      <c r="B94" t="str">
        <f>IFERROR(VLOOKUP(Master8[[#This Row],[Cell_ID]],Registre_Maintenance[],2,FALSE),"")</f>
        <v>Sud-Kivu</v>
      </c>
      <c r="C94" s="1" t="s">
        <v>997</v>
      </c>
      <c r="D94" s="2">
        <v>45200.493055555547</v>
      </c>
      <c r="E94" s="3">
        <v>45200.493055555547</v>
      </c>
      <c r="F94">
        <v>113</v>
      </c>
      <c r="G94">
        <f>Master8[[#This Row],[Duree_Panne_Min]]/60</f>
        <v>1.8833333333333333</v>
      </c>
      <c r="H94" s="1" t="s">
        <v>732</v>
      </c>
      <c r="I94">
        <f>IFERROR(VLOOKUP(Master8[[#This Row],[Cell_ID]],Registre_Maintenance[],3,FALSE),"")</f>
        <v>-1.5419050000000001</v>
      </c>
      <c r="J94">
        <f>IFERROR(VLOOKUP(Master8[[#This Row],[Cell_ID]],Registre_Maintenance[],4,FALSE),"")</f>
        <v>14.730632999999999</v>
      </c>
      <c r="K94" t="str">
        <f>IFERROR(VLOOKUP(Master8[[#This Row],[Cell_ID]],Registre_Maintenance[],5,FALSE),"")</f>
        <v>3G</v>
      </c>
      <c r="L94" t="str">
        <f>IFERROR(VLOOKUP(Master8[[#This Row],[Cell_ID]],Registre_Maintenance[],6,FALSE),"")</f>
        <v>ZTE</v>
      </c>
      <c r="M94" s="1" t="str">
        <f>VLOOKUP(Master8[[#This Row],[Province_RDC]],Client[],2,FALSE)</f>
        <v>CLI-01855</v>
      </c>
      <c r="N94" s="1">
        <f>VLOOKUP(Master8[[#This Row],[Province_RDC]],Client[],3,FALSE)</f>
        <v>101</v>
      </c>
      <c r="O94" s="1" t="str">
        <f>VLOOKUP(Master8[[#This Row],[Province_RDC]],Client[],4,FALSE)</f>
        <v>Illimité 50Go</v>
      </c>
      <c r="P94" s="1">
        <f>VLOOKUP(Master8[[#This Row],[Province_RDC]],Client[],5,FALSE)</f>
        <v>358</v>
      </c>
      <c r="Q94" s="1">
        <f>VLOOKUP(Master8[[#This Row],[Province_RDC]],Client[],6,FALSE)</f>
        <v>29.24</v>
      </c>
      <c r="R94" s="1">
        <f>VLOOKUP(Master8[[#This Row],[Province_RDC]],Client[],7,FALSE)</f>
        <v>3</v>
      </c>
      <c r="S94" s="1" t="str">
        <f>IF(Master8[[#This Row],[Type_Forfait]]="Pro Monde","B2B","B2C")</f>
        <v>B2C</v>
      </c>
      <c r="T94" s="1">
        <f>Master8[[#This Row],[Anciennete_Mois]]/12</f>
        <v>8.4166666666666661</v>
      </c>
      <c r="U94" s="1">
        <f>Master8[[#This Row],[Duree_Cumule_Panne_Min]]/60</f>
        <v>5.9666666666666668</v>
      </c>
      <c r="V9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4" s="6">
        <f>Master8[[#This Row],[Facture_Mensuelle]]*Master8[[#This Row],[Remise]]</f>
        <v>13.157999999999999</v>
      </c>
    </row>
    <row r="95" spans="1:24" x14ac:dyDescent="0.25">
      <c r="A95" s="1" t="s">
        <v>1086</v>
      </c>
      <c r="B95" t="str">
        <f>IFERROR(VLOOKUP(Master8[[#This Row],[Cell_ID]],Registre_Maintenance[],2,FALSE),"")</f>
        <v>Sankuru</v>
      </c>
      <c r="C95" s="1" t="s">
        <v>1095</v>
      </c>
      <c r="D95" s="2">
        <v>45228.086111111108</v>
      </c>
      <c r="E95" s="3">
        <v>45228.086111111108</v>
      </c>
      <c r="F95">
        <v>43</v>
      </c>
      <c r="G95">
        <f>Master8[[#This Row],[Duree_Panne_Min]]/60</f>
        <v>0.71666666666666667</v>
      </c>
      <c r="H95" s="1" t="s">
        <v>737</v>
      </c>
      <c r="I95">
        <f>IFERROR(VLOOKUP(Master8[[#This Row],[Cell_ID]],Registre_Maintenance[],3,FALSE),"")</f>
        <v>-6.4883290000000002</v>
      </c>
      <c r="J95">
        <f>IFERROR(VLOOKUP(Master8[[#This Row],[Cell_ID]],Registre_Maintenance[],4,FALSE),"")</f>
        <v>25.103404000000001</v>
      </c>
      <c r="K95" t="str">
        <f>IFERROR(VLOOKUP(Master8[[#This Row],[Cell_ID]],Registre_Maintenance[],5,FALSE),"")</f>
        <v>5G</v>
      </c>
      <c r="L95" t="str">
        <f>IFERROR(VLOOKUP(Master8[[#This Row],[Cell_ID]],Registre_Maintenance[],6,FALSE),"")</f>
        <v>ZTE</v>
      </c>
      <c r="M95" s="1" t="str">
        <f>VLOOKUP(Master8[[#This Row],[Province_RDC]],Client[],2,FALSE)</f>
        <v>CLI-00530</v>
      </c>
      <c r="N95" s="1">
        <f>VLOOKUP(Master8[[#This Row],[Province_RDC]],Client[],3,FALSE)</f>
        <v>35</v>
      </c>
      <c r="O95" s="1" t="str">
        <f>VLOOKUP(Master8[[#This Row],[Province_RDC]],Client[],4,FALSE)</f>
        <v>Pro Monde</v>
      </c>
      <c r="P95" s="1">
        <f>VLOOKUP(Master8[[#This Row],[Province_RDC]],Client[],5,FALSE)</f>
        <v>465</v>
      </c>
      <c r="Q95" s="1">
        <f>VLOOKUP(Master8[[#This Row],[Province_RDC]],Client[],6,FALSE)</f>
        <v>58.59</v>
      </c>
      <c r="R95" s="1">
        <f>VLOOKUP(Master8[[#This Row],[Province_RDC]],Client[],7,FALSE)</f>
        <v>5</v>
      </c>
      <c r="S95" s="1" t="str">
        <f>IF(Master8[[#This Row],[Type_Forfait]]="Pro Monde","B2B","B2C")</f>
        <v>B2B</v>
      </c>
      <c r="T95" s="1">
        <f>Master8[[#This Row],[Anciennete_Mois]]/12</f>
        <v>2.9166666666666665</v>
      </c>
      <c r="U95" s="1">
        <f>Master8[[#This Row],[Duree_Cumule_Panne_Min]]/60</f>
        <v>7.75</v>
      </c>
      <c r="V9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5" s="6">
        <f>Master8[[#This Row],[Facture_Mensuelle]]*Master8[[#This Row],[Remise]]</f>
        <v>26.365500000000001</v>
      </c>
    </row>
    <row r="96" spans="1:24" x14ac:dyDescent="0.25">
      <c r="A96" s="1" t="s">
        <v>1308</v>
      </c>
      <c r="B96" t="str">
        <f>IFERROR(VLOOKUP(Master8[[#This Row],[Cell_ID]],Registre_Maintenance[],2,FALSE),"")</f>
        <v>Sankuru</v>
      </c>
      <c r="C96" s="1" t="s">
        <v>1309</v>
      </c>
      <c r="D96" s="2">
        <v>45226.224999999999</v>
      </c>
      <c r="E96" s="3">
        <v>45226.224999999999</v>
      </c>
      <c r="F96">
        <v>11</v>
      </c>
      <c r="G96">
        <f>Master8[[#This Row],[Duree_Panne_Min]]/60</f>
        <v>0.18333333333333332</v>
      </c>
      <c r="H96" s="1" t="s">
        <v>735</v>
      </c>
      <c r="I96">
        <f>IFERROR(VLOOKUP(Master8[[#This Row],[Cell_ID]],Registre_Maintenance[],3,FALSE),"")</f>
        <v>-0.157111</v>
      </c>
      <c r="J96">
        <f>IFERROR(VLOOKUP(Master8[[#This Row],[Cell_ID]],Registre_Maintenance[],4,FALSE),"")</f>
        <v>25.415125</v>
      </c>
      <c r="K96" t="str">
        <f>IFERROR(VLOOKUP(Master8[[#This Row],[Cell_ID]],Registre_Maintenance[],5,FALSE),"")</f>
        <v>4G</v>
      </c>
      <c r="L96" t="str">
        <f>IFERROR(VLOOKUP(Master8[[#This Row],[Cell_ID]],Registre_Maintenance[],6,FALSE),"")</f>
        <v>Ericsson</v>
      </c>
      <c r="M96" s="1" t="str">
        <f>VLOOKUP(Master8[[#This Row],[Province_RDC]],Client[],2,FALSE)</f>
        <v>CLI-00530</v>
      </c>
      <c r="N96" s="1">
        <f>VLOOKUP(Master8[[#This Row],[Province_RDC]],Client[],3,FALSE)</f>
        <v>35</v>
      </c>
      <c r="O96" s="1" t="str">
        <f>VLOOKUP(Master8[[#This Row],[Province_RDC]],Client[],4,FALSE)</f>
        <v>Pro Monde</v>
      </c>
      <c r="P96" s="1">
        <f>VLOOKUP(Master8[[#This Row],[Province_RDC]],Client[],5,FALSE)</f>
        <v>465</v>
      </c>
      <c r="Q96" s="1">
        <f>VLOOKUP(Master8[[#This Row],[Province_RDC]],Client[],6,FALSE)</f>
        <v>58.59</v>
      </c>
      <c r="R96" s="1">
        <f>VLOOKUP(Master8[[#This Row],[Province_RDC]],Client[],7,FALSE)</f>
        <v>5</v>
      </c>
      <c r="S96" s="1" t="str">
        <f>IF(Master8[[#This Row],[Type_Forfait]]="Pro Monde","B2B","B2C")</f>
        <v>B2B</v>
      </c>
      <c r="T96" s="1">
        <f>Master8[[#This Row],[Anciennete_Mois]]/12</f>
        <v>2.9166666666666665</v>
      </c>
      <c r="U96" s="1">
        <f>Master8[[#This Row],[Duree_Cumule_Panne_Min]]/60</f>
        <v>7.75</v>
      </c>
      <c r="V9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6" s="6">
        <f>Master8[[#This Row],[Facture_Mensuelle]]*Master8[[#This Row],[Remise]]</f>
        <v>26.365500000000001</v>
      </c>
    </row>
    <row r="97" spans="1:24" x14ac:dyDescent="0.25">
      <c r="A97" s="1" t="s">
        <v>823</v>
      </c>
      <c r="B97" t="str">
        <f>IFERROR(VLOOKUP(Master8[[#This Row],[Cell_ID]],Registre_Maintenance[],2,FALSE),"")</f>
        <v>Sankuru</v>
      </c>
      <c r="C97" s="1" t="s">
        <v>834</v>
      </c>
      <c r="D97" s="2">
        <v>45223.990972222222</v>
      </c>
      <c r="E97" s="3">
        <v>45223.990972222222</v>
      </c>
      <c r="F97">
        <v>23</v>
      </c>
      <c r="G97">
        <f>Master8[[#This Row],[Duree_Panne_Min]]/60</f>
        <v>0.38333333333333336</v>
      </c>
      <c r="H97" s="1" t="s">
        <v>732</v>
      </c>
      <c r="I97">
        <f>IFERROR(VLOOKUP(Master8[[#This Row],[Cell_ID]],Registre_Maintenance[],3,FALSE),"")</f>
        <v>-8.0922239999999999</v>
      </c>
      <c r="J97">
        <f>IFERROR(VLOOKUP(Master8[[#This Row],[Cell_ID]],Registre_Maintenance[],4,FALSE),"")</f>
        <v>15.483708</v>
      </c>
      <c r="K97" t="str">
        <f>IFERROR(VLOOKUP(Master8[[#This Row],[Cell_ID]],Registre_Maintenance[],5,FALSE),"")</f>
        <v>5G</v>
      </c>
      <c r="L97" t="str">
        <f>IFERROR(VLOOKUP(Master8[[#This Row],[Cell_ID]],Registre_Maintenance[],6,FALSE),"")</f>
        <v>Nokia</v>
      </c>
      <c r="M97" s="1" t="str">
        <f>VLOOKUP(Master8[[#This Row],[Province_RDC]],Client[],2,FALSE)</f>
        <v>CLI-00530</v>
      </c>
      <c r="N97" s="1">
        <f>VLOOKUP(Master8[[#This Row],[Province_RDC]],Client[],3,FALSE)</f>
        <v>35</v>
      </c>
      <c r="O97" s="1" t="str">
        <f>VLOOKUP(Master8[[#This Row],[Province_RDC]],Client[],4,FALSE)</f>
        <v>Pro Monde</v>
      </c>
      <c r="P97" s="1">
        <f>VLOOKUP(Master8[[#This Row],[Province_RDC]],Client[],5,FALSE)</f>
        <v>465</v>
      </c>
      <c r="Q97" s="1">
        <f>VLOOKUP(Master8[[#This Row],[Province_RDC]],Client[],6,FALSE)</f>
        <v>58.59</v>
      </c>
      <c r="R97" s="1">
        <f>VLOOKUP(Master8[[#This Row],[Province_RDC]],Client[],7,FALSE)</f>
        <v>5</v>
      </c>
      <c r="S97" s="1" t="str">
        <f>IF(Master8[[#This Row],[Type_Forfait]]="Pro Monde","B2B","B2C")</f>
        <v>B2B</v>
      </c>
      <c r="T97" s="1">
        <f>Master8[[#This Row],[Anciennete_Mois]]/12</f>
        <v>2.9166666666666665</v>
      </c>
      <c r="U97" s="1">
        <f>Master8[[#This Row],[Duree_Cumule_Panne_Min]]/60</f>
        <v>7.75</v>
      </c>
      <c r="V9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7" s="6">
        <f>Master8[[#This Row],[Facture_Mensuelle]]*Master8[[#This Row],[Remise]]</f>
        <v>26.365500000000001</v>
      </c>
    </row>
    <row r="98" spans="1:24" x14ac:dyDescent="0.25">
      <c r="A98" s="1" t="s">
        <v>1308</v>
      </c>
      <c r="B98" t="str">
        <f>IFERROR(VLOOKUP(Master8[[#This Row],[Cell_ID]],Registre_Maintenance[],2,FALSE),"")</f>
        <v>Sankuru</v>
      </c>
      <c r="C98" s="1" t="s">
        <v>967</v>
      </c>
      <c r="D98" s="2">
        <v>45222.902777777781</v>
      </c>
      <c r="E98" s="3">
        <v>45222.902777777781</v>
      </c>
      <c r="F98">
        <v>31</v>
      </c>
      <c r="G98">
        <f>Master8[[#This Row],[Duree_Panne_Min]]/60</f>
        <v>0.51666666666666672</v>
      </c>
      <c r="H98" s="1" t="s">
        <v>737</v>
      </c>
      <c r="I98">
        <f>IFERROR(VLOOKUP(Master8[[#This Row],[Cell_ID]],Registre_Maintenance[],3,FALSE),"")</f>
        <v>-7.5969509999999998</v>
      </c>
      <c r="J98">
        <f>IFERROR(VLOOKUP(Master8[[#This Row],[Cell_ID]],Registre_Maintenance[],4,FALSE),"")</f>
        <v>22.153986</v>
      </c>
      <c r="K98" t="str">
        <f>IFERROR(VLOOKUP(Master8[[#This Row],[Cell_ID]],Registre_Maintenance[],5,FALSE),"")</f>
        <v>3G</v>
      </c>
      <c r="L98" t="str">
        <f>IFERROR(VLOOKUP(Master8[[#This Row],[Cell_ID]],Registre_Maintenance[],6,FALSE),"")</f>
        <v>Ericsson</v>
      </c>
      <c r="M98" s="1" t="str">
        <f>VLOOKUP(Master8[[#This Row],[Province_RDC]],Client[],2,FALSE)</f>
        <v>CLI-00530</v>
      </c>
      <c r="N98" s="1">
        <f>VLOOKUP(Master8[[#This Row],[Province_RDC]],Client[],3,FALSE)</f>
        <v>35</v>
      </c>
      <c r="O98" s="1" t="str">
        <f>VLOOKUP(Master8[[#This Row],[Province_RDC]],Client[],4,FALSE)</f>
        <v>Pro Monde</v>
      </c>
      <c r="P98" s="1">
        <f>VLOOKUP(Master8[[#This Row],[Province_RDC]],Client[],5,FALSE)</f>
        <v>465</v>
      </c>
      <c r="Q98" s="1">
        <f>VLOOKUP(Master8[[#This Row],[Province_RDC]],Client[],6,FALSE)</f>
        <v>58.59</v>
      </c>
      <c r="R98" s="1">
        <f>VLOOKUP(Master8[[#This Row],[Province_RDC]],Client[],7,FALSE)</f>
        <v>5</v>
      </c>
      <c r="S98" s="1" t="str">
        <f>IF(Master8[[#This Row],[Type_Forfait]]="Pro Monde","B2B","B2C")</f>
        <v>B2B</v>
      </c>
      <c r="T98" s="1">
        <f>Master8[[#This Row],[Anciennete_Mois]]/12</f>
        <v>2.9166666666666665</v>
      </c>
      <c r="U98" s="1">
        <f>Master8[[#This Row],[Duree_Cumule_Panne_Min]]/60</f>
        <v>7.75</v>
      </c>
      <c r="V9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8" s="6">
        <f>Master8[[#This Row],[Facture_Mensuelle]]*Master8[[#This Row],[Remise]]</f>
        <v>26.365500000000001</v>
      </c>
    </row>
    <row r="99" spans="1:24" x14ac:dyDescent="0.25">
      <c r="A99" s="1" t="s">
        <v>1114</v>
      </c>
      <c r="B99" t="str">
        <f>IFERROR(VLOOKUP(Master8[[#This Row],[Cell_ID]],Registre_Maintenance[],2,FALSE),"")</f>
        <v>Sankuru</v>
      </c>
      <c r="C99" s="1" t="s">
        <v>1042</v>
      </c>
      <c r="D99" s="2">
        <v>45215.990277777782</v>
      </c>
      <c r="E99" s="3">
        <v>45215.990277777782</v>
      </c>
      <c r="F99">
        <v>66</v>
      </c>
      <c r="G99">
        <f>Master8[[#This Row],[Duree_Panne_Min]]/60</f>
        <v>1.1000000000000001</v>
      </c>
      <c r="H99" s="1" t="s">
        <v>737</v>
      </c>
      <c r="I99">
        <f>IFERROR(VLOOKUP(Master8[[#This Row],[Cell_ID]],Registre_Maintenance[],3,FALSE),"")</f>
        <v>-1.4110389999999999</v>
      </c>
      <c r="J99">
        <f>IFERROR(VLOOKUP(Master8[[#This Row],[Cell_ID]],Registre_Maintenance[],4,FALSE),"")</f>
        <v>21.261644</v>
      </c>
      <c r="K99" t="str">
        <f>IFERROR(VLOOKUP(Master8[[#This Row],[Cell_ID]],Registre_Maintenance[],5,FALSE),"")</f>
        <v>4G</v>
      </c>
      <c r="L99" t="str">
        <f>IFERROR(VLOOKUP(Master8[[#This Row],[Cell_ID]],Registre_Maintenance[],6,FALSE),"")</f>
        <v>ZTE</v>
      </c>
      <c r="M99" s="1" t="str">
        <f>VLOOKUP(Master8[[#This Row],[Province_RDC]],Client[],2,FALSE)</f>
        <v>CLI-00530</v>
      </c>
      <c r="N99" s="1">
        <f>VLOOKUP(Master8[[#This Row],[Province_RDC]],Client[],3,FALSE)</f>
        <v>35</v>
      </c>
      <c r="O99" s="1" t="str">
        <f>VLOOKUP(Master8[[#This Row],[Province_RDC]],Client[],4,FALSE)</f>
        <v>Pro Monde</v>
      </c>
      <c r="P99" s="1">
        <f>VLOOKUP(Master8[[#This Row],[Province_RDC]],Client[],5,FALSE)</f>
        <v>465</v>
      </c>
      <c r="Q99" s="1">
        <f>VLOOKUP(Master8[[#This Row],[Province_RDC]],Client[],6,FALSE)</f>
        <v>58.59</v>
      </c>
      <c r="R99" s="1">
        <f>VLOOKUP(Master8[[#This Row],[Province_RDC]],Client[],7,FALSE)</f>
        <v>5</v>
      </c>
      <c r="S99" s="1" t="str">
        <f>IF(Master8[[#This Row],[Type_Forfait]]="Pro Monde","B2B","B2C")</f>
        <v>B2B</v>
      </c>
      <c r="T99" s="1">
        <f>Master8[[#This Row],[Anciennete_Mois]]/12</f>
        <v>2.9166666666666665</v>
      </c>
      <c r="U99" s="1">
        <f>Master8[[#This Row],[Duree_Cumule_Panne_Min]]/60</f>
        <v>7.75</v>
      </c>
      <c r="V9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9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99" s="6">
        <f>Master8[[#This Row],[Facture_Mensuelle]]*Master8[[#This Row],[Remise]]</f>
        <v>26.365500000000001</v>
      </c>
    </row>
    <row r="100" spans="1:24" x14ac:dyDescent="0.25">
      <c r="A100" s="1" t="s">
        <v>779</v>
      </c>
      <c r="B100" t="str">
        <f>IFERROR(VLOOKUP(Master8[[#This Row],[Cell_ID]],Registre_Maintenance[],2,FALSE),"")</f>
        <v>Sankuru</v>
      </c>
      <c r="C100" s="1" t="s">
        <v>799</v>
      </c>
      <c r="D100" s="2">
        <v>45213.948611111111</v>
      </c>
      <c r="E100" s="3">
        <v>45213.948611111111</v>
      </c>
      <c r="F100">
        <v>72</v>
      </c>
      <c r="G100">
        <f>Master8[[#This Row],[Duree_Panne_Min]]/60</f>
        <v>1.2</v>
      </c>
      <c r="H100" s="1" t="s">
        <v>735</v>
      </c>
      <c r="I100">
        <f>IFERROR(VLOOKUP(Master8[[#This Row],[Cell_ID]],Registre_Maintenance[],3,FALSE),"")</f>
        <v>-2.7140689999999998</v>
      </c>
      <c r="J100">
        <f>IFERROR(VLOOKUP(Master8[[#This Row],[Cell_ID]],Registre_Maintenance[],4,FALSE),"")</f>
        <v>22.222104000000002</v>
      </c>
      <c r="K100" t="str">
        <f>IFERROR(VLOOKUP(Master8[[#This Row],[Cell_ID]],Registre_Maintenance[],5,FALSE),"")</f>
        <v>4G</v>
      </c>
      <c r="L100" t="str">
        <f>IFERROR(VLOOKUP(Master8[[#This Row],[Cell_ID]],Registre_Maintenance[],6,FALSE),"")</f>
        <v>Nokia</v>
      </c>
      <c r="M100" s="1" t="str">
        <f>VLOOKUP(Master8[[#This Row],[Province_RDC]],Client[],2,FALSE)</f>
        <v>CLI-00530</v>
      </c>
      <c r="N100" s="1">
        <f>VLOOKUP(Master8[[#This Row],[Province_RDC]],Client[],3,FALSE)</f>
        <v>35</v>
      </c>
      <c r="O100" s="1" t="str">
        <f>VLOOKUP(Master8[[#This Row],[Province_RDC]],Client[],4,FALSE)</f>
        <v>Pro Monde</v>
      </c>
      <c r="P100" s="1">
        <f>VLOOKUP(Master8[[#This Row],[Province_RDC]],Client[],5,FALSE)</f>
        <v>465</v>
      </c>
      <c r="Q100" s="1">
        <f>VLOOKUP(Master8[[#This Row],[Province_RDC]],Client[],6,FALSE)</f>
        <v>58.59</v>
      </c>
      <c r="R100" s="1">
        <f>VLOOKUP(Master8[[#This Row],[Province_RDC]],Client[],7,FALSE)</f>
        <v>5</v>
      </c>
      <c r="S100" s="1" t="str">
        <f>IF(Master8[[#This Row],[Type_Forfait]]="Pro Monde","B2B","B2C")</f>
        <v>B2B</v>
      </c>
      <c r="T100" s="1">
        <f>Master8[[#This Row],[Anciennete_Mois]]/12</f>
        <v>2.9166666666666665</v>
      </c>
      <c r="U100" s="1">
        <f>Master8[[#This Row],[Duree_Cumule_Panne_Min]]/60</f>
        <v>7.75</v>
      </c>
      <c r="V10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0" s="6">
        <f>Master8[[#This Row],[Facture_Mensuelle]]*Master8[[#This Row],[Remise]]</f>
        <v>26.365500000000001</v>
      </c>
    </row>
    <row r="101" spans="1:24" x14ac:dyDescent="0.25">
      <c r="A101" s="1" t="s">
        <v>1361</v>
      </c>
      <c r="B101" t="str">
        <f>IFERROR(VLOOKUP(Master8[[#This Row],[Cell_ID]],Registre_Maintenance[],2,FALSE),"")</f>
        <v>Sankuru</v>
      </c>
      <c r="C101" s="1" t="s">
        <v>1366</v>
      </c>
      <c r="D101" s="2">
        <v>45213.87222222222</v>
      </c>
      <c r="E101" s="3">
        <v>45213.87222222222</v>
      </c>
      <c r="F101">
        <v>46</v>
      </c>
      <c r="G101">
        <f>Master8[[#This Row],[Duree_Panne_Min]]/60</f>
        <v>0.76666666666666672</v>
      </c>
      <c r="H101" s="1" t="s">
        <v>735</v>
      </c>
      <c r="I101">
        <f>IFERROR(VLOOKUP(Master8[[#This Row],[Cell_ID]],Registre_Maintenance[],3,FALSE),"")</f>
        <v>-7.513261</v>
      </c>
      <c r="J101">
        <f>IFERROR(VLOOKUP(Master8[[#This Row],[Cell_ID]],Registre_Maintenance[],4,FALSE),"")</f>
        <v>24.338812000000001</v>
      </c>
      <c r="K101" t="str">
        <f>IFERROR(VLOOKUP(Master8[[#This Row],[Cell_ID]],Registre_Maintenance[],5,FALSE),"")</f>
        <v>5G</v>
      </c>
      <c r="L101" t="str">
        <f>IFERROR(VLOOKUP(Master8[[#This Row],[Cell_ID]],Registre_Maintenance[],6,FALSE),"")</f>
        <v>Huawei</v>
      </c>
      <c r="M101" s="1" t="str">
        <f>VLOOKUP(Master8[[#This Row],[Province_RDC]],Client[],2,FALSE)</f>
        <v>CLI-00530</v>
      </c>
      <c r="N101" s="1">
        <f>VLOOKUP(Master8[[#This Row],[Province_RDC]],Client[],3,FALSE)</f>
        <v>35</v>
      </c>
      <c r="O101" s="1" t="str">
        <f>VLOOKUP(Master8[[#This Row],[Province_RDC]],Client[],4,FALSE)</f>
        <v>Pro Monde</v>
      </c>
      <c r="P101" s="1">
        <f>VLOOKUP(Master8[[#This Row],[Province_RDC]],Client[],5,FALSE)</f>
        <v>465</v>
      </c>
      <c r="Q101" s="1">
        <f>VLOOKUP(Master8[[#This Row],[Province_RDC]],Client[],6,FALSE)</f>
        <v>58.59</v>
      </c>
      <c r="R101" s="1">
        <f>VLOOKUP(Master8[[#This Row],[Province_RDC]],Client[],7,FALSE)</f>
        <v>5</v>
      </c>
      <c r="S101" s="1" t="str">
        <f>IF(Master8[[#This Row],[Type_Forfait]]="Pro Monde","B2B","B2C")</f>
        <v>B2B</v>
      </c>
      <c r="T101" s="1">
        <f>Master8[[#This Row],[Anciennete_Mois]]/12</f>
        <v>2.9166666666666665</v>
      </c>
      <c r="U101" s="1">
        <f>Master8[[#This Row],[Duree_Cumule_Panne_Min]]/60</f>
        <v>7.75</v>
      </c>
      <c r="V10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1" s="6">
        <f>Master8[[#This Row],[Facture_Mensuelle]]*Master8[[#This Row],[Remise]]</f>
        <v>26.365500000000001</v>
      </c>
    </row>
    <row r="102" spans="1:24" x14ac:dyDescent="0.25">
      <c r="A102" s="1" t="s">
        <v>939</v>
      </c>
      <c r="B102" t="str">
        <f>IFERROR(VLOOKUP(Master8[[#This Row],[Cell_ID]],Registre_Maintenance[],2,FALSE),"")</f>
        <v>Sankuru</v>
      </c>
      <c r="C102" s="1" t="s">
        <v>967</v>
      </c>
      <c r="D102" s="2">
        <v>45213.779861111107</v>
      </c>
      <c r="E102" s="3">
        <v>45213.779861111107</v>
      </c>
      <c r="F102">
        <v>120</v>
      </c>
      <c r="G102">
        <f>Master8[[#This Row],[Duree_Panne_Min]]/60</f>
        <v>2</v>
      </c>
      <c r="H102" s="1" t="s">
        <v>732</v>
      </c>
      <c r="I102">
        <f>IFERROR(VLOOKUP(Master8[[#This Row],[Cell_ID]],Registre_Maintenance[],3,FALSE),"")</f>
        <v>-7.5969509999999998</v>
      </c>
      <c r="J102">
        <f>IFERROR(VLOOKUP(Master8[[#This Row],[Cell_ID]],Registre_Maintenance[],4,FALSE),"")</f>
        <v>22.153986</v>
      </c>
      <c r="K102" t="str">
        <f>IFERROR(VLOOKUP(Master8[[#This Row],[Cell_ID]],Registre_Maintenance[],5,FALSE),"")</f>
        <v>3G</v>
      </c>
      <c r="L102" t="str">
        <f>IFERROR(VLOOKUP(Master8[[#This Row],[Cell_ID]],Registre_Maintenance[],6,FALSE),"")</f>
        <v>Ericsson</v>
      </c>
      <c r="M102" s="1" t="str">
        <f>VLOOKUP(Master8[[#This Row],[Province_RDC]],Client[],2,FALSE)</f>
        <v>CLI-00530</v>
      </c>
      <c r="N102" s="1">
        <f>VLOOKUP(Master8[[#This Row],[Province_RDC]],Client[],3,FALSE)</f>
        <v>35</v>
      </c>
      <c r="O102" s="1" t="str">
        <f>VLOOKUP(Master8[[#This Row],[Province_RDC]],Client[],4,FALSE)</f>
        <v>Pro Monde</v>
      </c>
      <c r="P102" s="1">
        <f>VLOOKUP(Master8[[#This Row],[Province_RDC]],Client[],5,FALSE)</f>
        <v>465</v>
      </c>
      <c r="Q102" s="1">
        <f>VLOOKUP(Master8[[#This Row],[Province_RDC]],Client[],6,FALSE)</f>
        <v>58.59</v>
      </c>
      <c r="R102" s="1">
        <f>VLOOKUP(Master8[[#This Row],[Province_RDC]],Client[],7,FALSE)</f>
        <v>5</v>
      </c>
      <c r="S102" s="1" t="str">
        <f>IF(Master8[[#This Row],[Type_Forfait]]="Pro Monde","B2B","B2C")</f>
        <v>B2B</v>
      </c>
      <c r="T102" s="1">
        <f>Master8[[#This Row],[Anciennete_Mois]]/12</f>
        <v>2.9166666666666665</v>
      </c>
      <c r="U102" s="1">
        <f>Master8[[#This Row],[Duree_Cumule_Panne_Min]]/60</f>
        <v>7.75</v>
      </c>
      <c r="V10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2" s="6">
        <f>Master8[[#This Row],[Facture_Mensuelle]]*Master8[[#This Row],[Remise]]</f>
        <v>26.365500000000001</v>
      </c>
    </row>
    <row r="103" spans="1:24" x14ac:dyDescent="0.25">
      <c r="A103" s="1" t="s">
        <v>1193</v>
      </c>
      <c r="B103" t="str">
        <f>IFERROR(VLOOKUP(Master8[[#This Row],[Cell_ID]],Registre_Maintenance[],2,FALSE),"")</f>
        <v>Sankuru</v>
      </c>
      <c r="C103" s="1" t="s">
        <v>1042</v>
      </c>
      <c r="D103" s="2">
        <v>45211.724999999999</v>
      </c>
      <c r="E103" s="3">
        <v>45211.724999999999</v>
      </c>
      <c r="F103">
        <v>84</v>
      </c>
      <c r="G103">
        <f>Master8[[#This Row],[Duree_Panne_Min]]/60</f>
        <v>1.4</v>
      </c>
      <c r="H103" s="1" t="s">
        <v>737</v>
      </c>
      <c r="I103">
        <f>IFERROR(VLOOKUP(Master8[[#This Row],[Cell_ID]],Registre_Maintenance[],3,FALSE),"")</f>
        <v>-1.4110389999999999</v>
      </c>
      <c r="J103">
        <f>IFERROR(VLOOKUP(Master8[[#This Row],[Cell_ID]],Registre_Maintenance[],4,FALSE),"")</f>
        <v>21.261644</v>
      </c>
      <c r="K103" t="str">
        <f>IFERROR(VLOOKUP(Master8[[#This Row],[Cell_ID]],Registre_Maintenance[],5,FALSE),"")</f>
        <v>4G</v>
      </c>
      <c r="L103" t="str">
        <f>IFERROR(VLOOKUP(Master8[[#This Row],[Cell_ID]],Registre_Maintenance[],6,FALSE),"")</f>
        <v>ZTE</v>
      </c>
      <c r="M103" s="1" t="str">
        <f>VLOOKUP(Master8[[#This Row],[Province_RDC]],Client[],2,FALSE)</f>
        <v>CLI-00530</v>
      </c>
      <c r="N103" s="1">
        <f>VLOOKUP(Master8[[#This Row],[Province_RDC]],Client[],3,FALSE)</f>
        <v>35</v>
      </c>
      <c r="O103" s="1" t="str">
        <f>VLOOKUP(Master8[[#This Row],[Province_RDC]],Client[],4,FALSE)</f>
        <v>Pro Monde</v>
      </c>
      <c r="P103" s="1">
        <f>VLOOKUP(Master8[[#This Row],[Province_RDC]],Client[],5,FALSE)</f>
        <v>465</v>
      </c>
      <c r="Q103" s="1">
        <f>VLOOKUP(Master8[[#This Row],[Province_RDC]],Client[],6,FALSE)</f>
        <v>58.59</v>
      </c>
      <c r="R103" s="1">
        <f>VLOOKUP(Master8[[#This Row],[Province_RDC]],Client[],7,FALSE)</f>
        <v>5</v>
      </c>
      <c r="S103" s="1" t="str">
        <f>IF(Master8[[#This Row],[Type_Forfait]]="Pro Monde","B2B","B2C")</f>
        <v>B2B</v>
      </c>
      <c r="T103" s="1">
        <f>Master8[[#This Row],[Anciennete_Mois]]/12</f>
        <v>2.9166666666666665</v>
      </c>
      <c r="U103" s="1">
        <f>Master8[[#This Row],[Duree_Cumule_Panne_Min]]/60</f>
        <v>7.75</v>
      </c>
      <c r="V10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3" s="6">
        <f>Master8[[#This Row],[Facture_Mensuelle]]*Master8[[#This Row],[Remise]]</f>
        <v>26.365500000000001</v>
      </c>
    </row>
    <row r="104" spans="1:24" x14ac:dyDescent="0.25">
      <c r="A104" s="1" t="s">
        <v>1024</v>
      </c>
      <c r="B104" t="str">
        <f>IFERROR(VLOOKUP(Master8[[#This Row],[Cell_ID]],Registre_Maintenance[],2,FALSE),"")</f>
        <v>Sankuru</v>
      </c>
      <c r="C104" s="1" t="s">
        <v>1042</v>
      </c>
      <c r="D104" s="2">
        <v>45209.365277777782</v>
      </c>
      <c r="E104" s="3">
        <v>45209.365277777782</v>
      </c>
      <c r="F104">
        <v>120</v>
      </c>
      <c r="G104">
        <f>Master8[[#This Row],[Duree_Panne_Min]]/60</f>
        <v>2</v>
      </c>
      <c r="H104" s="1" t="s">
        <v>732</v>
      </c>
      <c r="I104">
        <f>IFERROR(VLOOKUP(Master8[[#This Row],[Cell_ID]],Registre_Maintenance[],3,FALSE),"")</f>
        <v>-1.4110389999999999</v>
      </c>
      <c r="J104">
        <f>IFERROR(VLOOKUP(Master8[[#This Row],[Cell_ID]],Registre_Maintenance[],4,FALSE),"")</f>
        <v>21.261644</v>
      </c>
      <c r="K104" t="str">
        <f>IFERROR(VLOOKUP(Master8[[#This Row],[Cell_ID]],Registre_Maintenance[],5,FALSE),"")</f>
        <v>4G</v>
      </c>
      <c r="L104" t="str">
        <f>IFERROR(VLOOKUP(Master8[[#This Row],[Cell_ID]],Registre_Maintenance[],6,FALSE),"")</f>
        <v>ZTE</v>
      </c>
      <c r="M104" s="1" t="str">
        <f>VLOOKUP(Master8[[#This Row],[Province_RDC]],Client[],2,FALSE)</f>
        <v>CLI-00530</v>
      </c>
      <c r="N104" s="1">
        <f>VLOOKUP(Master8[[#This Row],[Province_RDC]],Client[],3,FALSE)</f>
        <v>35</v>
      </c>
      <c r="O104" s="1" t="str">
        <f>VLOOKUP(Master8[[#This Row],[Province_RDC]],Client[],4,FALSE)</f>
        <v>Pro Monde</v>
      </c>
      <c r="P104" s="1">
        <f>VLOOKUP(Master8[[#This Row],[Province_RDC]],Client[],5,FALSE)</f>
        <v>465</v>
      </c>
      <c r="Q104" s="1">
        <f>VLOOKUP(Master8[[#This Row],[Province_RDC]],Client[],6,FALSE)</f>
        <v>58.59</v>
      </c>
      <c r="R104" s="1">
        <f>VLOOKUP(Master8[[#This Row],[Province_RDC]],Client[],7,FALSE)</f>
        <v>5</v>
      </c>
      <c r="S104" s="1" t="str">
        <f>IF(Master8[[#This Row],[Type_Forfait]]="Pro Monde","B2B","B2C")</f>
        <v>B2B</v>
      </c>
      <c r="T104" s="1">
        <f>Master8[[#This Row],[Anciennete_Mois]]/12</f>
        <v>2.9166666666666665</v>
      </c>
      <c r="U104" s="1">
        <f>Master8[[#This Row],[Duree_Cumule_Panne_Min]]/60</f>
        <v>7.75</v>
      </c>
      <c r="V10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4" s="6">
        <f>Master8[[#This Row],[Facture_Mensuelle]]*Master8[[#This Row],[Remise]]</f>
        <v>26.365500000000001</v>
      </c>
    </row>
    <row r="105" spans="1:24" x14ac:dyDescent="0.25">
      <c r="A105" s="1" t="s">
        <v>1382</v>
      </c>
      <c r="B105" t="str">
        <f>IFERROR(VLOOKUP(Master8[[#This Row],[Cell_ID]],Registre_Maintenance[],2,FALSE),"")</f>
        <v>Sankuru</v>
      </c>
      <c r="C105" s="1" t="s">
        <v>1403</v>
      </c>
      <c r="D105" s="2">
        <v>45207.701388888891</v>
      </c>
      <c r="E105" s="3">
        <v>45207.701388888891</v>
      </c>
      <c r="F105">
        <v>27</v>
      </c>
      <c r="G105">
        <f>Master8[[#This Row],[Duree_Panne_Min]]/60</f>
        <v>0.45</v>
      </c>
      <c r="H105" s="1" t="s">
        <v>737</v>
      </c>
      <c r="I105">
        <f>IFERROR(VLOOKUP(Master8[[#This Row],[Cell_ID]],Registre_Maintenance[],3,FALSE),"")</f>
        <v>-10.764815</v>
      </c>
      <c r="J105">
        <f>IFERROR(VLOOKUP(Master8[[#This Row],[Cell_ID]],Registre_Maintenance[],4,FALSE),"")</f>
        <v>14.602039</v>
      </c>
      <c r="K105" t="str">
        <f>IFERROR(VLOOKUP(Master8[[#This Row],[Cell_ID]],Registre_Maintenance[],5,FALSE),"")</f>
        <v>4G</v>
      </c>
      <c r="L105" t="str">
        <f>IFERROR(VLOOKUP(Master8[[#This Row],[Cell_ID]],Registre_Maintenance[],6,FALSE),"")</f>
        <v>Nokia</v>
      </c>
      <c r="M105" s="1" t="str">
        <f>VLOOKUP(Master8[[#This Row],[Province_RDC]],Client[],2,FALSE)</f>
        <v>CLI-00530</v>
      </c>
      <c r="N105" s="1">
        <f>VLOOKUP(Master8[[#This Row],[Province_RDC]],Client[],3,FALSE)</f>
        <v>35</v>
      </c>
      <c r="O105" s="1" t="str">
        <f>VLOOKUP(Master8[[#This Row],[Province_RDC]],Client[],4,FALSE)</f>
        <v>Pro Monde</v>
      </c>
      <c r="P105" s="1">
        <f>VLOOKUP(Master8[[#This Row],[Province_RDC]],Client[],5,FALSE)</f>
        <v>465</v>
      </c>
      <c r="Q105" s="1">
        <f>VLOOKUP(Master8[[#This Row],[Province_RDC]],Client[],6,FALSE)</f>
        <v>58.59</v>
      </c>
      <c r="R105" s="1">
        <f>VLOOKUP(Master8[[#This Row],[Province_RDC]],Client[],7,FALSE)</f>
        <v>5</v>
      </c>
      <c r="S105" s="1" t="str">
        <f>IF(Master8[[#This Row],[Type_Forfait]]="Pro Monde","B2B","B2C")</f>
        <v>B2B</v>
      </c>
      <c r="T105" s="1">
        <f>Master8[[#This Row],[Anciennete_Mois]]/12</f>
        <v>2.9166666666666665</v>
      </c>
      <c r="U105" s="1">
        <f>Master8[[#This Row],[Duree_Cumule_Panne_Min]]/60</f>
        <v>7.75</v>
      </c>
      <c r="V10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5" s="6">
        <f>Master8[[#This Row],[Facture_Mensuelle]]*Master8[[#This Row],[Remise]]</f>
        <v>26.365500000000001</v>
      </c>
    </row>
    <row r="106" spans="1:24" x14ac:dyDescent="0.25">
      <c r="A106" s="1" t="s">
        <v>999</v>
      </c>
      <c r="B106" t="str">
        <f>IFERROR(VLOOKUP(Master8[[#This Row],[Cell_ID]],Registre_Maintenance[],2,FALSE),"")</f>
        <v>Sankuru</v>
      </c>
      <c r="C106" s="1" t="s">
        <v>1010</v>
      </c>
      <c r="D106" s="2">
        <v>45205.191666666673</v>
      </c>
      <c r="E106" s="3">
        <v>45205.191666666673</v>
      </c>
      <c r="F106">
        <v>34</v>
      </c>
      <c r="G106">
        <f>Master8[[#This Row],[Duree_Panne_Min]]/60</f>
        <v>0.56666666666666665</v>
      </c>
      <c r="H106" s="1" t="s">
        <v>732</v>
      </c>
      <c r="I106">
        <f>IFERROR(VLOOKUP(Master8[[#This Row],[Cell_ID]],Registre_Maintenance[],3,FALSE),"")</f>
        <v>-4.7886769999999999</v>
      </c>
      <c r="J106">
        <f>IFERROR(VLOOKUP(Master8[[#This Row],[Cell_ID]],Registre_Maintenance[],4,FALSE),"")</f>
        <v>23.600221999999999</v>
      </c>
      <c r="K106" t="str">
        <f>IFERROR(VLOOKUP(Master8[[#This Row],[Cell_ID]],Registre_Maintenance[],5,FALSE),"")</f>
        <v>3G</v>
      </c>
      <c r="L106" t="str">
        <f>IFERROR(VLOOKUP(Master8[[#This Row],[Cell_ID]],Registre_Maintenance[],6,FALSE),"")</f>
        <v>ZTE</v>
      </c>
      <c r="M106" s="1" t="str">
        <f>VLOOKUP(Master8[[#This Row],[Province_RDC]],Client[],2,FALSE)</f>
        <v>CLI-00530</v>
      </c>
      <c r="N106" s="1">
        <f>VLOOKUP(Master8[[#This Row],[Province_RDC]],Client[],3,FALSE)</f>
        <v>35</v>
      </c>
      <c r="O106" s="1" t="str">
        <f>VLOOKUP(Master8[[#This Row],[Province_RDC]],Client[],4,FALSE)</f>
        <v>Pro Monde</v>
      </c>
      <c r="P106" s="1">
        <f>VLOOKUP(Master8[[#This Row],[Province_RDC]],Client[],5,FALSE)</f>
        <v>465</v>
      </c>
      <c r="Q106" s="1">
        <f>VLOOKUP(Master8[[#This Row],[Province_RDC]],Client[],6,FALSE)</f>
        <v>58.59</v>
      </c>
      <c r="R106" s="1">
        <f>VLOOKUP(Master8[[#This Row],[Province_RDC]],Client[],7,FALSE)</f>
        <v>5</v>
      </c>
      <c r="S106" s="1" t="str">
        <f>IF(Master8[[#This Row],[Type_Forfait]]="Pro Monde","B2B","B2C")</f>
        <v>B2B</v>
      </c>
      <c r="T106" s="1">
        <f>Master8[[#This Row],[Anciennete_Mois]]/12</f>
        <v>2.9166666666666665</v>
      </c>
      <c r="U106" s="1">
        <f>Master8[[#This Row],[Duree_Cumule_Panne_Min]]/60</f>
        <v>7.75</v>
      </c>
      <c r="V10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6" s="6">
        <f>Master8[[#This Row],[Facture_Mensuelle]]*Master8[[#This Row],[Remise]]</f>
        <v>26.365500000000001</v>
      </c>
    </row>
    <row r="107" spans="1:24" x14ac:dyDescent="0.25">
      <c r="A107" s="1" t="s">
        <v>1361</v>
      </c>
      <c r="B107" t="str">
        <f>IFERROR(VLOOKUP(Master8[[#This Row],[Cell_ID]],Registre_Maintenance[],2,FALSE),"")</f>
        <v>Sankuru</v>
      </c>
      <c r="C107" s="1" t="s">
        <v>1373</v>
      </c>
      <c r="D107" s="2">
        <v>45200.913888888892</v>
      </c>
      <c r="E107" s="3">
        <v>45200.913888888892</v>
      </c>
      <c r="F107">
        <v>87</v>
      </c>
      <c r="G107">
        <f>Master8[[#This Row],[Duree_Panne_Min]]/60</f>
        <v>1.45</v>
      </c>
      <c r="H107" s="1" t="s">
        <v>732</v>
      </c>
      <c r="I107">
        <f>IFERROR(VLOOKUP(Master8[[#This Row],[Cell_ID]],Registre_Maintenance[],3,FALSE),"")</f>
        <v>3.175935</v>
      </c>
      <c r="J107">
        <f>IFERROR(VLOOKUP(Master8[[#This Row],[Cell_ID]],Registre_Maintenance[],4,FALSE),"")</f>
        <v>16.862832000000001</v>
      </c>
      <c r="K107" t="str">
        <f>IFERROR(VLOOKUP(Master8[[#This Row],[Cell_ID]],Registre_Maintenance[],5,FALSE),"")</f>
        <v>5G</v>
      </c>
      <c r="L107" t="str">
        <f>IFERROR(VLOOKUP(Master8[[#This Row],[Cell_ID]],Registre_Maintenance[],6,FALSE),"")</f>
        <v>Ericsson</v>
      </c>
      <c r="M107" s="1" t="str">
        <f>VLOOKUP(Master8[[#This Row],[Province_RDC]],Client[],2,FALSE)</f>
        <v>CLI-00530</v>
      </c>
      <c r="N107" s="1">
        <f>VLOOKUP(Master8[[#This Row],[Province_RDC]],Client[],3,FALSE)</f>
        <v>35</v>
      </c>
      <c r="O107" s="1" t="str">
        <f>VLOOKUP(Master8[[#This Row],[Province_RDC]],Client[],4,FALSE)</f>
        <v>Pro Monde</v>
      </c>
      <c r="P107" s="1">
        <f>VLOOKUP(Master8[[#This Row],[Province_RDC]],Client[],5,FALSE)</f>
        <v>465</v>
      </c>
      <c r="Q107" s="1">
        <f>VLOOKUP(Master8[[#This Row],[Province_RDC]],Client[],6,FALSE)</f>
        <v>58.59</v>
      </c>
      <c r="R107" s="1">
        <f>VLOOKUP(Master8[[#This Row],[Province_RDC]],Client[],7,FALSE)</f>
        <v>5</v>
      </c>
      <c r="S107" s="1" t="str">
        <f>IF(Master8[[#This Row],[Type_Forfait]]="Pro Monde","B2B","B2C")</f>
        <v>B2B</v>
      </c>
      <c r="T107" s="1">
        <f>Master8[[#This Row],[Anciennete_Mois]]/12</f>
        <v>2.9166666666666665</v>
      </c>
      <c r="U107" s="1">
        <f>Master8[[#This Row],[Duree_Cumule_Panne_Min]]/60</f>
        <v>7.75</v>
      </c>
      <c r="V10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7" s="6">
        <f>Master8[[#This Row],[Facture_Mensuelle]]*Master8[[#This Row],[Remise]]</f>
        <v>26.365500000000001</v>
      </c>
    </row>
    <row r="108" spans="1:24" x14ac:dyDescent="0.25">
      <c r="A108" s="1" t="s">
        <v>1345</v>
      </c>
      <c r="B108" t="str">
        <f>IFERROR(VLOOKUP(Master8[[#This Row],[Cell_ID]],Registre_Maintenance[],2,FALSE),"")</f>
        <v>Nord-Ubangi</v>
      </c>
      <c r="C108" s="1" t="s">
        <v>1357</v>
      </c>
      <c r="D108" s="2">
        <v>45230.64166666667</v>
      </c>
      <c r="E108" s="3">
        <v>45230.64166666667</v>
      </c>
      <c r="F108">
        <v>106</v>
      </c>
      <c r="G108">
        <f>Master8[[#This Row],[Duree_Panne_Min]]/60</f>
        <v>1.7666666666666666</v>
      </c>
      <c r="H108" s="1" t="s">
        <v>732</v>
      </c>
      <c r="I108">
        <f>IFERROR(VLOOKUP(Master8[[#This Row],[Cell_ID]],Registre_Maintenance[],3,FALSE),"")</f>
        <v>-6.8149179999999996</v>
      </c>
      <c r="J108">
        <f>IFERROR(VLOOKUP(Master8[[#This Row],[Cell_ID]],Registre_Maintenance[],4,FALSE),"")</f>
        <v>23.258102000000001</v>
      </c>
      <c r="K108" t="str">
        <f>IFERROR(VLOOKUP(Master8[[#This Row],[Cell_ID]],Registre_Maintenance[],5,FALSE),"")</f>
        <v>5G</v>
      </c>
      <c r="L108" t="str">
        <f>IFERROR(VLOOKUP(Master8[[#This Row],[Cell_ID]],Registre_Maintenance[],6,FALSE),"")</f>
        <v>Huawei</v>
      </c>
      <c r="M108" s="1" t="str">
        <f>VLOOKUP(Master8[[#This Row],[Province_RDC]],Client[],2,FALSE)</f>
        <v>CLI-01170</v>
      </c>
      <c r="N108" s="1">
        <f>VLOOKUP(Master8[[#This Row],[Province_RDC]],Client[],3,FALSE)</f>
        <v>98</v>
      </c>
      <c r="O108" s="1" t="str">
        <f>VLOOKUP(Master8[[#This Row],[Province_RDC]],Client[],4,FALSE)</f>
        <v>Pro Monde</v>
      </c>
      <c r="P108" s="1">
        <f>VLOOKUP(Master8[[#This Row],[Province_RDC]],Client[],5,FALSE)</f>
        <v>482</v>
      </c>
      <c r="Q108" s="1">
        <f>VLOOKUP(Master8[[#This Row],[Province_RDC]],Client[],6,FALSE)</f>
        <v>55.04</v>
      </c>
      <c r="R108" s="1">
        <f>VLOOKUP(Master8[[#This Row],[Province_RDC]],Client[],7,FALSE)</f>
        <v>5</v>
      </c>
      <c r="S108" s="1" t="str">
        <f>IF(Master8[[#This Row],[Type_Forfait]]="Pro Monde","B2B","B2C")</f>
        <v>B2B</v>
      </c>
      <c r="T108" s="1">
        <f>Master8[[#This Row],[Anciennete_Mois]]/12</f>
        <v>8.1666666666666661</v>
      </c>
      <c r="U108" s="1">
        <f>Master8[[#This Row],[Duree_Cumule_Panne_Min]]/60</f>
        <v>8.0333333333333332</v>
      </c>
      <c r="V10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8" s="6">
        <f>Master8[[#This Row],[Facture_Mensuelle]]*Master8[[#This Row],[Remise]]</f>
        <v>24.768000000000001</v>
      </c>
    </row>
    <row r="109" spans="1:24" x14ac:dyDescent="0.25">
      <c r="A109" s="1" t="s">
        <v>1165</v>
      </c>
      <c r="B109" t="str">
        <f>IFERROR(VLOOKUP(Master8[[#This Row],[Cell_ID]],Registre_Maintenance[],2,FALSE),"")</f>
        <v>Nord-Ubangi</v>
      </c>
      <c r="C109" s="1" t="s">
        <v>811</v>
      </c>
      <c r="D109" s="2">
        <v>45230.009027777778</v>
      </c>
      <c r="E109" s="3">
        <v>45230.009027777778</v>
      </c>
      <c r="F109">
        <v>11</v>
      </c>
      <c r="G109">
        <f>Master8[[#This Row],[Duree_Panne_Min]]/60</f>
        <v>0.18333333333333332</v>
      </c>
      <c r="H109" s="1" t="s">
        <v>735</v>
      </c>
      <c r="I109">
        <f>IFERROR(VLOOKUP(Master8[[#This Row],[Cell_ID]],Registre_Maintenance[],3,FALSE),"")</f>
        <v>0.94539899999999999</v>
      </c>
      <c r="J109">
        <f>IFERROR(VLOOKUP(Master8[[#This Row],[Cell_ID]],Registre_Maintenance[],4,FALSE),"")</f>
        <v>14.401821999999999</v>
      </c>
      <c r="K109" t="str">
        <f>IFERROR(VLOOKUP(Master8[[#This Row],[Cell_ID]],Registre_Maintenance[],5,FALSE),"")</f>
        <v>5G</v>
      </c>
      <c r="L109" t="str">
        <f>IFERROR(VLOOKUP(Master8[[#This Row],[Cell_ID]],Registre_Maintenance[],6,FALSE),"")</f>
        <v>Nokia</v>
      </c>
      <c r="M109" s="1" t="str">
        <f>VLOOKUP(Master8[[#This Row],[Province_RDC]],Client[],2,FALSE)</f>
        <v>CLI-01170</v>
      </c>
      <c r="N109" s="1">
        <f>VLOOKUP(Master8[[#This Row],[Province_RDC]],Client[],3,FALSE)</f>
        <v>98</v>
      </c>
      <c r="O109" s="1" t="str">
        <f>VLOOKUP(Master8[[#This Row],[Province_RDC]],Client[],4,FALSE)</f>
        <v>Pro Monde</v>
      </c>
      <c r="P109" s="1">
        <f>VLOOKUP(Master8[[#This Row],[Province_RDC]],Client[],5,FALSE)</f>
        <v>482</v>
      </c>
      <c r="Q109" s="1">
        <f>VLOOKUP(Master8[[#This Row],[Province_RDC]],Client[],6,FALSE)</f>
        <v>55.04</v>
      </c>
      <c r="R109" s="1">
        <f>VLOOKUP(Master8[[#This Row],[Province_RDC]],Client[],7,FALSE)</f>
        <v>5</v>
      </c>
      <c r="S109" s="1" t="str">
        <f>IF(Master8[[#This Row],[Type_Forfait]]="Pro Monde","B2B","B2C")</f>
        <v>B2B</v>
      </c>
      <c r="T109" s="1">
        <f>Master8[[#This Row],[Anciennete_Mois]]/12</f>
        <v>8.1666666666666661</v>
      </c>
      <c r="U109" s="1">
        <f>Master8[[#This Row],[Duree_Cumule_Panne_Min]]/60</f>
        <v>8.0333333333333332</v>
      </c>
      <c r="V10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0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09" s="6">
        <f>Master8[[#This Row],[Facture_Mensuelle]]*Master8[[#This Row],[Remise]]</f>
        <v>24.768000000000001</v>
      </c>
    </row>
    <row r="110" spans="1:24" x14ac:dyDescent="0.25">
      <c r="A110" s="1" t="s">
        <v>1261</v>
      </c>
      <c r="B110" t="str">
        <f>IFERROR(VLOOKUP(Master8[[#This Row],[Cell_ID]],Registre_Maintenance[],2,FALSE),"")</f>
        <v>Nord-Ubangi</v>
      </c>
      <c r="C110" s="1" t="s">
        <v>1201</v>
      </c>
      <c r="D110" s="2">
        <v>45229.972222222219</v>
      </c>
      <c r="E110" s="3">
        <v>45229.972222222219</v>
      </c>
      <c r="F110">
        <v>5</v>
      </c>
      <c r="G110">
        <f>Master8[[#This Row],[Duree_Panne_Min]]/60</f>
        <v>8.3333333333333329E-2</v>
      </c>
      <c r="H110" s="1" t="s">
        <v>737</v>
      </c>
      <c r="I110">
        <f>IFERROR(VLOOKUP(Master8[[#This Row],[Cell_ID]],Registre_Maintenance[],3,FALSE),"")</f>
        <v>-8.4985189999999999</v>
      </c>
      <c r="J110">
        <f>IFERROR(VLOOKUP(Master8[[#This Row],[Cell_ID]],Registre_Maintenance[],4,FALSE),"")</f>
        <v>12.929456999999999</v>
      </c>
      <c r="K110" t="str">
        <f>IFERROR(VLOOKUP(Master8[[#This Row],[Cell_ID]],Registre_Maintenance[],5,FALSE),"")</f>
        <v>4G</v>
      </c>
      <c r="L110" t="str">
        <f>IFERROR(VLOOKUP(Master8[[#This Row],[Cell_ID]],Registre_Maintenance[],6,FALSE),"")</f>
        <v>Ericsson</v>
      </c>
      <c r="M110" s="1" t="str">
        <f>VLOOKUP(Master8[[#This Row],[Province_RDC]],Client[],2,FALSE)</f>
        <v>CLI-01170</v>
      </c>
      <c r="N110" s="1">
        <f>VLOOKUP(Master8[[#This Row],[Province_RDC]],Client[],3,FALSE)</f>
        <v>98</v>
      </c>
      <c r="O110" s="1" t="str">
        <f>VLOOKUP(Master8[[#This Row],[Province_RDC]],Client[],4,FALSE)</f>
        <v>Pro Monde</v>
      </c>
      <c r="P110" s="1">
        <f>VLOOKUP(Master8[[#This Row],[Province_RDC]],Client[],5,FALSE)</f>
        <v>482</v>
      </c>
      <c r="Q110" s="1">
        <f>VLOOKUP(Master8[[#This Row],[Province_RDC]],Client[],6,FALSE)</f>
        <v>55.04</v>
      </c>
      <c r="R110" s="1">
        <f>VLOOKUP(Master8[[#This Row],[Province_RDC]],Client[],7,FALSE)</f>
        <v>5</v>
      </c>
      <c r="S110" s="1" t="str">
        <f>IF(Master8[[#This Row],[Type_Forfait]]="Pro Monde","B2B","B2C")</f>
        <v>B2B</v>
      </c>
      <c r="T110" s="1">
        <f>Master8[[#This Row],[Anciennete_Mois]]/12</f>
        <v>8.1666666666666661</v>
      </c>
      <c r="U110" s="1">
        <f>Master8[[#This Row],[Duree_Cumule_Panne_Min]]/60</f>
        <v>8.0333333333333332</v>
      </c>
      <c r="V11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0" s="6">
        <f>Master8[[#This Row],[Facture_Mensuelle]]*Master8[[#This Row],[Remise]]</f>
        <v>24.768000000000001</v>
      </c>
    </row>
    <row r="111" spans="1:24" x14ac:dyDescent="0.25">
      <c r="A111" s="1" t="s">
        <v>1114</v>
      </c>
      <c r="B111" t="str">
        <f>IFERROR(VLOOKUP(Master8[[#This Row],[Cell_ID]],Registre_Maintenance[],2,FALSE),"")</f>
        <v>Nord-Ubangi</v>
      </c>
      <c r="C111" s="1" t="s">
        <v>879</v>
      </c>
      <c r="D111" s="2">
        <v>45229.722916666673</v>
      </c>
      <c r="E111" s="3">
        <v>45229.722916666673</v>
      </c>
      <c r="F111">
        <v>76</v>
      </c>
      <c r="G111">
        <f>Master8[[#This Row],[Duree_Panne_Min]]/60</f>
        <v>1.2666666666666666</v>
      </c>
      <c r="H111" s="1" t="s">
        <v>735</v>
      </c>
      <c r="I111">
        <f>IFERROR(VLOOKUP(Master8[[#This Row],[Cell_ID]],Registre_Maintenance[],3,FALSE),"")</f>
        <v>-1.342476</v>
      </c>
      <c r="J111">
        <f>IFERROR(VLOOKUP(Master8[[#This Row],[Cell_ID]],Registre_Maintenance[],4,FALSE),"")</f>
        <v>15.986086</v>
      </c>
      <c r="K111" t="str">
        <f>IFERROR(VLOOKUP(Master8[[#This Row],[Cell_ID]],Registre_Maintenance[],5,FALSE),"")</f>
        <v>4G</v>
      </c>
      <c r="L111" t="str">
        <f>IFERROR(VLOOKUP(Master8[[#This Row],[Cell_ID]],Registre_Maintenance[],6,FALSE),"")</f>
        <v>Ericsson</v>
      </c>
      <c r="M111" s="1" t="str">
        <f>VLOOKUP(Master8[[#This Row],[Province_RDC]],Client[],2,FALSE)</f>
        <v>CLI-01170</v>
      </c>
      <c r="N111" s="1">
        <f>VLOOKUP(Master8[[#This Row],[Province_RDC]],Client[],3,FALSE)</f>
        <v>98</v>
      </c>
      <c r="O111" s="1" t="str">
        <f>VLOOKUP(Master8[[#This Row],[Province_RDC]],Client[],4,FALSE)</f>
        <v>Pro Monde</v>
      </c>
      <c r="P111" s="1">
        <f>VLOOKUP(Master8[[#This Row],[Province_RDC]],Client[],5,FALSE)</f>
        <v>482</v>
      </c>
      <c r="Q111" s="1">
        <f>VLOOKUP(Master8[[#This Row],[Province_RDC]],Client[],6,FALSE)</f>
        <v>55.04</v>
      </c>
      <c r="R111" s="1">
        <f>VLOOKUP(Master8[[#This Row],[Province_RDC]],Client[],7,FALSE)</f>
        <v>5</v>
      </c>
      <c r="S111" s="1" t="str">
        <f>IF(Master8[[#This Row],[Type_Forfait]]="Pro Monde","B2B","B2C")</f>
        <v>B2B</v>
      </c>
      <c r="T111" s="1">
        <f>Master8[[#This Row],[Anciennete_Mois]]/12</f>
        <v>8.1666666666666661</v>
      </c>
      <c r="U111" s="1">
        <f>Master8[[#This Row],[Duree_Cumule_Panne_Min]]/60</f>
        <v>8.0333333333333332</v>
      </c>
      <c r="V11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1" s="6">
        <f>Master8[[#This Row],[Facture_Mensuelle]]*Master8[[#This Row],[Remise]]</f>
        <v>24.768000000000001</v>
      </c>
    </row>
    <row r="112" spans="1:24" x14ac:dyDescent="0.25">
      <c r="A112" s="1" t="s">
        <v>939</v>
      </c>
      <c r="B112" t="str">
        <f>IFERROR(VLOOKUP(Master8[[#This Row],[Cell_ID]],Registre_Maintenance[],2,FALSE),"")</f>
        <v>Nord-Ubangi</v>
      </c>
      <c r="C112" s="1" t="s">
        <v>879</v>
      </c>
      <c r="D112" s="2">
        <v>45227.587500000001</v>
      </c>
      <c r="E112" s="3">
        <v>45227.587500000001</v>
      </c>
      <c r="F112">
        <v>50</v>
      </c>
      <c r="G112">
        <f>Master8[[#This Row],[Duree_Panne_Min]]/60</f>
        <v>0.83333333333333337</v>
      </c>
      <c r="H112" s="1" t="s">
        <v>735</v>
      </c>
      <c r="I112">
        <f>IFERROR(VLOOKUP(Master8[[#This Row],[Cell_ID]],Registre_Maintenance[],3,FALSE),"")</f>
        <v>-1.342476</v>
      </c>
      <c r="J112">
        <f>IFERROR(VLOOKUP(Master8[[#This Row],[Cell_ID]],Registre_Maintenance[],4,FALSE),"")</f>
        <v>15.986086</v>
      </c>
      <c r="K112" t="str">
        <f>IFERROR(VLOOKUP(Master8[[#This Row],[Cell_ID]],Registre_Maintenance[],5,FALSE),"")</f>
        <v>4G</v>
      </c>
      <c r="L112" t="str">
        <f>IFERROR(VLOOKUP(Master8[[#This Row],[Cell_ID]],Registre_Maintenance[],6,FALSE),"")</f>
        <v>Ericsson</v>
      </c>
      <c r="M112" s="1" t="str">
        <f>VLOOKUP(Master8[[#This Row],[Province_RDC]],Client[],2,FALSE)</f>
        <v>CLI-01170</v>
      </c>
      <c r="N112" s="1">
        <f>VLOOKUP(Master8[[#This Row],[Province_RDC]],Client[],3,FALSE)</f>
        <v>98</v>
      </c>
      <c r="O112" s="1" t="str">
        <f>VLOOKUP(Master8[[#This Row],[Province_RDC]],Client[],4,FALSE)</f>
        <v>Pro Monde</v>
      </c>
      <c r="P112" s="1">
        <f>VLOOKUP(Master8[[#This Row],[Province_RDC]],Client[],5,FALSE)</f>
        <v>482</v>
      </c>
      <c r="Q112" s="1">
        <f>VLOOKUP(Master8[[#This Row],[Province_RDC]],Client[],6,FALSE)</f>
        <v>55.04</v>
      </c>
      <c r="R112" s="1">
        <f>VLOOKUP(Master8[[#This Row],[Province_RDC]],Client[],7,FALSE)</f>
        <v>5</v>
      </c>
      <c r="S112" s="1" t="str">
        <f>IF(Master8[[#This Row],[Type_Forfait]]="Pro Monde","B2B","B2C")</f>
        <v>B2B</v>
      </c>
      <c r="T112" s="1">
        <f>Master8[[#This Row],[Anciennete_Mois]]/12</f>
        <v>8.1666666666666661</v>
      </c>
      <c r="U112" s="1">
        <f>Master8[[#This Row],[Duree_Cumule_Panne_Min]]/60</f>
        <v>8.0333333333333332</v>
      </c>
      <c r="V11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2" s="6">
        <f>Master8[[#This Row],[Facture_Mensuelle]]*Master8[[#This Row],[Remise]]</f>
        <v>24.768000000000001</v>
      </c>
    </row>
    <row r="113" spans="1:24" x14ac:dyDescent="0.25">
      <c r="A113" s="1" t="s">
        <v>730</v>
      </c>
      <c r="B113" t="str">
        <f>IFERROR(VLOOKUP(Master8[[#This Row],[Cell_ID]],Registre_Maintenance[],2,FALSE),"")</f>
        <v>Nord-Ubangi</v>
      </c>
      <c r="C113" s="1" t="s">
        <v>746</v>
      </c>
      <c r="D113" s="2">
        <v>45227.033333333333</v>
      </c>
      <c r="E113" s="3">
        <v>45227.033333333333</v>
      </c>
      <c r="F113">
        <v>68</v>
      </c>
      <c r="G113">
        <f>Master8[[#This Row],[Duree_Panne_Min]]/60</f>
        <v>1.1333333333333333</v>
      </c>
      <c r="H113" s="1" t="s">
        <v>737</v>
      </c>
      <c r="I113">
        <f>IFERROR(VLOOKUP(Master8[[#This Row],[Cell_ID]],Registre_Maintenance[],3,FALSE),"")</f>
        <v>-10.375266999999999</v>
      </c>
      <c r="J113">
        <f>IFERROR(VLOOKUP(Master8[[#This Row],[Cell_ID]],Registre_Maintenance[],4,FALSE),"")</f>
        <v>17.993663000000002</v>
      </c>
      <c r="K113" t="str">
        <f>IFERROR(VLOOKUP(Master8[[#This Row],[Cell_ID]],Registre_Maintenance[],5,FALSE),"")</f>
        <v>5G</v>
      </c>
      <c r="L113" t="str">
        <f>IFERROR(VLOOKUP(Master8[[#This Row],[Cell_ID]],Registre_Maintenance[],6,FALSE),"")</f>
        <v>ZTE</v>
      </c>
      <c r="M113" s="1" t="str">
        <f>VLOOKUP(Master8[[#This Row],[Province_RDC]],Client[],2,FALSE)</f>
        <v>CLI-01170</v>
      </c>
      <c r="N113" s="1">
        <f>VLOOKUP(Master8[[#This Row],[Province_RDC]],Client[],3,FALSE)</f>
        <v>98</v>
      </c>
      <c r="O113" s="1" t="str">
        <f>VLOOKUP(Master8[[#This Row],[Province_RDC]],Client[],4,FALSE)</f>
        <v>Pro Monde</v>
      </c>
      <c r="P113" s="1">
        <f>VLOOKUP(Master8[[#This Row],[Province_RDC]],Client[],5,FALSE)</f>
        <v>482</v>
      </c>
      <c r="Q113" s="1">
        <f>VLOOKUP(Master8[[#This Row],[Province_RDC]],Client[],6,FALSE)</f>
        <v>55.04</v>
      </c>
      <c r="R113" s="1">
        <f>VLOOKUP(Master8[[#This Row],[Province_RDC]],Client[],7,FALSE)</f>
        <v>5</v>
      </c>
      <c r="S113" s="1" t="str">
        <f>IF(Master8[[#This Row],[Type_Forfait]]="Pro Monde","B2B","B2C")</f>
        <v>B2B</v>
      </c>
      <c r="T113" s="1">
        <f>Master8[[#This Row],[Anciennete_Mois]]/12</f>
        <v>8.1666666666666661</v>
      </c>
      <c r="U113" s="1">
        <f>Master8[[#This Row],[Duree_Cumule_Panne_Min]]/60</f>
        <v>8.0333333333333332</v>
      </c>
      <c r="V11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3" s="6">
        <f>Master8[[#This Row],[Facture_Mensuelle]]*Master8[[#This Row],[Remise]]</f>
        <v>24.768000000000001</v>
      </c>
    </row>
    <row r="114" spans="1:24" x14ac:dyDescent="0.25">
      <c r="A114" s="1" t="s">
        <v>1361</v>
      </c>
      <c r="B114" t="str">
        <f>IFERROR(VLOOKUP(Master8[[#This Row],[Cell_ID]],Registre_Maintenance[],2,FALSE),"")</f>
        <v>Nord-Ubangi</v>
      </c>
      <c r="C114" s="1" t="s">
        <v>1374</v>
      </c>
      <c r="D114" s="2">
        <v>45226.997916666667</v>
      </c>
      <c r="E114" s="3">
        <v>45226.997916666667</v>
      </c>
      <c r="F114">
        <v>53</v>
      </c>
      <c r="G114">
        <f>Master8[[#This Row],[Duree_Panne_Min]]/60</f>
        <v>0.8833333333333333</v>
      </c>
      <c r="H114" s="1" t="s">
        <v>737</v>
      </c>
      <c r="I114">
        <f>IFERROR(VLOOKUP(Master8[[#This Row],[Cell_ID]],Registre_Maintenance[],3,FALSE),"")</f>
        <v>-7.8373179999999998</v>
      </c>
      <c r="J114">
        <f>IFERROR(VLOOKUP(Master8[[#This Row],[Cell_ID]],Registre_Maintenance[],4,FALSE),"")</f>
        <v>20.527591999999999</v>
      </c>
      <c r="K114" t="str">
        <f>IFERROR(VLOOKUP(Master8[[#This Row],[Cell_ID]],Registre_Maintenance[],5,FALSE),"")</f>
        <v>4G</v>
      </c>
      <c r="L114" t="str">
        <f>IFERROR(VLOOKUP(Master8[[#This Row],[Cell_ID]],Registre_Maintenance[],6,FALSE),"")</f>
        <v>Ericsson</v>
      </c>
      <c r="M114" s="1" t="str">
        <f>VLOOKUP(Master8[[#This Row],[Province_RDC]],Client[],2,FALSE)</f>
        <v>CLI-01170</v>
      </c>
      <c r="N114" s="1">
        <f>VLOOKUP(Master8[[#This Row],[Province_RDC]],Client[],3,FALSE)</f>
        <v>98</v>
      </c>
      <c r="O114" s="1" t="str">
        <f>VLOOKUP(Master8[[#This Row],[Province_RDC]],Client[],4,FALSE)</f>
        <v>Pro Monde</v>
      </c>
      <c r="P114" s="1">
        <f>VLOOKUP(Master8[[#This Row],[Province_RDC]],Client[],5,FALSE)</f>
        <v>482</v>
      </c>
      <c r="Q114" s="1">
        <f>VLOOKUP(Master8[[#This Row],[Province_RDC]],Client[],6,FALSE)</f>
        <v>55.04</v>
      </c>
      <c r="R114" s="1">
        <f>VLOOKUP(Master8[[#This Row],[Province_RDC]],Client[],7,FALSE)</f>
        <v>5</v>
      </c>
      <c r="S114" s="1" t="str">
        <f>IF(Master8[[#This Row],[Type_Forfait]]="Pro Monde","B2B","B2C")</f>
        <v>B2B</v>
      </c>
      <c r="T114" s="1">
        <f>Master8[[#This Row],[Anciennete_Mois]]/12</f>
        <v>8.1666666666666661</v>
      </c>
      <c r="U114" s="1">
        <f>Master8[[#This Row],[Duree_Cumule_Panne_Min]]/60</f>
        <v>8.0333333333333332</v>
      </c>
      <c r="V11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4" s="6">
        <f>Master8[[#This Row],[Facture_Mensuelle]]*Master8[[#This Row],[Remise]]</f>
        <v>24.768000000000001</v>
      </c>
    </row>
    <row r="115" spans="1:24" x14ac:dyDescent="0.25">
      <c r="A115" s="1" t="s">
        <v>861</v>
      </c>
      <c r="B115" t="str">
        <f>IFERROR(VLOOKUP(Master8[[#This Row],[Cell_ID]],Registre_Maintenance[],2,FALSE),"")</f>
        <v>Nord-Ubangi</v>
      </c>
      <c r="C115" s="1" t="s">
        <v>865</v>
      </c>
      <c r="D115" s="2">
        <v>45226.623611111107</v>
      </c>
      <c r="E115" s="3">
        <v>45226.623611111107</v>
      </c>
      <c r="F115">
        <v>98</v>
      </c>
      <c r="G115">
        <f>Master8[[#This Row],[Duree_Panne_Min]]/60</f>
        <v>1.6333333333333333</v>
      </c>
      <c r="H115" s="1" t="s">
        <v>737</v>
      </c>
      <c r="I115">
        <f>IFERROR(VLOOKUP(Master8[[#This Row],[Cell_ID]],Registre_Maintenance[],3,FALSE),"")</f>
        <v>-7.9987219999999999</v>
      </c>
      <c r="J115">
        <f>IFERROR(VLOOKUP(Master8[[#This Row],[Cell_ID]],Registre_Maintenance[],4,FALSE),"")</f>
        <v>12.779335</v>
      </c>
      <c r="K115" t="str">
        <f>IFERROR(VLOOKUP(Master8[[#This Row],[Cell_ID]],Registre_Maintenance[],5,FALSE),"")</f>
        <v>5G</v>
      </c>
      <c r="L115" t="str">
        <f>IFERROR(VLOOKUP(Master8[[#This Row],[Cell_ID]],Registre_Maintenance[],6,FALSE),"")</f>
        <v>Nokia</v>
      </c>
      <c r="M115" s="1" t="str">
        <f>VLOOKUP(Master8[[#This Row],[Province_RDC]],Client[],2,FALSE)</f>
        <v>CLI-01170</v>
      </c>
      <c r="N115" s="1">
        <f>VLOOKUP(Master8[[#This Row],[Province_RDC]],Client[],3,FALSE)</f>
        <v>98</v>
      </c>
      <c r="O115" s="1" t="str">
        <f>VLOOKUP(Master8[[#This Row],[Province_RDC]],Client[],4,FALSE)</f>
        <v>Pro Monde</v>
      </c>
      <c r="P115" s="1">
        <f>VLOOKUP(Master8[[#This Row],[Province_RDC]],Client[],5,FALSE)</f>
        <v>482</v>
      </c>
      <c r="Q115" s="1">
        <f>VLOOKUP(Master8[[#This Row],[Province_RDC]],Client[],6,FALSE)</f>
        <v>55.04</v>
      </c>
      <c r="R115" s="1">
        <f>VLOOKUP(Master8[[#This Row],[Province_RDC]],Client[],7,FALSE)</f>
        <v>5</v>
      </c>
      <c r="S115" s="1" t="str">
        <f>IF(Master8[[#This Row],[Type_Forfait]]="Pro Monde","B2B","B2C")</f>
        <v>B2B</v>
      </c>
      <c r="T115" s="1">
        <f>Master8[[#This Row],[Anciennete_Mois]]/12</f>
        <v>8.1666666666666661</v>
      </c>
      <c r="U115" s="1">
        <f>Master8[[#This Row],[Duree_Cumule_Panne_Min]]/60</f>
        <v>8.0333333333333332</v>
      </c>
      <c r="V11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5" s="6">
        <f>Master8[[#This Row],[Facture_Mensuelle]]*Master8[[#This Row],[Remise]]</f>
        <v>24.768000000000001</v>
      </c>
    </row>
    <row r="116" spans="1:24" x14ac:dyDescent="0.25">
      <c r="A116" s="1" t="s">
        <v>978</v>
      </c>
      <c r="B116" t="str">
        <f>IFERROR(VLOOKUP(Master8[[#This Row],[Cell_ID]],Registre_Maintenance[],2,FALSE),"")</f>
        <v>Nord-Ubangi</v>
      </c>
      <c r="C116" s="1" t="s">
        <v>990</v>
      </c>
      <c r="D116" s="2">
        <v>45226.586805555547</v>
      </c>
      <c r="E116" s="3">
        <v>45226.586805555547</v>
      </c>
      <c r="F116">
        <v>33</v>
      </c>
      <c r="G116">
        <f>Master8[[#This Row],[Duree_Panne_Min]]/60</f>
        <v>0.55000000000000004</v>
      </c>
      <c r="H116" s="1" t="s">
        <v>737</v>
      </c>
      <c r="I116">
        <f>IFERROR(VLOOKUP(Master8[[#This Row],[Cell_ID]],Registre_Maintenance[],3,FALSE),"")</f>
        <v>-7.7839049999999999</v>
      </c>
      <c r="J116">
        <f>IFERROR(VLOOKUP(Master8[[#This Row],[Cell_ID]],Registre_Maintenance[],4,FALSE),"")</f>
        <v>14.114281999999999</v>
      </c>
      <c r="K116" t="str">
        <f>IFERROR(VLOOKUP(Master8[[#This Row],[Cell_ID]],Registre_Maintenance[],5,FALSE),"")</f>
        <v>3G</v>
      </c>
      <c r="L116" t="str">
        <f>IFERROR(VLOOKUP(Master8[[#This Row],[Cell_ID]],Registre_Maintenance[],6,FALSE),"")</f>
        <v>ZTE</v>
      </c>
      <c r="M116" s="1" t="str">
        <f>VLOOKUP(Master8[[#This Row],[Province_RDC]],Client[],2,FALSE)</f>
        <v>CLI-01170</v>
      </c>
      <c r="N116" s="1">
        <f>VLOOKUP(Master8[[#This Row],[Province_RDC]],Client[],3,FALSE)</f>
        <v>98</v>
      </c>
      <c r="O116" s="1" t="str">
        <f>VLOOKUP(Master8[[#This Row],[Province_RDC]],Client[],4,FALSE)</f>
        <v>Pro Monde</v>
      </c>
      <c r="P116" s="1">
        <f>VLOOKUP(Master8[[#This Row],[Province_RDC]],Client[],5,FALSE)</f>
        <v>482</v>
      </c>
      <c r="Q116" s="1">
        <f>VLOOKUP(Master8[[#This Row],[Province_RDC]],Client[],6,FALSE)</f>
        <v>55.04</v>
      </c>
      <c r="R116" s="1">
        <f>VLOOKUP(Master8[[#This Row],[Province_RDC]],Client[],7,FALSE)</f>
        <v>5</v>
      </c>
      <c r="S116" s="1" t="str">
        <f>IF(Master8[[#This Row],[Type_Forfait]]="Pro Monde","B2B","B2C")</f>
        <v>B2B</v>
      </c>
      <c r="T116" s="1">
        <f>Master8[[#This Row],[Anciennete_Mois]]/12</f>
        <v>8.1666666666666661</v>
      </c>
      <c r="U116" s="1">
        <f>Master8[[#This Row],[Duree_Cumule_Panne_Min]]/60</f>
        <v>8.0333333333333332</v>
      </c>
      <c r="V11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6" s="6">
        <f>Master8[[#This Row],[Facture_Mensuelle]]*Master8[[#This Row],[Remise]]</f>
        <v>24.768000000000001</v>
      </c>
    </row>
    <row r="117" spans="1:24" x14ac:dyDescent="0.25">
      <c r="A117" s="1" t="s">
        <v>1288</v>
      </c>
      <c r="B117" t="str">
        <f>IFERROR(VLOOKUP(Master8[[#This Row],[Cell_ID]],Registre_Maintenance[],2,FALSE),"")</f>
        <v>Nord-Ubangi</v>
      </c>
      <c r="C117" s="1" t="s">
        <v>1201</v>
      </c>
      <c r="D117" s="2">
        <v>45226.209027777782</v>
      </c>
      <c r="E117" s="3">
        <v>45226.209027777782</v>
      </c>
      <c r="F117">
        <v>81</v>
      </c>
      <c r="G117">
        <f>Master8[[#This Row],[Duree_Panne_Min]]/60</f>
        <v>1.35</v>
      </c>
      <c r="H117" s="1" t="s">
        <v>737</v>
      </c>
      <c r="I117">
        <f>IFERROR(VLOOKUP(Master8[[#This Row],[Cell_ID]],Registre_Maintenance[],3,FALSE),"")</f>
        <v>-8.4985189999999999</v>
      </c>
      <c r="J117">
        <f>IFERROR(VLOOKUP(Master8[[#This Row],[Cell_ID]],Registre_Maintenance[],4,FALSE),"")</f>
        <v>12.929456999999999</v>
      </c>
      <c r="K117" t="str">
        <f>IFERROR(VLOOKUP(Master8[[#This Row],[Cell_ID]],Registre_Maintenance[],5,FALSE),"")</f>
        <v>4G</v>
      </c>
      <c r="L117" t="str">
        <f>IFERROR(VLOOKUP(Master8[[#This Row],[Cell_ID]],Registre_Maintenance[],6,FALSE),"")</f>
        <v>Ericsson</v>
      </c>
      <c r="M117" s="1" t="str">
        <f>VLOOKUP(Master8[[#This Row],[Province_RDC]],Client[],2,FALSE)</f>
        <v>CLI-01170</v>
      </c>
      <c r="N117" s="1">
        <f>VLOOKUP(Master8[[#This Row],[Province_RDC]],Client[],3,FALSE)</f>
        <v>98</v>
      </c>
      <c r="O117" s="1" t="str">
        <f>VLOOKUP(Master8[[#This Row],[Province_RDC]],Client[],4,FALSE)</f>
        <v>Pro Monde</v>
      </c>
      <c r="P117" s="1">
        <f>VLOOKUP(Master8[[#This Row],[Province_RDC]],Client[],5,FALSE)</f>
        <v>482</v>
      </c>
      <c r="Q117" s="1">
        <f>VLOOKUP(Master8[[#This Row],[Province_RDC]],Client[],6,FALSE)</f>
        <v>55.04</v>
      </c>
      <c r="R117" s="1">
        <f>VLOOKUP(Master8[[#This Row],[Province_RDC]],Client[],7,FALSE)</f>
        <v>5</v>
      </c>
      <c r="S117" s="1" t="str">
        <f>IF(Master8[[#This Row],[Type_Forfait]]="Pro Monde","B2B","B2C")</f>
        <v>B2B</v>
      </c>
      <c r="T117" s="1">
        <f>Master8[[#This Row],[Anciennete_Mois]]/12</f>
        <v>8.1666666666666661</v>
      </c>
      <c r="U117" s="1">
        <f>Master8[[#This Row],[Duree_Cumule_Panne_Min]]/60</f>
        <v>8.0333333333333332</v>
      </c>
      <c r="V11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7" s="6">
        <f>Master8[[#This Row],[Facture_Mensuelle]]*Master8[[#This Row],[Remise]]</f>
        <v>24.768000000000001</v>
      </c>
    </row>
    <row r="118" spans="1:24" x14ac:dyDescent="0.25">
      <c r="A118" s="1" t="s">
        <v>978</v>
      </c>
      <c r="B118" t="str">
        <f>IFERROR(VLOOKUP(Master8[[#This Row],[Cell_ID]],Registre_Maintenance[],2,FALSE),"")</f>
        <v>Nord-Ubangi</v>
      </c>
      <c r="C118" s="1" t="s">
        <v>865</v>
      </c>
      <c r="D118" s="2">
        <v>45225.317361111112</v>
      </c>
      <c r="E118" s="3">
        <v>45225.317361111112</v>
      </c>
      <c r="F118">
        <v>56</v>
      </c>
      <c r="G118">
        <f>Master8[[#This Row],[Duree_Panne_Min]]/60</f>
        <v>0.93333333333333335</v>
      </c>
      <c r="H118" s="1" t="s">
        <v>735</v>
      </c>
      <c r="I118">
        <f>IFERROR(VLOOKUP(Master8[[#This Row],[Cell_ID]],Registre_Maintenance[],3,FALSE),"")</f>
        <v>-7.9987219999999999</v>
      </c>
      <c r="J118">
        <f>IFERROR(VLOOKUP(Master8[[#This Row],[Cell_ID]],Registre_Maintenance[],4,FALSE),"")</f>
        <v>12.779335</v>
      </c>
      <c r="K118" t="str">
        <f>IFERROR(VLOOKUP(Master8[[#This Row],[Cell_ID]],Registre_Maintenance[],5,FALSE),"")</f>
        <v>5G</v>
      </c>
      <c r="L118" t="str">
        <f>IFERROR(VLOOKUP(Master8[[#This Row],[Cell_ID]],Registre_Maintenance[],6,FALSE),"")</f>
        <v>Nokia</v>
      </c>
      <c r="M118" s="1" t="str">
        <f>VLOOKUP(Master8[[#This Row],[Province_RDC]],Client[],2,FALSE)</f>
        <v>CLI-01170</v>
      </c>
      <c r="N118" s="1">
        <f>VLOOKUP(Master8[[#This Row],[Province_RDC]],Client[],3,FALSE)</f>
        <v>98</v>
      </c>
      <c r="O118" s="1" t="str">
        <f>VLOOKUP(Master8[[#This Row],[Province_RDC]],Client[],4,FALSE)</f>
        <v>Pro Monde</v>
      </c>
      <c r="P118" s="1">
        <f>VLOOKUP(Master8[[#This Row],[Province_RDC]],Client[],5,FALSE)</f>
        <v>482</v>
      </c>
      <c r="Q118" s="1">
        <f>VLOOKUP(Master8[[#This Row],[Province_RDC]],Client[],6,FALSE)</f>
        <v>55.04</v>
      </c>
      <c r="R118" s="1">
        <f>VLOOKUP(Master8[[#This Row],[Province_RDC]],Client[],7,FALSE)</f>
        <v>5</v>
      </c>
      <c r="S118" s="1" t="str">
        <f>IF(Master8[[#This Row],[Type_Forfait]]="Pro Monde","B2B","B2C")</f>
        <v>B2B</v>
      </c>
      <c r="T118" s="1">
        <f>Master8[[#This Row],[Anciennete_Mois]]/12</f>
        <v>8.1666666666666661</v>
      </c>
      <c r="U118" s="1">
        <f>Master8[[#This Row],[Duree_Cumule_Panne_Min]]/60</f>
        <v>8.0333333333333332</v>
      </c>
      <c r="V11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8" s="6">
        <f>Master8[[#This Row],[Facture_Mensuelle]]*Master8[[#This Row],[Remise]]</f>
        <v>24.768000000000001</v>
      </c>
    </row>
    <row r="119" spans="1:24" x14ac:dyDescent="0.25">
      <c r="A119" s="1" t="s">
        <v>999</v>
      </c>
      <c r="B119" t="str">
        <f>IFERROR(VLOOKUP(Master8[[#This Row],[Cell_ID]],Registre_Maintenance[],2,FALSE),"")</f>
        <v>Nord-Ubangi</v>
      </c>
      <c r="C119" s="1" t="s">
        <v>1009</v>
      </c>
      <c r="D119" s="2">
        <v>45222.415277777778</v>
      </c>
      <c r="E119" s="3">
        <v>45222.415277777778</v>
      </c>
      <c r="F119">
        <v>73</v>
      </c>
      <c r="G119">
        <f>Master8[[#This Row],[Duree_Panne_Min]]/60</f>
        <v>1.2166666666666666</v>
      </c>
      <c r="H119" s="1" t="s">
        <v>732</v>
      </c>
      <c r="I119">
        <f>IFERROR(VLOOKUP(Master8[[#This Row],[Cell_ID]],Registre_Maintenance[],3,FALSE),"")</f>
        <v>-4.8128659999999996</v>
      </c>
      <c r="J119">
        <f>IFERROR(VLOOKUP(Master8[[#This Row],[Cell_ID]],Registre_Maintenance[],4,FALSE),"")</f>
        <v>18.559304999999998</v>
      </c>
      <c r="K119" t="str">
        <f>IFERROR(VLOOKUP(Master8[[#This Row],[Cell_ID]],Registre_Maintenance[],5,FALSE),"")</f>
        <v>5G</v>
      </c>
      <c r="L119" t="str">
        <f>IFERROR(VLOOKUP(Master8[[#This Row],[Cell_ID]],Registre_Maintenance[],6,FALSE),"")</f>
        <v>ZTE</v>
      </c>
      <c r="M119" s="1" t="str">
        <f>VLOOKUP(Master8[[#This Row],[Province_RDC]],Client[],2,FALSE)</f>
        <v>CLI-01170</v>
      </c>
      <c r="N119" s="1">
        <f>VLOOKUP(Master8[[#This Row],[Province_RDC]],Client[],3,FALSE)</f>
        <v>98</v>
      </c>
      <c r="O119" s="1" t="str">
        <f>VLOOKUP(Master8[[#This Row],[Province_RDC]],Client[],4,FALSE)</f>
        <v>Pro Monde</v>
      </c>
      <c r="P119" s="1">
        <f>VLOOKUP(Master8[[#This Row],[Province_RDC]],Client[],5,FALSE)</f>
        <v>482</v>
      </c>
      <c r="Q119" s="1">
        <f>VLOOKUP(Master8[[#This Row],[Province_RDC]],Client[],6,FALSE)</f>
        <v>55.04</v>
      </c>
      <c r="R119" s="1">
        <f>VLOOKUP(Master8[[#This Row],[Province_RDC]],Client[],7,FALSE)</f>
        <v>5</v>
      </c>
      <c r="S119" s="1" t="str">
        <f>IF(Master8[[#This Row],[Type_Forfait]]="Pro Monde","B2B","B2C")</f>
        <v>B2B</v>
      </c>
      <c r="T119" s="1">
        <f>Master8[[#This Row],[Anciennete_Mois]]/12</f>
        <v>8.1666666666666661</v>
      </c>
      <c r="U119" s="1">
        <f>Master8[[#This Row],[Duree_Cumule_Panne_Min]]/60</f>
        <v>8.0333333333333332</v>
      </c>
      <c r="V11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1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19" s="6">
        <f>Master8[[#This Row],[Facture_Mensuelle]]*Master8[[#This Row],[Remise]]</f>
        <v>24.768000000000001</v>
      </c>
    </row>
    <row r="120" spans="1:24" x14ac:dyDescent="0.25">
      <c r="A120" s="1" t="s">
        <v>1241</v>
      </c>
      <c r="B120" t="str">
        <f>IFERROR(VLOOKUP(Master8[[#This Row],[Cell_ID]],Registre_Maintenance[],2,FALSE),"")</f>
        <v>Nord-Ubangi</v>
      </c>
      <c r="C120" s="1" t="s">
        <v>1249</v>
      </c>
      <c r="D120" s="2">
        <v>45220.584027777782</v>
      </c>
      <c r="E120" s="3">
        <v>45220.584027777782</v>
      </c>
      <c r="F120">
        <v>92</v>
      </c>
      <c r="G120">
        <f>Master8[[#This Row],[Duree_Panne_Min]]/60</f>
        <v>1.5333333333333334</v>
      </c>
      <c r="H120" s="1" t="s">
        <v>737</v>
      </c>
      <c r="I120">
        <f>IFERROR(VLOOKUP(Master8[[#This Row],[Cell_ID]],Registre_Maintenance[],3,FALSE),"")</f>
        <v>-11.588665000000001</v>
      </c>
      <c r="J120">
        <f>IFERROR(VLOOKUP(Master8[[#This Row],[Cell_ID]],Registre_Maintenance[],4,FALSE),"")</f>
        <v>15.241552</v>
      </c>
      <c r="K120" t="str">
        <f>IFERROR(VLOOKUP(Master8[[#This Row],[Cell_ID]],Registre_Maintenance[],5,FALSE),"")</f>
        <v>4G</v>
      </c>
      <c r="L120" t="str">
        <f>IFERROR(VLOOKUP(Master8[[#This Row],[Cell_ID]],Registre_Maintenance[],6,FALSE),"")</f>
        <v>Nokia</v>
      </c>
      <c r="M120" s="1" t="str">
        <f>VLOOKUP(Master8[[#This Row],[Province_RDC]],Client[],2,FALSE)</f>
        <v>CLI-01170</v>
      </c>
      <c r="N120" s="1">
        <f>VLOOKUP(Master8[[#This Row],[Province_RDC]],Client[],3,FALSE)</f>
        <v>98</v>
      </c>
      <c r="O120" s="1" t="str">
        <f>VLOOKUP(Master8[[#This Row],[Province_RDC]],Client[],4,FALSE)</f>
        <v>Pro Monde</v>
      </c>
      <c r="P120" s="1">
        <f>VLOOKUP(Master8[[#This Row],[Province_RDC]],Client[],5,FALSE)</f>
        <v>482</v>
      </c>
      <c r="Q120" s="1">
        <f>VLOOKUP(Master8[[#This Row],[Province_RDC]],Client[],6,FALSE)</f>
        <v>55.04</v>
      </c>
      <c r="R120" s="1">
        <f>VLOOKUP(Master8[[#This Row],[Province_RDC]],Client[],7,FALSE)</f>
        <v>5</v>
      </c>
      <c r="S120" s="1" t="str">
        <f>IF(Master8[[#This Row],[Type_Forfait]]="Pro Monde","B2B","B2C")</f>
        <v>B2B</v>
      </c>
      <c r="T120" s="1">
        <f>Master8[[#This Row],[Anciennete_Mois]]/12</f>
        <v>8.1666666666666661</v>
      </c>
      <c r="U120" s="1">
        <f>Master8[[#This Row],[Duree_Cumule_Panne_Min]]/60</f>
        <v>8.0333333333333332</v>
      </c>
      <c r="V12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0" s="6">
        <f>Master8[[#This Row],[Facture_Mensuelle]]*Master8[[#This Row],[Remise]]</f>
        <v>24.768000000000001</v>
      </c>
    </row>
    <row r="121" spans="1:24" x14ac:dyDescent="0.25">
      <c r="A121" s="1" t="s">
        <v>1241</v>
      </c>
      <c r="B121" t="str">
        <f>IFERROR(VLOOKUP(Master8[[#This Row],[Cell_ID]],Registre_Maintenance[],2,FALSE),"")</f>
        <v>Nord-Ubangi</v>
      </c>
      <c r="C121" s="1" t="s">
        <v>879</v>
      </c>
      <c r="D121" s="2">
        <v>45214.018750000003</v>
      </c>
      <c r="E121" s="3">
        <v>45214.018750000003</v>
      </c>
      <c r="F121">
        <v>115</v>
      </c>
      <c r="G121">
        <f>Master8[[#This Row],[Duree_Panne_Min]]/60</f>
        <v>1.9166666666666667</v>
      </c>
      <c r="H121" s="1" t="s">
        <v>735</v>
      </c>
      <c r="I121">
        <f>IFERROR(VLOOKUP(Master8[[#This Row],[Cell_ID]],Registre_Maintenance[],3,FALSE),"")</f>
        <v>-1.342476</v>
      </c>
      <c r="J121">
        <f>IFERROR(VLOOKUP(Master8[[#This Row],[Cell_ID]],Registre_Maintenance[],4,FALSE),"")</f>
        <v>15.986086</v>
      </c>
      <c r="K121" t="str">
        <f>IFERROR(VLOOKUP(Master8[[#This Row],[Cell_ID]],Registre_Maintenance[],5,FALSE),"")</f>
        <v>4G</v>
      </c>
      <c r="L121" t="str">
        <f>IFERROR(VLOOKUP(Master8[[#This Row],[Cell_ID]],Registre_Maintenance[],6,FALSE),"")</f>
        <v>Ericsson</v>
      </c>
      <c r="M121" s="1" t="str">
        <f>VLOOKUP(Master8[[#This Row],[Province_RDC]],Client[],2,FALSE)</f>
        <v>CLI-01170</v>
      </c>
      <c r="N121" s="1">
        <f>VLOOKUP(Master8[[#This Row],[Province_RDC]],Client[],3,FALSE)</f>
        <v>98</v>
      </c>
      <c r="O121" s="1" t="str">
        <f>VLOOKUP(Master8[[#This Row],[Province_RDC]],Client[],4,FALSE)</f>
        <v>Pro Monde</v>
      </c>
      <c r="P121" s="1">
        <f>VLOOKUP(Master8[[#This Row],[Province_RDC]],Client[],5,FALSE)</f>
        <v>482</v>
      </c>
      <c r="Q121" s="1">
        <f>VLOOKUP(Master8[[#This Row],[Province_RDC]],Client[],6,FALSE)</f>
        <v>55.04</v>
      </c>
      <c r="R121" s="1">
        <f>VLOOKUP(Master8[[#This Row],[Province_RDC]],Client[],7,FALSE)</f>
        <v>5</v>
      </c>
      <c r="S121" s="1" t="str">
        <f>IF(Master8[[#This Row],[Type_Forfait]]="Pro Monde","B2B","B2C")</f>
        <v>B2B</v>
      </c>
      <c r="T121" s="1">
        <f>Master8[[#This Row],[Anciennete_Mois]]/12</f>
        <v>8.1666666666666661</v>
      </c>
      <c r="U121" s="1">
        <f>Master8[[#This Row],[Duree_Cumule_Panne_Min]]/60</f>
        <v>8.0333333333333332</v>
      </c>
      <c r="V12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1" s="6">
        <f>Master8[[#This Row],[Facture_Mensuelle]]*Master8[[#This Row],[Remise]]</f>
        <v>24.768000000000001</v>
      </c>
    </row>
    <row r="122" spans="1:24" x14ac:dyDescent="0.25">
      <c r="A122" s="1" t="s">
        <v>1193</v>
      </c>
      <c r="B122" t="str">
        <f>IFERROR(VLOOKUP(Master8[[#This Row],[Cell_ID]],Registre_Maintenance[],2,FALSE),"")</f>
        <v>Nord-Ubangi</v>
      </c>
      <c r="C122" s="1" t="s">
        <v>1201</v>
      </c>
      <c r="D122" s="2">
        <v>45213.238194444442</v>
      </c>
      <c r="E122" s="3">
        <v>45213.238194444442</v>
      </c>
      <c r="F122">
        <v>53</v>
      </c>
      <c r="G122">
        <f>Master8[[#This Row],[Duree_Panne_Min]]/60</f>
        <v>0.8833333333333333</v>
      </c>
      <c r="H122" s="1" t="s">
        <v>735</v>
      </c>
      <c r="I122">
        <f>IFERROR(VLOOKUP(Master8[[#This Row],[Cell_ID]],Registre_Maintenance[],3,FALSE),"")</f>
        <v>-8.4985189999999999</v>
      </c>
      <c r="J122">
        <f>IFERROR(VLOOKUP(Master8[[#This Row],[Cell_ID]],Registre_Maintenance[],4,FALSE),"")</f>
        <v>12.929456999999999</v>
      </c>
      <c r="K122" t="str">
        <f>IFERROR(VLOOKUP(Master8[[#This Row],[Cell_ID]],Registre_Maintenance[],5,FALSE),"")</f>
        <v>4G</v>
      </c>
      <c r="L122" t="str">
        <f>IFERROR(VLOOKUP(Master8[[#This Row],[Cell_ID]],Registre_Maintenance[],6,FALSE),"")</f>
        <v>Ericsson</v>
      </c>
      <c r="M122" s="1" t="str">
        <f>VLOOKUP(Master8[[#This Row],[Province_RDC]],Client[],2,FALSE)</f>
        <v>CLI-01170</v>
      </c>
      <c r="N122" s="1">
        <f>VLOOKUP(Master8[[#This Row],[Province_RDC]],Client[],3,FALSE)</f>
        <v>98</v>
      </c>
      <c r="O122" s="1" t="str">
        <f>VLOOKUP(Master8[[#This Row],[Province_RDC]],Client[],4,FALSE)</f>
        <v>Pro Monde</v>
      </c>
      <c r="P122" s="1">
        <f>VLOOKUP(Master8[[#This Row],[Province_RDC]],Client[],5,FALSE)</f>
        <v>482</v>
      </c>
      <c r="Q122" s="1">
        <f>VLOOKUP(Master8[[#This Row],[Province_RDC]],Client[],6,FALSE)</f>
        <v>55.04</v>
      </c>
      <c r="R122" s="1">
        <f>VLOOKUP(Master8[[#This Row],[Province_RDC]],Client[],7,FALSE)</f>
        <v>5</v>
      </c>
      <c r="S122" s="1" t="str">
        <f>IF(Master8[[#This Row],[Type_Forfait]]="Pro Monde","B2B","B2C")</f>
        <v>B2B</v>
      </c>
      <c r="T122" s="1">
        <f>Master8[[#This Row],[Anciennete_Mois]]/12</f>
        <v>8.1666666666666661</v>
      </c>
      <c r="U122" s="1">
        <f>Master8[[#This Row],[Duree_Cumule_Panne_Min]]/60</f>
        <v>8.0333333333333332</v>
      </c>
      <c r="V12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2" s="6">
        <f>Master8[[#This Row],[Facture_Mensuelle]]*Master8[[#This Row],[Remise]]</f>
        <v>24.768000000000001</v>
      </c>
    </row>
    <row r="123" spans="1:24" x14ac:dyDescent="0.25">
      <c r="A123" s="1" t="s">
        <v>730</v>
      </c>
      <c r="B123" t="str">
        <f>IFERROR(VLOOKUP(Master8[[#This Row],[Cell_ID]],Registre_Maintenance[],2,FALSE),"")</f>
        <v>Nord-Ubangi</v>
      </c>
      <c r="C123" s="1" t="s">
        <v>763</v>
      </c>
      <c r="D123" s="2">
        <v>45211.279166666667</v>
      </c>
      <c r="E123" s="3">
        <v>45211.279166666667</v>
      </c>
      <c r="F123">
        <v>75</v>
      </c>
      <c r="G123">
        <f>Master8[[#This Row],[Duree_Panne_Min]]/60</f>
        <v>1.25</v>
      </c>
      <c r="H123" s="1" t="s">
        <v>732</v>
      </c>
      <c r="I123">
        <f>IFERROR(VLOOKUP(Master8[[#This Row],[Cell_ID]],Registre_Maintenance[],3,FALSE),"")</f>
        <v>-8.1437910000000002</v>
      </c>
      <c r="J123">
        <f>IFERROR(VLOOKUP(Master8[[#This Row],[Cell_ID]],Registre_Maintenance[],4,FALSE),"")</f>
        <v>28.946161</v>
      </c>
      <c r="K123" t="str">
        <f>IFERROR(VLOOKUP(Master8[[#This Row],[Cell_ID]],Registre_Maintenance[],5,FALSE),"")</f>
        <v>4G</v>
      </c>
      <c r="L123" t="str">
        <f>IFERROR(VLOOKUP(Master8[[#This Row],[Cell_ID]],Registre_Maintenance[],6,FALSE),"")</f>
        <v>ZTE</v>
      </c>
      <c r="M123" s="1" t="str">
        <f>VLOOKUP(Master8[[#This Row],[Province_RDC]],Client[],2,FALSE)</f>
        <v>CLI-01170</v>
      </c>
      <c r="N123" s="1">
        <f>VLOOKUP(Master8[[#This Row],[Province_RDC]],Client[],3,FALSE)</f>
        <v>98</v>
      </c>
      <c r="O123" s="1" t="str">
        <f>VLOOKUP(Master8[[#This Row],[Province_RDC]],Client[],4,FALSE)</f>
        <v>Pro Monde</v>
      </c>
      <c r="P123" s="1">
        <f>VLOOKUP(Master8[[#This Row],[Province_RDC]],Client[],5,FALSE)</f>
        <v>482</v>
      </c>
      <c r="Q123" s="1">
        <f>VLOOKUP(Master8[[#This Row],[Province_RDC]],Client[],6,FALSE)</f>
        <v>55.04</v>
      </c>
      <c r="R123" s="1">
        <f>VLOOKUP(Master8[[#This Row],[Province_RDC]],Client[],7,FALSE)</f>
        <v>5</v>
      </c>
      <c r="S123" s="1" t="str">
        <f>IF(Master8[[#This Row],[Type_Forfait]]="Pro Monde","B2B","B2C")</f>
        <v>B2B</v>
      </c>
      <c r="T123" s="1">
        <f>Master8[[#This Row],[Anciennete_Mois]]/12</f>
        <v>8.1666666666666661</v>
      </c>
      <c r="U123" s="1">
        <f>Master8[[#This Row],[Duree_Cumule_Panne_Min]]/60</f>
        <v>8.0333333333333332</v>
      </c>
      <c r="V12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3" s="6">
        <f>Master8[[#This Row],[Facture_Mensuelle]]*Master8[[#This Row],[Remise]]</f>
        <v>24.768000000000001</v>
      </c>
    </row>
    <row r="124" spans="1:24" x14ac:dyDescent="0.25">
      <c r="A124" s="1" t="s">
        <v>1241</v>
      </c>
      <c r="B124" t="str">
        <f>IFERROR(VLOOKUP(Master8[[#This Row],[Cell_ID]],Registre_Maintenance[],2,FALSE),"")</f>
        <v>Nord-Ubangi</v>
      </c>
      <c r="C124" s="1" t="s">
        <v>1157</v>
      </c>
      <c r="D124" s="2">
        <v>45210.908333333333</v>
      </c>
      <c r="E124" s="3">
        <v>45210.908333333333</v>
      </c>
      <c r="F124">
        <v>57</v>
      </c>
      <c r="G124">
        <f>Master8[[#This Row],[Duree_Panne_Min]]/60</f>
        <v>0.95</v>
      </c>
      <c r="H124" s="1" t="s">
        <v>737</v>
      </c>
      <c r="I124">
        <f>IFERROR(VLOOKUP(Master8[[#This Row],[Cell_ID]],Registre_Maintenance[],3,FALSE),"")</f>
        <v>8.5490999999999998E-2</v>
      </c>
      <c r="J124">
        <f>IFERROR(VLOOKUP(Master8[[#This Row],[Cell_ID]],Registre_Maintenance[],4,FALSE),"")</f>
        <v>26.296129000000001</v>
      </c>
      <c r="K124" t="str">
        <f>IFERROR(VLOOKUP(Master8[[#This Row],[Cell_ID]],Registre_Maintenance[],5,FALSE),"")</f>
        <v>3G</v>
      </c>
      <c r="L124" t="str">
        <f>IFERROR(VLOOKUP(Master8[[#This Row],[Cell_ID]],Registre_Maintenance[],6,FALSE),"")</f>
        <v>ZTE</v>
      </c>
      <c r="M124" s="1" t="str">
        <f>VLOOKUP(Master8[[#This Row],[Province_RDC]],Client[],2,FALSE)</f>
        <v>CLI-01170</v>
      </c>
      <c r="N124" s="1">
        <f>VLOOKUP(Master8[[#This Row],[Province_RDC]],Client[],3,FALSE)</f>
        <v>98</v>
      </c>
      <c r="O124" s="1" t="str">
        <f>VLOOKUP(Master8[[#This Row],[Province_RDC]],Client[],4,FALSE)</f>
        <v>Pro Monde</v>
      </c>
      <c r="P124" s="1">
        <f>VLOOKUP(Master8[[#This Row],[Province_RDC]],Client[],5,FALSE)</f>
        <v>482</v>
      </c>
      <c r="Q124" s="1">
        <f>VLOOKUP(Master8[[#This Row],[Province_RDC]],Client[],6,FALSE)</f>
        <v>55.04</v>
      </c>
      <c r="R124" s="1">
        <f>VLOOKUP(Master8[[#This Row],[Province_RDC]],Client[],7,FALSE)</f>
        <v>5</v>
      </c>
      <c r="S124" s="1" t="str">
        <f>IF(Master8[[#This Row],[Type_Forfait]]="Pro Monde","B2B","B2C")</f>
        <v>B2B</v>
      </c>
      <c r="T124" s="1">
        <f>Master8[[#This Row],[Anciennete_Mois]]/12</f>
        <v>8.1666666666666661</v>
      </c>
      <c r="U124" s="1">
        <f>Master8[[#This Row],[Duree_Cumule_Panne_Min]]/60</f>
        <v>8.0333333333333332</v>
      </c>
      <c r="V12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4" s="6">
        <f>Master8[[#This Row],[Facture_Mensuelle]]*Master8[[#This Row],[Remise]]</f>
        <v>24.768000000000001</v>
      </c>
    </row>
    <row r="125" spans="1:24" x14ac:dyDescent="0.25">
      <c r="A125" s="1" t="s">
        <v>1138</v>
      </c>
      <c r="B125" t="str">
        <f>IFERROR(VLOOKUP(Master8[[#This Row],[Cell_ID]],Registre_Maintenance[],2,FALSE),"")</f>
        <v>Nord-Ubangi</v>
      </c>
      <c r="C125" s="1" t="s">
        <v>1157</v>
      </c>
      <c r="D125" s="2">
        <v>45210.686111111107</v>
      </c>
      <c r="E125" s="3">
        <v>45210.686111111107</v>
      </c>
      <c r="F125">
        <v>62</v>
      </c>
      <c r="G125">
        <f>Master8[[#This Row],[Duree_Panne_Min]]/60</f>
        <v>1.0333333333333334</v>
      </c>
      <c r="H125" s="1" t="s">
        <v>735</v>
      </c>
      <c r="I125">
        <f>IFERROR(VLOOKUP(Master8[[#This Row],[Cell_ID]],Registre_Maintenance[],3,FALSE),"")</f>
        <v>8.5490999999999998E-2</v>
      </c>
      <c r="J125">
        <f>IFERROR(VLOOKUP(Master8[[#This Row],[Cell_ID]],Registre_Maintenance[],4,FALSE),"")</f>
        <v>26.296129000000001</v>
      </c>
      <c r="K125" t="str">
        <f>IFERROR(VLOOKUP(Master8[[#This Row],[Cell_ID]],Registre_Maintenance[],5,FALSE),"")</f>
        <v>3G</v>
      </c>
      <c r="L125" t="str">
        <f>IFERROR(VLOOKUP(Master8[[#This Row],[Cell_ID]],Registre_Maintenance[],6,FALSE),"")</f>
        <v>ZTE</v>
      </c>
      <c r="M125" s="1" t="str">
        <f>VLOOKUP(Master8[[#This Row],[Province_RDC]],Client[],2,FALSE)</f>
        <v>CLI-01170</v>
      </c>
      <c r="N125" s="1">
        <f>VLOOKUP(Master8[[#This Row],[Province_RDC]],Client[],3,FALSE)</f>
        <v>98</v>
      </c>
      <c r="O125" s="1" t="str">
        <f>VLOOKUP(Master8[[#This Row],[Province_RDC]],Client[],4,FALSE)</f>
        <v>Pro Monde</v>
      </c>
      <c r="P125" s="1">
        <f>VLOOKUP(Master8[[#This Row],[Province_RDC]],Client[],5,FALSE)</f>
        <v>482</v>
      </c>
      <c r="Q125" s="1">
        <f>VLOOKUP(Master8[[#This Row],[Province_RDC]],Client[],6,FALSE)</f>
        <v>55.04</v>
      </c>
      <c r="R125" s="1">
        <f>VLOOKUP(Master8[[#This Row],[Province_RDC]],Client[],7,FALSE)</f>
        <v>5</v>
      </c>
      <c r="S125" s="1" t="str">
        <f>IF(Master8[[#This Row],[Type_Forfait]]="Pro Monde","B2B","B2C")</f>
        <v>B2B</v>
      </c>
      <c r="T125" s="1">
        <f>Master8[[#This Row],[Anciennete_Mois]]/12</f>
        <v>8.1666666666666661</v>
      </c>
      <c r="U125" s="1">
        <f>Master8[[#This Row],[Duree_Cumule_Panne_Min]]/60</f>
        <v>8.0333333333333332</v>
      </c>
      <c r="V12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5" s="6">
        <f>Master8[[#This Row],[Facture_Mensuelle]]*Master8[[#This Row],[Remise]]</f>
        <v>24.768000000000001</v>
      </c>
    </row>
    <row r="126" spans="1:24" x14ac:dyDescent="0.25">
      <c r="A126" s="1" t="s">
        <v>1193</v>
      </c>
      <c r="B126" t="str">
        <f>IFERROR(VLOOKUP(Master8[[#This Row],[Cell_ID]],Registre_Maintenance[],2,FALSE),"")</f>
        <v>Nord-Ubangi</v>
      </c>
      <c r="C126" s="1" t="s">
        <v>990</v>
      </c>
      <c r="D126" s="2">
        <v>45209.659722222219</v>
      </c>
      <c r="E126" s="3">
        <v>45209.659722222219</v>
      </c>
      <c r="F126">
        <v>67</v>
      </c>
      <c r="G126">
        <f>Master8[[#This Row],[Duree_Panne_Min]]/60</f>
        <v>1.1166666666666667</v>
      </c>
      <c r="H126" s="1" t="s">
        <v>737</v>
      </c>
      <c r="I126">
        <f>IFERROR(VLOOKUP(Master8[[#This Row],[Cell_ID]],Registre_Maintenance[],3,FALSE),"")</f>
        <v>-7.7839049999999999</v>
      </c>
      <c r="J126">
        <f>IFERROR(VLOOKUP(Master8[[#This Row],[Cell_ID]],Registre_Maintenance[],4,FALSE),"")</f>
        <v>14.114281999999999</v>
      </c>
      <c r="K126" t="str">
        <f>IFERROR(VLOOKUP(Master8[[#This Row],[Cell_ID]],Registre_Maintenance[],5,FALSE),"")</f>
        <v>3G</v>
      </c>
      <c r="L126" t="str">
        <f>IFERROR(VLOOKUP(Master8[[#This Row],[Cell_ID]],Registre_Maintenance[],6,FALSE),"")</f>
        <v>ZTE</v>
      </c>
      <c r="M126" s="1" t="str">
        <f>VLOOKUP(Master8[[#This Row],[Province_RDC]],Client[],2,FALSE)</f>
        <v>CLI-01170</v>
      </c>
      <c r="N126" s="1">
        <f>VLOOKUP(Master8[[#This Row],[Province_RDC]],Client[],3,FALSE)</f>
        <v>98</v>
      </c>
      <c r="O126" s="1" t="str">
        <f>VLOOKUP(Master8[[#This Row],[Province_RDC]],Client[],4,FALSE)</f>
        <v>Pro Monde</v>
      </c>
      <c r="P126" s="1">
        <f>VLOOKUP(Master8[[#This Row],[Province_RDC]],Client[],5,FALSE)</f>
        <v>482</v>
      </c>
      <c r="Q126" s="1">
        <f>VLOOKUP(Master8[[#This Row],[Province_RDC]],Client[],6,FALSE)</f>
        <v>55.04</v>
      </c>
      <c r="R126" s="1">
        <f>VLOOKUP(Master8[[#This Row],[Province_RDC]],Client[],7,FALSE)</f>
        <v>5</v>
      </c>
      <c r="S126" s="1" t="str">
        <f>IF(Master8[[#This Row],[Type_Forfait]]="Pro Monde","B2B","B2C")</f>
        <v>B2B</v>
      </c>
      <c r="T126" s="1">
        <f>Master8[[#This Row],[Anciennete_Mois]]/12</f>
        <v>8.1666666666666661</v>
      </c>
      <c r="U126" s="1">
        <f>Master8[[#This Row],[Duree_Cumule_Panne_Min]]/60</f>
        <v>8.0333333333333332</v>
      </c>
      <c r="V12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6" s="6">
        <f>Master8[[#This Row],[Facture_Mensuelle]]*Master8[[#This Row],[Remise]]</f>
        <v>24.768000000000001</v>
      </c>
    </row>
    <row r="127" spans="1:24" x14ac:dyDescent="0.25">
      <c r="A127" s="1" t="s">
        <v>779</v>
      </c>
      <c r="B127" t="str">
        <f>IFERROR(VLOOKUP(Master8[[#This Row],[Cell_ID]],Registre_Maintenance[],2,FALSE),"")</f>
        <v>Nord-Ubangi</v>
      </c>
      <c r="C127" s="1" t="s">
        <v>816</v>
      </c>
      <c r="D127" s="2">
        <v>45208.279166666667</v>
      </c>
      <c r="E127" s="3">
        <v>45208.279166666667</v>
      </c>
      <c r="F127">
        <v>41</v>
      </c>
      <c r="G127">
        <f>Master8[[#This Row],[Duree_Panne_Min]]/60</f>
        <v>0.68333333333333335</v>
      </c>
      <c r="H127" s="1" t="s">
        <v>735</v>
      </c>
      <c r="I127">
        <f>IFERROR(VLOOKUP(Master8[[#This Row],[Cell_ID]],Registre_Maintenance[],3,FALSE),"")</f>
        <v>-9.3066320000000005</v>
      </c>
      <c r="J127">
        <f>IFERROR(VLOOKUP(Master8[[#This Row],[Cell_ID]],Registre_Maintenance[],4,FALSE),"")</f>
        <v>20.470889</v>
      </c>
      <c r="K127" t="str">
        <f>IFERROR(VLOOKUP(Master8[[#This Row],[Cell_ID]],Registre_Maintenance[],5,FALSE),"")</f>
        <v>5G</v>
      </c>
      <c r="L127" t="str">
        <f>IFERROR(VLOOKUP(Master8[[#This Row],[Cell_ID]],Registre_Maintenance[],6,FALSE),"")</f>
        <v>ZTE</v>
      </c>
      <c r="M127" s="1" t="str">
        <f>VLOOKUP(Master8[[#This Row],[Province_RDC]],Client[],2,FALSE)</f>
        <v>CLI-01170</v>
      </c>
      <c r="N127" s="1">
        <f>VLOOKUP(Master8[[#This Row],[Province_RDC]],Client[],3,FALSE)</f>
        <v>98</v>
      </c>
      <c r="O127" s="1" t="str">
        <f>VLOOKUP(Master8[[#This Row],[Province_RDC]],Client[],4,FALSE)</f>
        <v>Pro Monde</v>
      </c>
      <c r="P127" s="1">
        <f>VLOOKUP(Master8[[#This Row],[Province_RDC]],Client[],5,FALSE)</f>
        <v>482</v>
      </c>
      <c r="Q127" s="1">
        <f>VLOOKUP(Master8[[#This Row],[Province_RDC]],Client[],6,FALSE)</f>
        <v>55.04</v>
      </c>
      <c r="R127" s="1">
        <f>VLOOKUP(Master8[[#This Row],[Province_RDC]],Client[],7,FALSE)</f>
        <v>5</v>
      </c>
      <c r="S127" s="1" t="str">
        <f>IF(Master8[[#This Row],[Type_Forfait]]="Pro Monde","B2B","B2C")</f>
        <v>B2B</v>
      </c>
      <c r="T127" s="1">
        <f>Master8[[#This Row],[Anciennete_Mois]]/12</f>
        <v>8.1666666666666661</v>
      </c>
      <c r="U127" s="1">
        <f>Master8[[#This Row],[Duree_Cumule_Panne_Min]]/60</f>
        <v>8.0333333333333332</v>
      </c>
      <c r="V12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7" s="6">
        <f>Master8[[#This Row],[Facture_Mensuelle]]*Master8[[#This Row],[Remise]]</f>
        <v>24.768000000000001</v>
      </c>
    </row>
    <row r="128" spans="1:24" x14ac:dyDescent="0.25">
      <c r="A128" s="1" t="s">
        <v>1288</v>
      </c>
      <c r="B128" t="str">
        <f>IFERROR(VLOOKUP(Master8[[#This Row],[Cell_ID]],Registre_Maintenance[],2,FALSE),"")</f>
        <v>Nord-Ubangi</v>
      </c>
      <c r="C128" s="1" t="s">
        <v>763</v>
      </c>
      <c r="D128" s="2">
        <v>45205.013888888891</v>
      </c>
      <c r="E128" s="3">
        <v>45205.013888888891</v>
      </c>
      <c r="F128">
        <v>35</v>
      </c>
      <c r="G128">
        <f>Master8[[#This Row],[Duree_Panne_Min]]/60</f>
        <v>0.58333333333333337</v>
      </c>
      <c r="H128" s="1" t="s">
        <v>735</v>
      </c>
      <c r="I128">
        <f>IFERROR(VLOOKUP(Master8[[#This Row],[Cell_ID]],Registre_Maintenance[],3,FALSE),"")</f>
        <v>-8.1437910000000002</v>
      </c>
      <c r="J128">
        <f>IFERROR(VLOOKUP(Master8[[#This Row],[Cell_ID]],Registre_Maintenance[],4,FALSE),"")</f>
        <v>28.946161</v>
      </c>
      <c r="K128" t="str">
        <f>IFERROR(VLOOKUP(Master8[[#This Row],[Cell_ID]],Registre_Maintenance[],5,FALSE),"")</f>
        <v>4G</v>
      </c>
      <c r="L128" t="str">
        <f>IFERROR(VLOOKUP(Master8[[#This Row],[Cell_ID]],Registre_Maintenance[],6,FALSE),"")</f>
        <v>ZTE</v>
      </c>
      <c r="M128" s="1" t="str">
        <f>VLOOKUP(Master8[[#This Row],[Province_RDC]],Client[],2,FALSE)</f>
        <v>CLI-01170</v>
      </c>
      <c r="N128" s="1">
        <f>VLOOKUP(Master8[[#This Row],[Province_RDC]],Client[],3,FALSE)</f>
        <v>98</v>
      </c>
      <c r="O128" s="1" t="str">
        <f>VLOOKUP(Master8[[#This Row],[Province_RDC]],Client[],4,FALSE)</f>
        <v>Pro Monde</v>
      </c>
      <c r="P128" s="1">
        <f>VLOOKUP(Master8[[#This Row],[Province_RDC]],Client[],5,FALSE)</f>
        <v>482</v>
      </c>
      <c r="Q128" s="1">
        <f>VLOOKUP(Master8[[#This Row],[Province_RDC]],Client[],6,FALSE)</f>
        <v>55.04</v>
      </c>
      <c r="R128" s="1">
        <f>VLOOKUP(Master8[[#This Row],[Province_RDC]],Client[],7,FALSE)</f>
        <v>5</v>
      </c>
      <c r="S128" s="1" t="str">
        <f>IF(Master8[[#This Row],[Type_Forfait]]="Pro Monde","B2B","B2C")</f>
        <v>B2B</v>
      </c>
      <c r="T128" s="1">
        <f>Master8[[#This Row],[Anciennete_Mois]]/12</f>
        <v>8.1666666666666661</v>
      </c>
      <c r="U128" s="1">
        <f>Master8[[#This Row],[Duree_Cumule_Panne_Min]]/60</f>
        <v>8.0333333333333332</v>
      </c>
      <c r="V12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8" s="6">
        <f>Master8[[#This Row],[Facture_Mensuelle]]*Master8[[#This Row],[Remise]]</f>
        <v>24.768000000000001</v>
      </c>
    </row>
    <row r="129" spans="1:24" x14ac:dyDescent="0.25">
      <c r="A129" s="1" t="s">
        <v>861</v>
      </c>
      <c r="B129" t="str">
        <f>IFERROR(VLOOKUP(Master8[[#This Row],[Cell_ID]],Registre_Maintenance[],2,FALSE),"")</f>
        <v>Nord-Ubangi</v>
      </c>
      <c r="C129" s="1" t="s">
        <v>879</v>
      </c>
      <c r="D129" s="2">
        <v>45204.297222222223</v>
      </c>
      <c r="E129" s="3">
        <v>45204.297222222223</v>
      </c>
      <c r="F129">
        <v>111</v>
      </c>
      <c r="G129">
        <f>Master8[[#This Row],[Duree_Panne_Min]]/60</f>
        <v>1.85</v>
      </c>
      <c r="H129" s="1" t="s">
        <v>735</v>
      </c>
      <c r="I129">
        <f>IFERROR(VLOOKUP(Master8[[#This Row],[Cell_ID]],Registre_Maintenance[],3,FALSE),"")</f>
        <v>-1.342476</v>
      </c>
      <c r="J129">
        <f>IFERROR(VLOOKUP(Master8[[#This Row],[Cell_ID]],Registre_Maintenance[],4,FALSE),"")</f>
        <v>15.986086</v>
      </c>
      <c r="K129" t="str">
        <f>IFERROR(VLOOKUP(Master8[[#This Row],[Cell_ID]],Registre_Maintenance[],5,FALSE),"")</f>
        <v>4G</v>
      </c>
      <c r="L129" t="str">
        <f>IFERROR(VLOOKUP(Master8[[#This Row],[Cell_ID]],Registre_Maintenance[],6,FALSE),"")</f>
        <v>Ericsson</v>
      </c>
      <c r="M129" s="1" t="str">
        <f>VLOOKUP(Master8[[#This Row],[Province_RDC]],Client[],2,FALSE)</f>
        <v>CLI-01170</v>
      </c>
      <c r="N129" s="1">
        <f>VLOOKUP(Master8[[#This Row],[Province_RDC]],Client[],3,FALSE)</f>
        <v>98</v>
      </c>
      <c r="O129" s="1" t="str">
        <f>VLOOKUP(Master8[[#This Row],[Province_RDC]],Client[],4,FALSE)</f>
        <v>Pro Monde</v>
      </c>
      <c r="P129" s="1">
        <f>VLOOKUP(Master8[[#This Row],[Province_RDC]],Client[],5,FALSE)</f>
        <v>482</v>
      </c>
      <c r="Q129" s="1">
        <f>VLOOKUP(Master8[[#This Row],[Province_RDC]],Client[],6,FALSE)</f>
        <v>55.04</v>
      </c>
      <c r="R129" s="1">
        <f>VLOOKUP(Master8[[#This Row],[Province_RDC]],Client[],7,FALSE)</f>
        <v>5</v>
      </c>
      <c r="S129" s="1" t="str">
        <f>IF(Master8[[#This Row],[Type_Forfait]]="Pro Monde","B2B","B2C")</f>
        <v>B2B</v>
      </c>
      <c r="T129" s="1">
        <f>Master8[[#This Row],[Anciennete_Mois]]/12</f>
        <v>8.1666666666666661</v>
      </c>
      <c r="U129" s="1">
        <f>Master8[[#This Row],[Duree_Cumule_Panne_Min]]/60</f>
        <v>8.0333333333333332</v>
      </c>
      <c r="V12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2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29" s="6">
        <f>Master8[[#This Row],[Facture_Mensuelle]]*Master8[[#This Row],[Remise]]</f>
        <v>24.768000000000001</v>
      </c>
    </row>
    <row r="130" spans="1:24" x14ac:dyDescent="0.25">
      <c r="A130" s="1" t="s">
        <v>779</v>
      </c>
      <c r="B130" t="str">
        <f>IFERROR(VLOOKUP(Master8[[#This Row],[Cell_ID]],Registre_Maintenance[],2,FALSE),"")</f>
        <v>Nord-Ubangi</v>
      </c>
      <c r="C130" s="1" t="s">
        <v>811</v>
      </c>
      <c r="D130" s="2">
        <v>45203.760416666657</v>
      </c>
      <c r="E130" s="3">
        <v>45203.760416666657</v>
      </c>
      <c r="F130">
        <v>18</v>
      </c>
      <c r="G130">
        <f>Master8[[#This Row],[Duree_Panne_Min]]/60</f>
        <v>0.3</v>
      </c>
      <c r="H130" s="1" t="s">
        <v>737</v>
      </c>
      <c r="I130">
        <f>IFERROR(VLOOKUP(Master8[[#This Row],[Cell_ID]],Registre_Maintenance[],3,FALSE),"")</f>
        <v>0.94539899999999999</v>
      </c>
      <c r="J130">
        <f>IFERROR(VLOOKUP(Master8[[#This Row],[Cell_ID]],Registre_Maintenance[],4,FALSE),"")</f>
        <v>14.401821999999999</v>
      </c>
      <c r="K130" t="str">
        <f>IFERROR(VLOOKUP(Master8[[#This Row],[Cell_ID]],Registre_Maintenance[],5,FALSE),"")</f>
        <v>5G</v>
      </c>
      <c r="L130" t="str">
        <f>IFERROR(VLOOKUP(Master8[[#This Row],[Cell_ID]],Registre_Maintenance[],6,FALSE),"")</f>
        <v>Nokia</v>
      </c>
      <c r="M130" s="1" t="str">
        <f>VLOOKUP(Master8[[#This Row],[Province_RDC]],Client[],2,FALSE)</f>
        <v>CLI-01170</v>
      </c>
      <c r="N130" s="1">
        <f>VLOOKUP(Master8[[#This Row],[Province_RDC]],Client[],3,FALSE)</f>
        <v>98</v>
      </c>
      <c r="O130" s="1" t="str">
        <f>VLOOKUP(Master8[[#This Row],[Province_RDC]],Client[],4,FALSE)</f>
        <v>Pro Monde</v>
      </c>
      <c r="P130" s="1">
        <f>VLOOKUP(Master8[[#This Row],[Province_RDC]],Client[],5,FALSE)</f>
        <v>482</v>
      </c>
      <c r="Q130" s="1">
        <f>VLOOKUP(Master8[[#This Row],[Province_RDC]],Client[],6,FALSE)</f>
        <v>55.04</v>
      </c>
      <c r="R130" s="1">
        <f>VLOOKUP(Master8[[#This Row],[Province_RDC]],Client[],7,FALSE)</f>
        <v>5</v>
      </c>
      <c r="S130" s="1" t="str">
        <f>IF(Master8[[#This Row],[Type_Forfait]]="Pro Monde","B2B","B2C")</f>
        <v>B2B</v>
      </c>
      <c r="T130" s="1">
        <f>Master8[[#This Row],[Anciennete_Mois]]/12</f>
        <v>8.1666666666666661</v>
      </c>
      <c r="U130" s="1">
        <f>Master8[[#This Row],[Duree_Cumule_Panne_Min]]/60</f>
        <v>8.0333333333333332</v>
      </c>
      <c r="V13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0" s="6">
        <f>Master8[[#This Row],[Facture_Mensuelle]]*Master8[[#This Row],[Remise]]</f>
        <v>24.768000000000001</v>
      </c>
    </row>
    <row r="131" spans="1:24" x14ac:dyDescent="0.25">
      <c r="A131" s="1" t="s">
        <v>1361</v>
      </c>
      <c r="B131" t="str">
        <f>IFERROR(VLOOKUP(Master8[[#This Row],[Cell_ID]],Registre_Maintenance[],2,FALSE),"")</f>
        <v>Nord-Ubangi</v>
      </c>
      <c r="C131" s="1" t="s">
        <v>763</v>
      </c>
      <c r="D131" s="2">
        <v>45203.517361111109</v>
      </c>
      <c r="E131" s="3">
        <v>45203.517361111109</v>
      </c>
      <c r="F131">
        <v>26</v>
      </c>
      <c r="G131">
        <f>Master8[[#This Row],[Duree_Panne_Min]]/60</f>
        <v>0.43333333333333335</v>
      </c>
      <c r="H131" s="1" t="s">
        <v>732</v>
      </c>
      <c r="I131">
        <f>IFERROR(VLOOKUP(Master8[[#This Row],[Cell_ID]],Registre_Maintenance[],3,FALSE),"")</f>
        <v>-8.1437910000000002</v>
      </c>
      <c r="J131">
        <f>IFERROR(VLOOKUP(Master8[[#This Row],[Cell_ID]],Registre_Maintenance[],4,FALSE),"")</f>
        <v>28.946161</v>
      </c>
      <c r="K131" t="str">
        <f>IFERROR(VLOOKUP(Master8[[#This Row],[Cell_ID]],Registre_Maintenance[],5,FALSE),"")</f>
        <v>4G</v>
      </c>
      <c r="L131" t="str">
        <f>IFERROR(VLOOKUP(Master8[[#This Row],[Cell_ID]],Registre_Maintenance[],6,FALSE),"")</f>
        <v>ZTE</v>
      </c>
      <c r="M131" s="1" t="str">
        <f>VLOOKUP(Master8[[#This Row],[Province_RDC]],Client[],2,FALSE)</f>
        <v>CLI-01170</v>
      </c>
      <c r="N131" s="1">
        <f>VLOOKUP(Master8[[#This Row],[Province_RDC]],Client[],3,FALSE)</f>
        <v>98</v>
      </c>
      <c r="O131" s="1" t="str">
        <f>VLOOKUP(Master8[[#This Row],[Province_RDC]],Client[],4,FALSE)</f>
        <v>Pro Monde</v>
      </c>
      <c r="P131" s="1">
        <f>VLOOKUP(Master8[[#This Row],[Province_RDC]],Client[],5,FALSE)</f>
        <v>482</v>
      </c>
      <c r="Q131" s="1">
        <f>VLOOKUP(Master8[[#This Row],[Province_RDC]],Client[],6,FALSE)</f>
        <v>55.04</v>
      </c>
      <c r="R131" s="1">
        <f>VLOOKUP(Master8[[#This Row],[Province_RDC]],Client[],7,FALSE)</f>
        <v>5</v>
      </c>
      <c r="S131" s="1" t="str">
        <f>IF(Master8[[#This Row],[Type_Forfait]]="Pro Monde","B2B","B2C")</f>
        <v>B2B</v>
      </c>
      <c r="T131" s="1">
        <f>Master8[[#This Row],[Anciennete_Mois]]/12</f>
        <v>8.1666666666666661</v>
      </c>
      <c r="U131" s="1">
        <f>Master8[[#This Row],[Duree_Cumule_Panne_Min]]/60</f>
        <v>8.0333333333333332</v>
      </c>
      <c r="V13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1" s="6">
        <f>Master8[[#This Row],[Facture_Mensuelle]]*Master8[[#This Row],[Remise]]</f>
        <v>24.768000000000001</v>
      </c>
    </row>
    <row r="132" spans="1:24" x14ac:dyDescent="0.25">
      <c r="A132" s="1" t="s">
        <v>999</v>
      </c>
      <c r="B132" t="str">
        <f>IFERROR(VLOOKUP(Master8[[#This Row],[Cell_ID]],Registre_Maintenance[],2,FALSE),"")</f>
        <v>Nord-Ubangi</v>
      </c>
      <c r="C132" s="1" t="s">
        <v>990</v>
      </c>
      <c r="D132" s="2">
        <v>45201.009027777778</v>
      </c>
      <c r="E132" s="3">
        <v>45201.009027777778</v>
      </c>
      <c r="F132">
        <v>56</v>
      </c>
      <c r="G132">
        <f>Master8[[#This Row],[Duree_Panne_Min]]/60</f>
        <v>0.93333333333333335</v>
      </c>
      <c r="H132" s="1" t="s">
        <v>735</v>
      </c>
      <c r="I132">
        <f>IFERROR(VLOOKUP(Master8[[#This Row],[Cell_ID]],Registre_Maintenance[],3,FALSE),"")</f>
        <v>-7.7839049999999999</v>
      </c>
      <c r="J132">
        <f>IFERROR(VLOOKUP(Master8[[#This Row],[Cell_ID]],Registre_Maintenance[],4,FALSE),"")</f>
        <v>14.114281999999999</v>
      </c>
      <c r="K132" t="str">
        <f>IFERROR(VLOOKUP(Master8[[#This Row],[Cell_ID]],Registre_Maintenance[],5,FALSE),"")</f>
        <v>3G</v>
      </c>
      <c r="L132" t="str">
        <f>IFERROR(VLOOKUP(Master8[[#This Row],[Cell_ID]],Registre_Maintenance[],6,FALSE),"")</f>
        <v>ZTE</v>
      </c>
      <c r="M132" s="1" t="str">
        <f>VLOOKUP(Master8[[#This Row],[Province_RDC]],Client[],2,FALSE)</f>
        <v>CLI-01170</v>
      </c>
      <c r="N132" s="1">
        <f>VLOOKUP(Master8[[#This Row],[Province_RDC]],Client[],3,FALSE)</f>
        <v>98</v>
      </c>
      <c r="O132" s="1" t="str">
        <f>VLOOKUP(Master8[[#This Row],[Province_RDC]],Client[],4,FALSE)</f>
        <v>Pro Monde</v>
      </c>
      <c r="P132" s="1">
        <f>VLOOKUP(Master8[[#This Row],[Province_RDC]],Client[],5,FALSE)</f>
        <v>482</v>
      </c>
      <c r="Q132" s="1">
        <f>VLOOKUP(Master8[[#This Row],[Province_RDC]],Client[],6,FALSE)</f>
        <v>55.04</v>
      </c>
      <c r="R132" s="1">
        <f>VLOOKUP(Master8[[#This Row],[Province_RDC]],Client[],7,FALSE)</f>
        <v>5</v>
      </c>
      <c r="S132" s="1" t="str">
        <f>IF(Master8[[#This Row],[Type_Forfait]]="Pro Monde","B2B","B2C")</f>
        <v>B2B</v>
      </c>
      <c r="T132" s="1">
        <f>Master8[[#This Row],[Anciennete_Mois]]/12</f>
        <v>8.1666666666666661</v>
      </c>
      <c r="U132" s="1">
        <f>Master8[[#This Row],[Duree_Cumule_Panne_Min]]/60</f>
        <v>8.0333333333333332</v>
      </c>
      <c r="V13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2" s="6">
        <f>Master8[[#This Row],[Facture_Mensuelle]]*Master8[[#This Row],[Remise]]</f>
        <v>24.768000000000001</v>
      </c>
    </row>
    <row r="133" spans="1:24" x14ac:dyDescent="0.25">
      <c r="A133" s="1" t="s">
        <v>861</v>
      </c>
      <c r="B133" t="str">
        <f>IFERROR(VLOOKUP(Master8[[#This Row],[Cell_ID]],Registre_Maintenance[],2,FALSE),"")</f>
        <v>Nord-Kivu</v>
      </c>
      <c r="C133" s="1" t="s">
        <v>900</v>
      </c>
      <c r="D133" s="2">
        <v>45230.486111111109</v>
      </c>
      <c r="E133" s="3">
        <v>45230.486111111109</v>
      </c>
      <c r="F133">
        <v>38</v>
      </c>
      <c r="G133">
        <f>Master8[[#This Row],[Duree_Panne_Min]]/60</f>
        <v>0.6333333333333333</v>
      </c>
      <c r="H133" s="1" t="s">
        <v>732</v>
      </c>
      <c r="I133">
        <f>IFERROR(VLOOKUP(Master8[[#This Row],[Cell_ID]],Registre_Maintenance[],3,FALSE),"")</f>
        <v>-12.336202</v>
      </c>
      <c r="J133">
        <f>IFERROR(VLOOKUP(Master8[[#This Row],[Cell_ID]],Registre_Maintenance[],4,FALSE),"")</f>
        <v>13.693683999999999</v>
      </c>
      <c r="K133" t="str">
        <f>IFERROR(VLOOKUP(Master8[[#This Row],[Cell_ID]],Registre_Maintenance[],5,FALSE),"")</f>
        <v>5G</v>
      </c>
      <c r="L133" t="str">
        <f>IFERROR(VLOOKUP(Master8[[#This Row],[Cell_ID]],Registre_Maintenance[],6,FALSE),"")</f>
        <v>Huawei</v>
      </c>
      <c r="M133" s="1" t="str">
        <f>VLOOKUP(Master8[[#This Row],[Province_RDC]],Client[],2,FALSE)</f>
        <v>CLI-00837</v>
      </c>
      <c r="N133" s="1">
        <f>VLOOKUP(Master8[[#This Row],[Province_RDC]],Client[],3,FALSE)</f>
        <v>16</v>
      </c>
      <c r="O133" s="1" t="str">
        <f>VLOOKUP(Master8[[#This Row],[Province_RDC]],Client[],4,FALSE)</f>
        <v>Bloqué 5Go</v>
      </c>
      <c r="P133" s="1">
        <f>VLOOKUP(Master8[[#This Row],[Province_RDC]],Client[],5,FALSE)</f>
        <v>390</v>
      </c>
      <c r="Q133" s="1">
        <f>VLOOKUP(Master8[[#This Row],[Province_RDC]],Client[],6,FALSE)</f>
        <v>98.17</v>
      </c>
      <c r="R133" s="1">
        <f>VLOOKUP(Master8[[#This Row],[Province_RDC]],Client[],7,FALSE)</f>
        <v>5</v>
      </c>
      <c r="S133" s="1" t="str">
        <f>IF(Master8[[#This Row],[Type_Forfait]]="Pro Monde","B2B","B2C")</f>
        <v>B2C</v>
      </c>
      <c r="T133" s="1">
        <f>Master8[[#This Row],[Anciennete_Mois]]/12</f>
        <v>1.3333333333333333</v>
      </c>
      <c r="U133" s="1">
        <f>Master8[[#This Row],[Duree_Cumule_Panne_Min]]/60</f>
        <v>6.5</v>
      </c>
      <c r="V13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3" s="6">
        <f>Master8[[#This Row],[Facture_Mensuelle]]*Master8[[#This Row],[Remise]]</f>
        <v>44.176500000000004</v>
      </c>
    </row>
    <row r="134" spans="1:24" x14ac:dyDescent="0.25">
      <c r="A134" s="1" t="s">
        <v>1261</v>
      </c>
      <c r="B134" t="str">
        <f>IFERROR(VLOOKUP(Master8[[#This Row],[Cell_ID]],Registre_Maintenance[],2,FALSE),"")</f>
        <v>Nord-Kivu</v>
      </c>
      <c r="C134" s="1" t="s">
        <v>797</v>
      </c>
      <c r="D134" s="2">
        <v>45229.065972222219</v>
      </c>
      <c r="E134" s="3">
        <v>45229.065972222219</v>
      </c>
      <c r="F134">
        <v>93</v>
      </c>
      <c r="G134">
        <f>Master8[[#This Row],[Duree_Panne_Min]]/60</f>
        <v>1.55</v>
      </c>
      <c r="H134" s="1" t="s">
        <v>732</v>
      </c>
      <c r="I134">
        <f>IFERROR(VLOOKUP(Master8[[#This Row],[Cell_ID]],Registre_Maintenance[],3,FALSE),"")</f>
        <v>0.82868600000000003</v>
      </c>
      <c r="J134">
        <f>IFERROR(VLOOKUP(Master8[[#This Row],[Cell_ID]],Registre_Maintenance[],4,FALSE),"")</f>
        <v>26.958843999999999</v>
      </c>
      <c r="K134" t="str">
        <f>IFERROR(VLOOKUP(Master8[[#This Row],[Cell_ID]],Registre_Maintenance[],5,FALSE),"")</f>
        <v>5G</v>
      </c>
      <c r="L134" t="str">
        <f>IFERROR(VLOOKUP(Master8[[#This Row],[Cell_ID]],Registre_Maintenance[],6,FALSE),"")</f>
        <v>ZTE</v>
      </c>
      <c r="M134" s="1" t="str">
        <f>VLOOKUP(Master8[[#This Row],[Province_RDC]],Client[],2,FALSE)</f>
        <v>CLI-00837</v>
      </c>
      <c r="N134" s="1">
        <f>VLOOKUP(Master8[[#This Row],[Province_RDC]],Client[],3,FALSE)</f>
        <v>16</v>
      </c>
      <c r="O134" s="1" t="str">
        <f>VLOOKUP(Master8[[#This Row],[Province_RDC]],Client[],4,FALSE)</f>
        <v>Bloqué 5Go</v>
      </c>
      <c r="P134" s="1">
        <f>VLOOKUP(Master8[[#This Row],[Province_RDC]],Client[],5,FALSE)</f>
        <v>390</v>
      </c>
      <c r="Q134" s="1">
        <f>VLOOKUP(Master8[[#This Row],[Province_RDC]],Client[],6,FALSE)</f>
        <v>98.17</v>
      </c>
      <c r="R134" s="1">
        <f>VLOOKUP(Master8[[#This Row],[Province_RDC]],Client[],7,FALSE)</f>
        <v>5</v>
      </c>
      <c r="S134" s="1" t="str">
        <f>IF(Master8[[#This Row],[Type_Forfait]]="Pro Monde","B2B","B2C")</f>
        <v>B2C</v>
      </c>
      <c r="T134" s="1">
        <f>Master8[[#This Row],[Anciennete_Mois]]/12</f>
        <v>1.3333333333333333</v>
      </c>
      <c r="U134" s="1">
        <f>Master8[[#This Row],[Duree_Cumule_Panne_Min]]/60</f>
        <v>6.5</v>
      </c>
      <c r="V13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4" s="6">
        <f>Master8[[#This Row],[Facture_Mensuelle]]*Master8[[#This Row],[Remise]]</f>
        <v>44.176500000000004</v>
      </c>
    </row>
    <row r="135" spans="1:24" x14ac:dyDescent="0.25">
      <c r="A135" s="1" t="s">
        <v>823</v>
      </c>
      <c r="B135" t="str">
        <f>IFERROR(VLOOKUP(Master8[[#This Row],[Cell_ID]],Registre_Maintenance[],2,FALSE),"")</f>
        <v>Nord-Kivu</v>
      </c>
      <c r="C135" s="1" t="s">
        <v>797</v>
      </c>
      <c r="D135" s="2">
        <v>45225.776388888888</v>
      </c>
      <c r="E135" s="3">
        <v>45225.776388888888</v>
      </c>
      <c r="F135">
        <v>71</v>
      </c>
      <c r="G135">
        <f>Master8[[#This Row],[Duree_Panne_Min]]/60</f>
        <v>1.1833333333333333</v>
      </c>
      <c r="H135" s="1" t="s">
        <v>732</v>
      </c>
      <c r="I135">
        <f>IFERROR(VLOOKUP(Master8[[#This Row],[Cell_ID]],Registre_Maintenance[],3,FALSE),"")</f>
        <v>0.82868600000000003</v>
      </c>
      <c r="J135">
        <f>IFERROR(VLOOKUP(Master8[[#This Row],[Cell_ID]],Registre_Maintenance[],4,FALSE),"")</f>
        <v>26.958843999999999</v>
      </c>
      <c r="K135" t="str">
        <f>IFERROR(VLOOKUP(Master8[[#This Row],[Cell_ID]],Registre_Maintenance[],5,FALSE),"")</f>
        <v>5G</v>
      </c>
      <c r="L135" t="str">
        <f>IFERROR(VLOOKUP(Master8[[#This Row],[Cell_ID]],Registre_Maintenance[],6,FALSE),"")</f>
        <v>ZTE</v>
      </c>
      <c r="M135" s="1" t="str">
        <f>VLOOKUP(Master8[[#This Row],[Province_RDC]],Client[],2,FALSE)</f>
        <v>CLI-00837</v>
      </c>
      <c r="N135" s="1">
        <f>VLOOKUP(Master8[[#This Row],[Province_RDC]],Client[],3,FALSE)</f>
        <v>16</v>
      </c>
      <c r="O135" s="1" t="str">
        <f>VLOOKUP(Master8[[#This Row],[Province_RDC]],Client[],4,FALSE)</f>
        <v>Bloqué 5Go</v>
      </c>
      <c r="P135" s="1">
        <f>VLOOKUP(Master8[[#This Row],[Province_RDC]],Client[],5,FALSE)</f>
        <v>390</v>
      </c>
      <c r="Q135" s="1">
        <f>VLOOKUP(Master8[[#This Row],[Province_RDC]],Client[],6,FALSE)</f>
        <v>98.17</v>
      </c>
      <c r="R135" s="1">
        <f>VLOOKUP(Master8[[#This Row],[Province_RDC]],Client[],7,FALSE)</f>
        <v>5</v>
      </c>
      <c r="S135" s="1" t="str">
        <f>IF(Master8[[#This Row],[Type_Forfait]]="Pro Monde","B2B","B2C")</f>
        <v>B2C</v>
      </c>
      <c r="T135" s="1">
        <f>Master8[[#This Row],[Anciennete_Mois]]/12</f>
        <v>1.3333333333333333</v>
      </c>
      <c r="U135" s="1">
        <f>Master8[[#This Row],[Duree_Cumule_Panne_Min]]/60</f>
        <v>6.5</v>
      </c>
      <c r="V13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5" s="6">
        <f>Master8[[#This Row],[Facture_Mensuelle]]*Master8[[#This Row],[Remise]]</f>
        <v>44.176500000000004</v>
      </c>
    </row>
    <row r="136" spans="1:24" x14ac:dyDescent="0.25">
      <c r="A136" s="1" t="s">
        <v>1345</v>
      </c>
      <c r="B136" t="str">
        <f>IFERROR(VLOOKUP(Master8[[#This Row],[Cell_ID]],Registre_Maintenance[],2,FALSE),"")</f>
        <v>Nord-Kivu</v>
      </c>
      <c r="C136" s="1" t="s">
        <v>1355</v>
      </c>
      <c r="D136" s="2">
        <v>45224.229861111111</v>
      </c>
      <c r="E136" s="3">
        <v>45224.229861111111</v>
      </c>
      <c r="F136">
        <v>20</v>
      </c>
      <c r="G136">
        <f>Master8[[#This Row],[Duree_Panne_Min]]/60</f>
        <v>0.33333333333333331</v>
      </c>
      <c r="H136" s="1" t="s">
        <v>732</v>
      </c>
      <c r="I136">
        <f>IFERROR(VLOOKUP(Master8[[#This Row],[Cell_ID]],Registre_Maintenance[],3,FALSE),"")</f>
        <v>-10.298385</v>
      </c>
      <c r="J136">
        <f>IFERROR(VLOOKUP(Master8[[#This Row],[Cell_ID]],Registre_Maintenance[],4,FALSE),"")</f>
        <v>29.698117</v>
      </c>
      <c r="K136" t="str">
        <f>IFERROR(VLOOKUP(Master8[[#This Row],[Cell_ID]],Registre_Maintenance[],5,FALSE),"")</f>
        <v>5G</v>
      </c>
      <c r="L136" t="str">
        <f>IFERROR(VLOOKUP(Master8[[#This Row],[Cell_ID]],Registre_Maintenance[],6,FALSE),"")</f>
        <v>Nokia</v>
      </c>
      <c r="M136" s="1" t="str">
        <f>VLOOKUP(Master8[[#This Row],[Province_RDC]],Client[],2,FALSE)</f>
        <v>CLI-00837</v>
      </c>
      <c r="N136" s="1">
        <f>VLOOKUP(Master8[[#This Row],[Province_RDC]],Client[],3,FALSE)</f>
        <v>16</v>
      </c>
      <c r="O136" s="1" t="str">
        <f>VLOOKUP(Master8[[#This Row],[Province_RDC]],Client[],4,FALSE)</f>
        <v>Bloqué 5Go</v>
      </c>
      <c r="P136" s="1">
        <f>VLOOKUP(Master8[[#This Row],[Province_RDC]],Client[],5,FALSE)</f>
        <v>390</v>
      </c>
      <c r="Q136" s="1">
        <f>VLOOKUP(Master8[[#This Row],[Province_RDC]],Client[],6,FALSE)</f>
        <v>98.17</v>
      </c>
      <c r="R136" s="1">
        <f>VLOOKUP(Master8[[#This Row],[Province_RDC]],Client[],7,FALSE)</f>
        <v>5</v>
      </c>
      <c r="S136" s="1" t="str">
        <f>IF(Master8[[#This Row],[Type_Forfait]]="Pro Monde","B2B","B2C")</f>
        <v>B2C</v>
      </c>
      <c r="T136" s="1">
        <f>Master8[[#This Row],[Anciennete_Mois]]/12</f>
        <v>1.3333333333333333</v>
      </c>
      <c r="U136" s="1">
        <f>Master8[[#This Row],[Duree_Cumule_Panne_Min]]/60</f>
        <v>6.5</v>
      </c>
      <c r="V13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6" s="6">
        <f>Master8[[#This Row],[Facture_Mensuelle]]*Master8[[#This Row],[Remise]]</f>
        <v>44.176500000000004</v>
      </c>
    </row>
    <row r="137" spans="1:24" x14ac:dyDescent="0.25">
      <c r="A137" s="1" t="s">
        <v>1165</v>
      </c>
      <c r="B137" t="str">
        <f>IFERROR(VLOOKUP(Master8[[#This Row],[Cell_ID]],Registre_Maintenance[],2,FALSE),"")</f>
        <v>Nord-Kivu</v>
      </c>
      <c r="C137" s="1" t="s">
        <v>977</v>
      </c>
      <c r="D137" s="2">
        <v>45223.252083333333</v>
      </c>
      <c r="E137" s="3">
        <v>45223.252083333333</v>
      </c>
      <c r="F137">
        <v>12</v>
      </c>
      <c r="G137">
        <f>Master8[[#This Row],[Duree_Panne_Min]]/60</f>
        <v>0.2</v>
      </c>
      <c r="H137" s="1" t="s">
        <v>735</v>
      </c>
      <c r="I137">
        <f>IFERROR(VLOOKUP(Master8[[#This Row],[Cell_ID]],Registre_Maintenance[],3,FALSE),"")</f>
        <v>-10.846306999999999</v>
      </c>
      <c r="J137">
        <f>IFERROR(VLOOKUP(Master8[[#This Row],[Cell_ID]],Registre_Maintenance[],4,FALSE),"")</f>
        <v>19.201827999999999</v>
      </c>
      <c r="K137" t="str">
        <f>IFERROR(VLOOKUP(Master8[[#This Row],[Cell_ID]],Registre_Maintenance[],5,FALSE),"")</f>
        <v>4G</v>
      </c>
      <c r="L137" t="str">
        <f>IFERROR(VLOOKUP(Master8[[#This Row],[Cell_ID]],Registre_Maintenance[],6,FALSE),"")</f>
        <v>Ericsson</v>
      </c>
      <c r="M137" s="1" t="str">
        <f>VLOOKUP(Master8[[#This Row],[Province_RDC]],Client[],2,FALSE)</f>
        <v>CLI-00837</v>
      </c>
      <c r="N137" s="1">
        <f>VLOOKUP(Master8[[#This Row],[Province_RDC]],Client[],3,FALSE)</f>
        <v>16</v>
      </c>
      <c r="O137" s="1" t="str">
        <f>VLOOKUP(Master8[[#This Row],[Province_RDC]],Client[],4,FALSE)</f>
        <v>Bloqué 5Go</v>
      </c>
      <c r="P137" s="1">
        <f>VLOOKUP(Master8[[#This Row],[Province_RDC]],Client[],5,FALSE)</f>
        <v>390</v>
      </c>
      <c r="Q137" s="1">
        <f>VLOOKUP(Master8[[#This Row],[Province_RDC]],Client[],6,FALSE)</f>
        <v>98.17</v>
      </c>
      <c r="R137" s="1">
        <f>VLOOKUP(Master8[[#This Row],[Province_RDC]],Client[],7,FALSE)</f>
        <v>5</v>
      </c>
      <c r="S137" s="1" t="str">
        <f>IF(Master8[[#This Row],[Type_Forfait]]="Pro Monde","B2B","B2C")</f>
        <v>B2C</v>
      </c>
      <c r="T137" s="1">
        <f>Master8[[#This Row],[Anciennete_Mois]]/12</f>
        <v>1.3333333333333333</v>
      </c>
      <c r="U137" s="1">
        <f>Master8[[#This Row],[Duree_Cumule_Panne_Min]]/60</f>
        <v>6.5</v>
      </c>
      <c r="V13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7" s="6">
        <f>Master8[[#This Row],[Facture_Mensuelle]]*Master8[[#This Row],[Remise]]</f>
        <v>44.176500000000004</v>
      </c>
    </row>
    <row r="138" spans="1:24" x14ac:dyDescent="0.25">
      <c r="A138" s="1" t="s">
        <v>1219</v>
      </c>
      <c r="B138" t="str">
        <f>IFERROR(VLOOKUP(Master8[[#This Row],[Cell_ID]],Registre_Maintenance[],2,FALSE),"")</f>
        <v>Nord-Kivu</v>
      </c>
      <c r="C138" s="1" t="s">
        <v>927</v>
      </c>
      <c r="D138" s="2">
        <v>45222.597222222219</v>
      </c>
      <c r="E138" s="3">
        <v>45222.597222222219</v>
      </c>
      <c r="F138">
        <v>22</v>
      </c>
      <c r="G138">
        <f>Master8[[#This Row],[Duree_Panne_Min]]/60</f>
        <v>0.36666666666666664</v>
      </c>
      <c r="H138" s="1" t="s">
        <v>735</v>
      </c>
      <c r="I138">
        <f>IFERROR(VLOOKUP(Master8[[#This Row],[Cell_ID]],Registre_Maintenance[],3,FALSE),"")</f>
        <v>-1.8555980000000001</v>
      </c>
      <c r="J138">
        <f>IFERROR(VLOOKUP(Master8[[#This Row],[Cell_ID]],Registre_Maintenance[],4,FALSE),"")</f>
        <v>30.421918000000002</v>
      </c>
      <c r="K138" t="str">
        <f>IFERROR(VLOOKUP(Master8[[#This Row],[Cell_ID]],Registre_Maintenance[],5,FALSE),"")</f>
        <v>3G</v>
      </c>
      <c r="L138" t="str">
        <f>IFERROR(VLOOKUP(Master8[[#This Row],[Cell_ID]],Registre_Maintenance[],6,FALSE),"")</f>
        <v>ZTE</v>
      </c>
      <c r="M138" s="1" t="str">
        <f>VLOOKUP(Master8[[#This Row],[Province_RDC]],Client[],2,FALSE)</f>
        <v>CLI-00837</v>
      </c>
      <c r="N138" s="1">
        <f>VLOOKUP(Master8[[#This Row],[Province_RDC]],Client[],3,FALSE)</f>
        <v>16</v>
      </c>
      <c r="O138" s="1" t="str">
        <f>VLOOKUP(Master8[[#This Row],[Province_RDC]],Client[],4,FALSE)</f>
        <v>Bloqué 5Go</v>
      </c>
      <c r="P138" s="1">
        <f>VLOOKUP(Master8[[#This Row],[Province_RDC]],Client[],5,FALSE)</f>
        <v>390</v>
      </c>
      <c r="Q138" s="1">
        <f>VLOOKUP(Master8[[#This Row],[Province_RDC]],Client[],6,FALSE)</f>
        <v>98.17</v>
      </c>
      <c r="R138" s="1">
        <f>VLOOKUP(Master8[[#This Row],[Province_RDC]],Client[],7,FALSE)</f>
        <v>5</v>
      </c>
      <c r="S138" s="1" t="str">
        <f>IF(Master8[[#This Row],[Type_Forfait]]="Pro Monde","B2B","B2C")</f>
        <v>B2C</v>
      </c>
      <c r="T138" s="1">
        <f>Master8[[#This Row],[Anciennete_Mois]]/12</f>
        <v>1.3333333333333333</v>
      </c>
      <c r="U138" s="1">
        <f>Master8[[#This Row],[Duree_Cumule_Panne_Min]]/60</f>
        <v>6.5</v>
      </c>
      <c r="V13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8" s="6">
        <f>Master8[[#This Row],[Facture_Mensuelle]]*Master8[[#This Row],[Remise]]</f>
        <v>44.176500000000004</v>
      </c>
    </row>
    <row r="139" spans="1:24" x14ac:dyDescent="0.25">
      <c r="A139" s="1" t="s">
        <v>939</v>
      </c>
      <c r="B139" t="str">
        <f>IFERROR(VLOOKUP(Master8[[#This Row],[Cell_ID]],Registre_Maintenance[],2,FALSE),"")</f>
        <v>Nord-Kivu</v>
      </c>
      <c r="C139" s="1" t="s">
        <v>977</v>
      </c>
      <c r="D139" s="2">
        <v>45222.353472222218</v>
      </c>
      <c r="E139" s="3">
        <v>45222.353472222218</v>
      </c>
      <c r="F139">
        <v>101</v>
      </c>
      <c r="G139">
        <f>Master8[[#This Row],[Duree_Panne_Min]]/60</f>
        <v>1.6833333333333333</v>
      </c>
      <c r="H139" s="1" t="s">
        <v>735</v>
      </c>
      <c r="I139">
        <f>IFERROR(VLOOKUP(Master8[[#This Row],[Cell_ID]],Registre_Maintenance[],3,FALSE),"")</f>
        <v>-10.846306999999999</v>
      </c>
      <c r="J139">
        <f>IFERROR(VLOOKUP(Master8[[#This Row],[Cell_ID]],Registre_Maintenance[],4,FALSE),"")</f>
        <v>19.201827999999999</v>
      </c>
      <c r="K139" t="str">
        <f>IFERROR(VLOOKUP(Master8[[#This Row],[Cell_ID]],Registre_Maintenance[],5,FALSE),"")</f>
        <v>4G</v>
      </c>
      <c r="L139" t="str">
        <f>IFERROR(VLOOKUP(Master8[[#This Row],[Cell_ID]],Registre_Maintenance[],6,FALSE),"")</f>
        <v>Ericsson</v>
      </c>
      <c r="M139" s="1" t="str">
        <f>VLOOKUP(Master8[[#This Row],[Province_RDC]],Client[],2,FALSE)</f>
        <v>CLI-00837</v>
      </c>
      <c r="N139" s="1">
        <f>VLOOKUP(Master8[[#This Row],[Province_RDC]],Client[],3,FALSE)</f>
        <v>16</v>
      </c>
      <c r="O139" s="1" t="str">
        <f>VLOOKUP(Master8[[#This Row],[Province_RDC]],Client[],4,FALSE)</f>
        <v>Bloqué 5Go</v>
      </c>
      <c r="P139" s="1">
        <f>VLOOKUP(Master8[[#This Row],[Province_RDC]],Client[],5,FALSE)</f>
        <v>390</v>
      </c>
      <c r="Q139" s="1">
        <f>VLOOKUP(Master8[[#This Row],[Province_RDC]],Client[],6,FALSE)</f>
        <v>98.17</v>
      </c>
      <c r="R139" s="1">
        <f>VLOOKUP(Master8[[#This Row],[Province_RDC]],Client[],7,FALSE)</f>
        <v>5</v>
      </c>
      <c r="S139" s="1" t="str">
        <f>IF(Master8[[#This Row],[Type_Forfait]]="Pro Monde","B2B","B2C")</f>
        <v>B2C</v>
      </c>
      <c r="T139" s="1">
        <f>Master8[[#This Row],[Anciennete_Mois]]/12</f>
        <v>1.3333333333333333</v>
      </c>
      <c r="U139" s="1">
        <f>Master8[[#This Row],[Duree_Cumule_Panne_Min]]/60</f>
        <v>6.5</v>
      </c>
      <c r="V13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3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39" s="6">
        <f>Master8[[#This Row],[Facture_Mensuelle]]*Master8[[#This Row],[Remise]]</f>
        <v>44.176500000000004</v>
      </c>
    </row>
    <row r="140" spans="1:24" x14ac:dyDescent="0.25">
      <c r="A140" s="1" t="s">
        <v>902</v>
      </c>
      <c r="B140" t="str">
        <f>IFERROR(VLOOKUP(Master8[[#This Row],[Cell_ID]],Registre_Maintenance[],2,FALSE),"")</f>
        <v>Nord-Kivu</v>
      </c>
      <c r="C140" s="1" t="s">
        <v>927</v>
      </c>
      <c r="D140" s="2">
        <v>45221.268750000003</v>
      </c>
      <c r="E140" s="3">
        <v>45221.268750000003</v>
      </c>
      <c r="F140">
        <v>18</v>
      </c>
      <c r="G140">
        <f>Master8[[#This Row],[Duree_Panne_Min]]/60</f>
        <v>0.3</v>
      </c>
      <c r="H140" s="1" t="s">
        <v>735</v>
      </c>
      <c r="I140">
        <f>IFERROR(VLOOKUP(Master8[[#This Row],[Cell_ID]],Registre_Maintenance[],3,FALSE),"")</f>
        <v>-1.8555980000000001</v>
      </c>
      <c r="J140">
        <f>IFERROR(VLOOKUP(Master8[[#This Row],[Cell_ID]],Registre_Maintenance[],4,FALSE),"")</f>
        <v>30.421918000000002</v>
      </c>
      <c r="K140" t="str">
        <f>IFERROR(VLOOKUP(Master8[[#This Row],[Cell_ID]],Registre_Maintenance[],5,FALSE),"")</f>
        <v>3G</v>
      </c>
      <c r="L140" t="str">
        <f>IFERROR(VLOOKUP(Master8[[#This Row],[Cell_ID]],Registre_Maintenance[],6,FALSE),"")</f>
        <v>ZTE</v>
      </c>
      <c r="M140" s="1" t="str">
        <f>VLOOKUP(Master8[[#This Row],[Province_RDC]],Client[],2,FALSE)</f>
        <v>CLI-00837</v>
      </c>
      <c r="N140" s="1">
        <f>VLOOKUP(Master8[[#This Row],[Province_RDC]],Client[],3,FALSE)</f>
        <v>16</v>
      </c>
      <c r="O140" s="1" t="str">
        <f>VLOOKUP(Master8[[#This Row],[Province_RDC]],Client[],4,FALSE)</f>
        <v>Bloqué 5Go</v>
      </c>
      <c r="P140" s="1">
        <f>VLOOKUP(Master8[[#This Row],[Province_RDC]],Client[],5,FALSE)</f>
        <v>390</v>
      </c>
      <c r="Q140" s="1">
        <f>VLOOKUP(Master8[[#This Row],[Province_RDC]],Client[],6,FALSE)</f>
        <v>98.17</v>
      </c>
      <c r="R140" s="1">
        <f>VLOOKUP(Master8[[#This Row],[Province_RDC]],Client[],7,FALSE)</f>
        <v>5</v>
      </c>
      <c r="S140" s="1" t="str">
        <f>IF(Master8[[#This Row],[Type_Forfait]]="Pro Monde","B2B","B2C")</f>
        <v>B2C</v>
      </c>
      <c r="T140" s="1">
        <f>Master8[[#This Row],[Anciennete_Mois]]/12</f>
        <v>1.3333333333333333</v>
      </c>
      <c r="U140" s="1">
        <f>Master8[[#This Row],[Duree_Cumule_Panne_Min]]/60</f>
        <v>6.5</v>
      </c>
      <c r="V14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0" s="6">
        <f>Master8[[#This Row],[Facture_Mensuelle]]*Master8[[#This Row],[Remise]]</f>
        <v>44.176500000000004</v>
      </c>
    </row>
    <row r="141" spans="1:24" x14ac:dyDescent="0.25">
      <c r="A141" s="1" t="s">
        <v>1024</v>
      </c>
      <c r="B141" t="str">
        <f>IFERROR(VLOOKUP(Master8[[#This Row],[Cell_ID]],Registre_Maintenance[],2,FALSE),"")</f>
        <v>Nord-Kivu</v>
      </c>
      <c r="C141" s="1" t="s">
        <v>995</v>
      </c>
      <c r="D141" s="2">
        <v>45219.181250000001</v>
      </c>
      <c r="E141" s="3">
        <v>45219.181250000001</v>
      </c>
      <c r="F141">
        <v>97</v>
      </c>
      <c r="G141">
        <f>Master8[[#This Row],[Duree_Panne_Min]]/60</f>
        <v>1.6166666666666667</v>
      </c>
      <c r="H141" s="1" t="s">
        <v>735</v>
      </c>
      <c r="I141">
        <f>IFERROR(VLOOKUP(Master8[[#This Row],[Cell_ID]],Registre_Maintenance[],3,FALSE),"")</f>
        <v>-4.1754939999999996</v>
      </c>
      <c r="J141">
        <f>IFERROR(VLOOKUP(Master8[[#This Row],[Cell_ID]],Registre_Maintenance[],4,FALSE),"")</f>
        <v>16.704664999999999</v>
      </c>
      <c r="K141" t="str">
        <f>IFERROR(VLOOKUP(Master8[[#This Row],[Cell_ID]],Registre_Maintenance[],5,FALSE),"")</f>
        <v>3G</v>
      </c>
      <c r="L141" t="str">
        <f>IFERROR(VLOOKUP(Master8[[#This Row],[Cell_ID]],Registre_Maintenance[],6,FALSE),"")</f>
        <v>Ericsson</v>
      </c>
      <c r="M141" s="1" t="str">
        <f>VLOOKUP(Master8[[#This Row],[Province_RDC]],Client[],2,FALSE)</f>
        <v>CLI-00837</v>
      </c>
      <c r="N141" s="1">
        <f>VLOOKUP(Master8[[#This Row],[Province_RDC]],Client[],3,FALSE)</f>
        <v>16</v>
      </c>
      <c r="O141" s="1" t="str">
        <f>VLOOKUP(Master8[[#This Row],[Province_RDC]],Client[],4,FALSE)</f>
        <v>Bloqué 5Go</v>
      </c>
      <c r="P141" s="1">
        <f>VLOOKUP(Master8[[#This Row],[Province_RDC]],Client[],5,FALSE)</f>
        <v>390</v>
      </c>
      <c r="Q141" s="1">
        <f>VLOOKUP(Master8[[#This Row],[Province_RDC]],Client[],6,FALSE)</f>
        <v>98.17</v>
      </c>
      <c r="R141" s="1">
        <f>VLOOKUP(Master8[[#This Row],[Province_RDC]],Client[],7,FALSE)</f>
        <v>5</v>
      </c>
      <c r="S141" s="1" t="str">
        <f>IF(Master8[[#This Row],[Type_Forfait]]="Pro Monde","B2B","B2C")</f>
        <v>B2C</v>
      </c>
      <c r="T141" s="1">
        <f>Master8[[#This Row],[Anciennete_Mois]]/12</f>
        <v>1.3333333333333333</v>
      </c>
      <c r="U141" s="1">
        <f>Master8[[#This Row],[Duree_Cumule_Panne_Min]]/60</f>
        <v>6.5</v>
      </c>
      <c r="V14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1" s="6">
        <f>Master8[[#This Row],[Facture_Mensuelle]]*Master8[[#This Row],[Remise]]</f>
        <v>44.176500000000004</v>
      </c>
    </row>
    <row r="142" spans="1:24" x14ac:dyDescent="0.25">
      <c r="A142" s="1" t="s">
        <v>1404</v>
      </c>
      <c r="B142" t="str">
        <f>IFERROR(VLOOKUP(Master8[[#This Row],[Cell_ID]],Registre_Maintenance[],2,FALSE),"")</f>
        <v>Nord-Kivu</v>
      </c>
      <c r="C142" s="1" t="s">
        <v>927</v>
      </c>
      <c r="D142" s="2">
        <v>45218.331944444442</v>
      </c>
      <c r="E142" s="3">
        <v>45218.331944444442</v>
      </c>
      <c r="F142">
        <v>15</v>
      </c>
      <c r="G142">
        <f>Master8[[#This Row],[Duree_Panne_Min]]/60</f>
        <v>0.25</v>
      </c>
      <c r="H142" s="1" t="s">
        <v>737</v>
      </c>
      <c r="I142">
        <f>IFERROR(VLOOKUP(Master8[[#This Row],[Cell_ID]],Registre_Maintenance[],3,FALSE),"")</f>
        <v>-1.8555980000000001</v>
      </c>
      <c r="J142">
        <f>IFERROR(VLOOKUP(Master8[[#This Row],[Cell_ID]],Registre_Maintenance[],4,FALSE),"")</f>
        <v>30.421918000000002</v>
      </c>
      <c r="K142" t="str">
        <f>IFERROR(VLOOKUP(Master8[[#This Row],[Cell_ID]],Registre_Maintenance[],5,FALSE),"")</f>
        <v>3G</v>
      </c>
      <c r="L142" t="str">
        <f>IFERROR(VLOOKUP(Master8[[#This Row],[Cell_ID]],Registre_Maintenance[],6,FALSE),"")</f>
        <v>ZTE</v>
      </c>
      <c r="M142" s="1" t="str">
        <f>VLOOKUP(Master8[[#This Row],[Province_RDC]],Client[],2,FALSE)</f>
        <v>CLI-00837</v>
      </c>
      <c r="N142" s="1">
        <f>VLOOKUP(Master8[[#This Row],[Province_RDC]],Client[],3,FALSE)</f>
        <v>16</v>
      </c>
      <c r="O142" s="1" t="str">
        <f>VLOOKUP(Master8[[#This Row],[Province_RDC]],Client[],4,FALSE)</f>
        <v>Bloqué 5Go</v>
      </c>
      <c r="P142" s="1">
        <f>VLOOKUP(Master8[[#This Row],[Province_RDC]],Client[],5,FALSE)</f>
        <v>390</v>
      </c>
      <c r="Q142" s="1">
        <f>VLOOKUP(Master8[[#This Row],[Province_RDC]],Client[],6,FALSE)</f>
        <v>98.17</v>
      </c>
      <c r="R142" s="1">
        <f>VLOOKUP(Master8[[#This Row],[Province_RDC]],Client[],7,FALSE)</f>
        <v>5</v>
      </c>
      <c r="S142" s="1" t="str">
        <f>IF(Master8[[#This Row],[Type_Forfait]]="Pro Monde","B2B","B2C")</f>
        <v>B2C</v>
      </c>
      <c r="T142" s="1">
        <f>Master8[[#This Row],[Anciennete_Mois]]/12</f>
        <v>1.3333333333333333</v>
      </c>
      <c r="U142" s="1">
        <f>Master8[[#This Row],[Duree_Cumule_Panne_Min]]/60</f>
        <v>6.5</v>
      </c>
      <c r="V14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2" s="6">
        <f>Master8[[#This Row],[Facture_Mensuelle]]*Master8[[#This Row],[Remise]]</f>
        <v>44.176500000000004</v>
      </c>
    </row>
    <row r="143" spans="1:24" x14ac:dyDescent="0.25">
      <c r="A143" s="1" t="s">
        <v>978</v>
      </c>
      <c r="B143" t="str">
        <f>IFERROR(VLOOKUP(Master8[[#This Row],[Cell_ID]],Registre_Maintenance[],2,FALSE),"")</f>
        <v>Nord-Kivu</v>
      </c>
      <c r="C143" s="1" t="s">
        <v>995</v>
      </c>
      <c r="D143" s="2">
        <v>45217.368750000001</v>
      </c>
      <c r="E143" s="3">
        <v>45217.368750000001</v>
      </c>
      <c r="F143">
        <v>8</v>
      </c>
      <c r="G143">
        <f>Master8[[#This Row],[Duree_Panne_Min]]/60</f>
        <v>0.13333333333333333</v>
      </c>
      <c r="H143" s="1" t="s">
        <v>732</v>
      </c>
      <c r="I143">
        <f>IFERROR(VLOOKUP(Master8[[#This Row],[Cell_ID]],Registre_Maintenance[],3,FALSE),"")</f>
        <v>-4.1754939999999996</v>
      </c>
      <c r="J143">
        <f>IFERROR(VLOOKUP(Master8[[#This Row],[Cell_ID]],Registre_Maintenance[],4,FALSE),"")</f>
        <v>16.704664999999999</v>
      </c>
      <c r="K143" t="str">
        <f>IFERROR(VLOOKUP(Master8[[#This Row],[Cell_ID]],Registre_Maintenance[],5,FALSE),"")</f>
        <v>3G</v>
      </c>
      <c r="L143" t="str">
        <f>IFERROR(VLOOKUP(Master8[[#This Row],[Cell_ID]],Registre_Maintenance[],6,FALSE),"")</f>
        <v>Ericsson</v>
      </c>
      <c r="M143" s="1" t="str">
        <f>VLOOKUP(Master8[[#This Row],[Province_RDC]],Client[],2,FALSE)</f>
        <v>CLI-00837</v>
      </c>
      <c r="N143" s="1">
        <f>VLOOKUP(Master8[[#This Row],[Province_RDC]],Client[],3,FALSE)</f>
        <v>16</v>
      </c>
      <c r="O143" s="1" t="str">
        <f>VLOOKUP(Master8[[#This Row],[Province_RDC]],Client[],4,FALSE)</f>
        <v>Bloqué 5Go</v>
      </c>
      <c r="P143" s="1">
        <f>VLOOKUP(Master8[[#This Row],[Province_RDC]],Client[],5,FALSE)</f>
        <v>390</v>
      </c>
      <c r="Q143" s="1">
        <f>VLOOKUP(Master8[[#This Row],[Province_RDC]],Client[],6,FALSE)</f>
        <v>98.17</v>
      </c>
      <c r="R143" s="1">
        <f>VLOOKUP(Master8[[#This Row],[Province_RDC]],Client[],7,FALSE)</f>
        <v>5</v>
      </c>
      <c r="S143" s="1" t="str">
        <f>IF(Master8[[#This Row],[Type_Forfait]]="Pro Monde","B2B","B2C")</f>
        <v>B2C</v>
      </c>
      <c r="T143" s="1">
        <f>Master8[[#This Row],[Anciennete_Mois]]/12</f>
        <v>1.3333333333333333</v>
      </c>
      <c r="U143" s="1">
        <f>Master8[[#This Row],[Duree_Cumule_Panne_Min]]/60</f>
        <v>6.5</v>
      </c>
      <c r="V14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3" s="6">
        <f>Master8[[#This Row],[Facture_Mensuelle]]*Master8[[#This Row],[Remise]]</f>
        <v>44.176500000000004</v>
      </c>
    </row>
    <row r="144" spans="1:24" x14ac:dyDescent="0.25">
      <c r="A144" s="1" t="s">
        <v>1261</v>
      </c>
      <c r="B144" t="str">
        <f>IFERROR(VLOOKUP(Master8[[#This Row],[Cell_ID]],Registre_Maintenance[],2,FALSE),"")</f>
        <v>Nord-Kivu</v>
      </c>
      <c r="C144" s="1" t="s">
        <v>1273</v>
      </c>
      <c r="D144" s="2">
        <v>45216.460416666669</v>
      </c>
      <c r="E144" s="3">
        <v>45216.460416666669</v>
      </c>
      <c r="F144">
        <v>36</v>
      </c>
      <c r="G144">
        <f>Master8[[#This Row],[Duree_Panne_Min]]/60</f>
        <v>0.6</v>
      </c>
      <c r="H144" s="1" t="s">
        <v>737</v>
      </c>
      <c r="I144">
        <f>IFERROR(VLOOKUP(Master8[[#This Row],[Cell_ID]],Registre_Maintenance[],3,FALSE),"")</f>
        <v>-11.231472</v>
      </c>
      <c r="J144">
        <f>IFERROR(VLOOKUP(Master8[[#This Row],[Cell_ID]],Registre_Maintenance[],4,FALSE),"")</f>
        <v>25.388874000000001</v>
      </c>
      <c r="K144" t="str">
        <f>IFERROR(VLOOKUP(Master8[[#This Row],[Cell_ID]],Registre_Maintenance[],5,FALSE),"")</f>
        <v>4G</v>
      </c>
      <c r="L144" t="str">
        <f>IFERROR(VLOOKUP(Master8[[#This Row],[Cell_ID]],Registre_Maintenance[],6,FALSE),"")</f>
        <v>Huawei</v>
      </c>
      <c r="M144" s="1" t="str">
        <f>VLOOKUP(Master8[[#This Row],[Province_RDC]],Client[],2,FALSE)</f>
        <v>CLI-00837</v>
      </c>
      <c r="N144" s="1">
        <f>VLOOKUP(Master8[[#This Row],[Province_RDC]],Client[],3,FALSE)</f>
        <v>16</v>
      </c>
      <c r="O144" s="1" t="str">
        <f>VLOOKUP(Master8[[#This Row],[Province_RDC]],Client[],4,FALSE)</f>
        <v>Bloqué 5Go</v>
      </c>
      <c r="P144" s="1">
        <f>VLOOKUP(Master8[[#This Row],[Province_RDC]],Client[],5,FALSE)</f>
        <v>390</v>
      </c>
      <c r="Q144" s="1">
        <f>VLOOKUP(Master8[[#This Row],[Province_RDC]],Client[],6,FALSE)</f>
        <v>98.17</v>
      </c>
      <c r="R144" s="1">
        <f>VLOOKUP(Master8[[#This Row],[Province_RDC]],Client[],7,FALSE)</f>
        <v>5</v>
      </c>
      <c r="S144" s="1" t="str">
        <f>IF(Master8[[#This Row],[Type_Forfait]]="Pro Monde","B2B","B2C")</f>
        <v>B2C</v>
      </c>
      <c r="T144" s="1">
        <f>Master8[[#This Row],[Anciennete_Mois]]/12</f>
        <v>1.3333333333333333</v>
      </c>
      <c r="U144" s="1">
        <f>Master8[[#This Row],[Duree_Cumule_Panne_Min]]/60</f>
        <v>6.5</v>
      </c>
      <c r="V14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4" s="6">
        <f>Master8[[#This Row],[Facture_Mensuelle]]*Master8[[#This Row],[Remise]]</f>
        <v>44.176500000000004</v>
      </c>
    </row>
    <row r="145" spans="1:24" x14ac:dyDescent="0.25">
      <c r="A145" s="1" t="s">
        <v>823</v>
      </c>
      <c r="B145" t="str">
        <f>IFERROR(VLOOKUP(Master8[[#This Row],[Cell_ID]],Registre_Maintenance[],2,FALSE),"")</f>
        <v>Nord-Kivu</v>
      </c>
      <c r="C145" s="1" t="s">
        <v>830</v>
      </c>
      <c r="D145" s="2">
        <v>45216.14166666667</v>
      </c>
      <c r="E145" s="3">
        <v>45216.14166666667</v>
      </c>
      <c r="F145">
        <v>94</v>
      </c>
      <c r="G145">
        <f>Master8[[#This Row],[Duree_Panne_Min]]/60</f>
        <v>1.5666666666666667</v>
      </c>
      <c r="H145" s="1" t="s">
        <v>732</v>
      </c>
      <c r="I145">
        <f>IFERROR(VLOOKUP(Master8[[#This Row],[Cell_ID]],Registre_Maintenance[],3,FALSE),"")</f>
        <v>1.8103860000000001</v>
      </c>
      <c r="J145">
        <f>IFERROR(VLOOKUP(Master8[[#This Row],[Cell_ID]],Registre_Maintenance[],4,FALSE),"")</f>
        <v>15.175582</v>
      </c>
      <c r="K145" t="str">
        <f>IFERROR(VLOOKUP(Master8[[#This Row],[Cell_ID]],Registre_Maintenance[],5,FALSE),"")</f>
        <v>3G</v>
      </c>
      <c r="L145" t="str">
        <f>IFERROR(VLOOKUP(Master8[[#This Row],[Cell_ID]],Registre_Maintenance[],6,FALSE),"")</f>
        <v>Huawei</v>
      </c>
      <c r="M145" s="1" t="str">
        <f>VLOOKUP(Master8[[#This Row],[Province_RDC]],Client[],2,FALSE)</f>
        <v>CLI-00837</v>
      </c>
      <c r="N145" s="1">
        <f>VLOOKUP(Master8[[#This Row],[Province_RDC]],Client[],3,FALSE)</f>
        <v>16</v>
      </c>
      <c r="O145" s="1" t="str">
        <f>VLOOKUP(Master8[[#This Row],[Province_RDC]],Client[],4,FALSE)</f>
        <v>Bloqué 5Go</v>
      </c>
      <c r="P145" s="1">
        <f>VLOOKUP(Master8[[#This Row],[Province_RDC]],Client[],5,FALSE)</f>
        <v>390</v>
      </c>
      <c r="Q145" s="1">
        <f>VLOOKUP(Master8[[#This Row],[Province_RDC]],Client[],6,FALSE)</f>
        <v>98.17</v>
      </c>
      <c r="R145" s="1">
        <f>VLOOKUP(Master8[[#This Row],[Province_RDC]],Client[],7,FALSE)</f>
        <v>5</v>
      </c>
      <c r="S145" s="1" t="str">
        <f>IF(Master8[[#This Row],[Type_Forfait]]="Pro Monde","B2B","B2C")</f>
        <v>B2C</v>
      </c>
      <c r="T145" s="1">
        <f>Master8[[#This Row],[Anciennete_Mois]]/12</f>
        <v>1.3333333333333333</v>
      </c>
      <c r="U145" s="1">
        <f>Master8[[#This Row],[Duree_Cumule_Panne_Min]]/60</f>
        <v>6.5</v>
      </c>
      <c r="V14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5" s="6">
        <f>Master8[[#This Row],[Facture_Mensuelle]]*Master8[[#This Row],[Remise]]</f>
        <v>44.176500000000004</v>
      </c>
    </row>
    <row r="146" spans="1:24" x14ac:dyDescent="0.25">
      <c r="A146" s="1" t="s">
        <v>1024</v>
      </c>
      <c r="B146" t="str">
        <f>IFERROR(VLOOKUP(Master8[[#This Row],[Cell_ID]],Registre_Maintenance[],2,FALSE),"")</f>
        <v>Nord-Kivu</v>
      </c>
      <c r="C146" s="1" t="s">
        <v>778</v>
      </c>
      <c r="D146" s="2">
        <v>45215.67291666667</v>
      </c>
      <c r="E146" s="3">
        <v>45215.67291666667</v>
      </c>
      <c r="F146">
        <v>117</v>
      </c>
      <c r="G146">
        <f>Master8[[#This Row],[Duree_Panne_Min]]/60</f>
        <v>1.95</v>
      </c>
      <c r="H146" s="1" t="s">
        <v>737</v>
      </c>
      <c r="I146">
        <f>IFERROR(VLOOKUP(Master8[[#This Row],[Cell_ID]],Registre_Maintenance[],3,FALSE),"")</f>
        <v>-11.866133</v>
      </c>
      <c r="J146">
        <f>IFERROR(VLOOKUP(Master8[[#This Row],[Cell_ID]],Registre_Maintenance[],4,FALSE),"")</f>
        <v>27.068932</v>
      </c>
      <c r="K146" t="str">
        <f>IFERROR(VLOOKUP(Master8[[#This Row],[Cell_ID]],Registre_Maintenance[],5,FALSE),"")</f>
        <v>3G</v>
      </c>
      <c r="L146" t="str">
        <f>IFERROR(VLOOKUP(Master8[[#This Row],[Cell_ID]],Registre_Maintenance[],6,FALSE),"")</f>
        <v>Huawei</v>
      </c>
      <c r="M146" s="1" t="str">
        <f>VLOOKUP(Master8[[#This Row],[Province_RDC]],Client[],2,FALSE)</f>
        <v>CLI-00837</v>
      </c>
      <c r="N146" s="1">
        <f>VLOOKUP(Master8[[#This Row],[Province_RDC]],Client[],3,FALSE)</f>
        <v>16</v>
      </c>
      <c r="O146" s="1" t="str">
        <f>VLOOKUP(Master8[[#This Row],[Province_RDC]],Client[],4,FALSE)</f>
        <v>Bloqué 5Go</v>
      </c>
      <c r="P146" s="1">
        <f>VLOOKUP(Master8[[#This Row],[Province_RDC]],Client[],5,FALSE)</f>
        <v>390</v>
      </c>
      <c r="Q146" s="1">
        <f>VLOOKUP(Master8[[#This Row],[Province_RDC]],Client[],6,FALSE)</f>
        <v>98.17</v>
      </c>
      <c r="R146" s="1">
        <f>VLOOKUP(Master8[[#This Row],[Province_RDC]],Client[],7,FALSE)</f>
        <v>5</v>
      </c>
      <c r="S146" s="1" t="str">
        <f>IF(Master8[[#This Row],[Type_Forfait]]="Pro Monde","B2B","B2C")</f>
        <v>B2C</v>
      </c>
      <c r="T146" s="1">
        <f>Master8[[#This Row],[Anciennete_Mois]]/12</f>
        <v>1.3333333333333333</v>
      </c>
      <c r="U146" s="1">
        <f>Master8[[#This Row],[Duree_Cumule_Panne_Min]]/60</f>
        <v>6.5</v>
      </c>
      <c r="V14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6" s="6">
        <f>Master8[[#This Row],[Facture_Mensuelle]]*Master8[[#This Row],[Remise]]</f>
        <v>44.176500000000004</v>
      </c>
    </row>
    <row r="147" spans="1:24" x14ac:dyDescent="0.25">
      <c r="A147" s="1" t="s">
        <v>1288</v>
      </c>
      <c r="B147" t="str">
        <f>IFERROR(VLOOKUP(Master8[[#This Row],[Cell_ID]],Registre_Maintenance[],2,FALSE),"")</f>
        <v>Nord-Kivu</v>
      </c>
      <c r="C147" s="1" t="s">
        <v>977</v>
      </c>
      <c r="D147" s="2">
        <v>45214.740972222222</v>
      </c>
      <c r="E147" s="3">
        <v>45214.740972222222</v>
      </c>
      <c r="F147">
        <v>8</v>
      </c>
      <c r="G147">
        <f>Master8[[#This Row],[Duree_Panne_Min]]/60</f>
        <v>0.13333333333333333</v>
      </c>
      <c r="H147" s="1" t="s">
        <v>732</v>
      </c>
      <c r="I147">
        <f>IFERROR(VLOOKUP(Master8[[#This Row],[Cell_ID]],Registre_Maintenance[],3,FALSE),"")</f>
        <v>-10.846306999999999</v>
      </c>
      <c r="J147">
        <f>IFERROR(VLOOKUP(Master8[[#This Row],[Cell_ID]],Registre_Maintenance[],4,FALSE),"")</f>
        <v>19.201827999999999</v>
      </c>
      <c r="K147" t="str">
        <f>IFERROR(VLOOKUP(Master8[[#This Row],[Cell_ID]],Registre_Maintenance[],5,FALSE),"")</f>
        <v>4G</v>
      </c>
      <c r="L147" t="str">
        <f>IFERROR(VLOOKUP(Master8[[#This Row],[Cell_ID]],Registre_Maintenance[],6,FALSE),"")</f>
        <v>Ericsson</v>
      </c>
      <c r="M147" s="1" t="str">
        <f>VLOOKUP(Master8[[#This Row],[Province_RDC]],Client[],2,FALSE)</f>
        <v>CLI-00837</v>
      </c>
      <c r="N147" s="1">
        <f>VLOOKUP(Master8[[#This Row],[Province_RDC]],Client[],3,FALSE)</f>
        <v>16</v>
      </c>
      <c r="O147" s="1" t="str">
        <f>VLOOKUP(Master8[[#This Row],[Province_RDC]],Client[],4,FALSE)</f>
        <v>Bloqué 5Go</v>
      </c>
      <c r="P147" s="1">
        <f>VLOOKUP(Master8[[#This Row],[Province_RDC]],Client[],5,FALSE)</f>
        <v>390</v>
      </c>
      <c r="Q147" s="1">
        <f>VLOOKUP(Master8[[#This Row],[Province_RDC]],Client[],6,FALSE)</f>
        <v>98.17</v>
      </c>
      <c r="R147" s="1">
        <f>VLOOKUP(Master8[[#This Row],[Province_RDC]],Client[],7,FALSE)</f>
        <v>5</v>
      </c>
      <c r="S147" s="1" t="str">
        <f>IF(Master8[[#This Row],[Type_Forfait]]="Pro Monde","B2B","B2C")</f>
        <v>B2C</v>
      </c>
      <c r="T147" s="1">
        <f>Master8[[#This Row],[Anciennete_Mois]]/12</f>
        <v>1.3333333333333333</v>
      </c>
      <c r="U147" s="1">
        <f>Master8[[#This Row],[Duree_Cumule_Panne_Min]]/60</f>
        <v>6.5</v>
      </c>
      <c r="V14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7" s="6">
        <f>Master8[[#This Row],[Facture_Mensuelle]]*Master8[[#This Row],[Remise]]</f>
        <v>44.176500000000004</v>
      </c>
    </row>
    <row r="148" spans="1:24" x14ac:dyDescent="0.25">
      <c r="A148" s="1" t="s">
        <v>1382</v>
      </c>
      <c r="B148" t="str">
        <f>IFERROR(VLOOKUP(Master8[[#This Row],[Cell_ID]],Registre_Maintenance[],2,FALSE),"")</f>
        <v>Nord-Kivu</v>
      </c>
      <c r="C148" s="1" t="s">
        <v>1355</v>
      </c>
      <c r="D148" s="2">
        <v>45213.907638888893</v>
      </c>
      <c r="E148" s="3">
        <v>45213.907638888893</v>
      </c>
      <c r="F148">
        <v>52</v>
      </c>
      <c r="G148">
        <f>Master8[[#This Row],[Duree_Panne_Min]]/60</f>
        <v>0.8666666666666667</v>
      </c>
      <c r="H148" s="1" t="s">
        <v>732</v>
      </c>
      <c r="I148">
        <f>IFERROR(VLOOKUP(Master8[[#This Row],[Cell_ID]],Registre_Maintenance[],3,FALSE),"")</f>
        <v>-10.298385</v>
      </c>
      <c r="J148">
        <f>IFERROR(VLOOKUP(Master8[[#This Row],[Cell_ID]],Registre_Maintenance[],4,FALSE),"")</f>
        <v>29.698117</v>
      </c>
      <c r="K148" t="str">
        <f>IFERROR(VLOOKUP(Master8[[#This Row],[Cell_ID]],Registre_Maintenance[],5,FALSE),"")</f>
        <v>5G</v>
      </c>
      <c r="L148" t="str">
        <f>IFERROR(VLOOKUP(Master8[[#This Row],[Cell_ID]],Registre_Maintenance[],6,FALSE),"")</f>
        <v>Nokia</v>
      </c>
      <c r="M148" s="1" t="str">
        <f>VLOOKUP(Master8[[#This Row],[Province_RDC]],Client[],2,FALSE)</f>
        <v>CLI-00837</v>
      </c>
      <c r="N148" s="1">
        <f>VLOOKUP(Master8[[#This Row],[Province_RDC]],Client[],3,FALSE)</f>
        <v>16</v>
      </c>
      <c r="O148" s="1" t="str">
        <f>VLOOKUP(Master8[[#This Row],[Province_RDC]],Client[],4,FALSE)</f>
        <v>Bloqué 5Go</v>
      </c>
      <c r="P148" s="1">
        <f>VLOOKUP(Master8[[#This Row],[Province_RDC]],Client[],5,FALSE)</f>
        <v>390</v>
      </c>
      <c r="Q148" s="1">
        <f>VLOOKUP(Master8[[#This Row],[Province_RDC]],Client[],6,FALSE)</f>
        <v>98.17</v>
      </c>
      <c r="R148" s="1">
        <f>VLOOKUP(Master8[[#This Row],[Province_RDC]],Client[],7,FALSE)</f>
        <v>5</v>
      </c>
      <c r="S148" s="1" t="str">
        <f>IF(Master8[[#This Row],[Type_Forfait]]="Pro Monde","B2B","B2C")</f>
        <v>B2C</v>
      </c>
      <c r="T148" s="1">
        <f>Master8[[#This Row],[Anciennete_Mois]]/12</f>
        <v>1.3333333333333333</v>
      </c>
      <c r="U148" s="1">
        <f>Master8[[#This Row],[Duree_Cumule_Panne_Min]]/60</f>
        <v>6.5</v>
      </c>
      <c r="V14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8" s="6">
        <f>Master8[[#This Row],[Facture_Mensuelle]]*Master8[[#This Row],[Remise]]</f>
        <v>44.176500000000004</v>
      </c>
    </row>
    <row r="149" spans="1:24" x14ac:dyDescent="0.25">
      <c r="A149" s="1" t="s">
        <v>939</v>
      </c>
      <c r="B149" t="str">
        <f>IFERROR(VLOOKUP(Master8[[#This Row],[Cell_ID]],Registre_Maintenance[],2,FALSE),"")</f>
        <v>Nord-Kivu</v>
      </c>
      <c r="C149" s="1" t="s">
        <v>758</v>
      </c>
      <c r="D149" s="2">
        <v>45211.477083333331</v>
      </c>
      <c r="E149" s="3">
        <v>45211.477083333331</v>
      </c>
      <c r="F149">
        <v>111</v>
      </c>
      <c r="G149">
        <f>Master8[[#This Row],[Duree_Panne_Min]]/60</f>
        <v>1.85</v>
      </c>
      <c r="H149" s="1" t="s">
        <v>732</v>
      </c>
      <c r="I149">
        <f>IFERROR(VLOOKUP(Master8[[#This Row],[Cell_ID]],Registre_Maintenance[],3,FALSE),"")</f>
        <v>4.6287159999999998</v>
      </c>
      <c r="J149">
        <f>IFERROR(VLOOKUP(Master8[[#This Row],[Cell_ID]],Registre_Maintenance[],4,FALSE),"")</f>
        <v>19.407077999999998</v>
      </c>
      <c r="K149" t="str">
        <f>IFERROR(VLOOKUP(Master8[[#This Row],[Cell_ID]],Registre_Maintenance[],5,FALSE),"")</f>
        <v>4G</v>
      </c>
      <c r="L149" t="str">
        <f>IFERROR(VLOOKUP(Master8[[#This Row],[Cell_ID]],Registre_Maintenance[],6,FALSE),"")</f>
        <v>Ericsson</v>
      </c>
      <c r="M149" s="1" t="str">
        <f>VLOOKUP(Master8[[#This Row],[Province_RDC]],Client[],2,FALSE)</f>
        <v>CLI-00837</v>
      </c>
      <c r="N149" s="1">
        <f>VLOOKUP(Master8[[#This Row],[Province_RDC]],Client[],3,FALSE)</f>
        <v>16</v>
      </c>
      <c r="O149" s="1" t="str">
        <f>VLOOKUP(Master8[[#This Row],[Province_RDC]],Client[],4,FALSE)</f>
        <v>Bloqué 5Go</v>
      </c>
      <c r="P149" s="1">
        <f>VLOOKUP(Master8[[#This Row],[Province_RDC]],Client[],5,FALSE)</f>
        <v>390</v>
      </c>
      <c r="Q149" s="1">
        <f>VLOOKUP(Master8[[#This Row],[Province_RDC]],Client[],6,FALSE)</f>
        <v>98.17</v>
      </c>
      <c r="R149" s="1">
        <f>VLOOKUP(Master8[[#This Row],[Province_RDC]],Client[],7,FALSE)</f>
        <v>5</v>
      </c>
      <c r="S149" s="1" t="str">
        <f>IF(Master8[[#This Row],[Type_Forfait]]="Pro Monde","B2B","B2C")</f>
        <v>B2C</v>
      </c>
      <c r="T149" s="1">
        <f>Master8[[#This Row],[Anciennete_Mois]]/12</f>
        <v>1.3333333333333333</v>
      </c>
      <c r="U149" s="1">
        <f>Master8[[#This Row],[Duree_Cumule_Panne_Min]]/60</f>
        <v>6.5</v>
      </c>
      <c r="V14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4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49" s="6">
        <f>Master8[[#This Row],[Facture_Mensuelle]]*Master8[[#This Row],[Remise]]</f>
        <v>44.176500000000004</v>
      </c>
    </row>
    <row r="150" spans="1:24" x14ac:dyDescent="0.25">
      <c r="A150" s="1" t="s">
        <v>1361</v>
      </c>
      <c r="B150" t="str">
        <f>IFERROR(VLOOKUP(Master8[[#This Row],[Cell_ID]],Registre_Maintenance[],2,FALSE),"")</f>
        <v>Nord-Kivu</v>
      </c>
      <c r="C150" s="1" t="s">
        <v>927</v>
      </c>
      <c r="D150" s="2">
        <v>45211.424305555563</v>
      </c>
      <c r="E150" s="3">
        <v>45211.424305555563</v>
      </c>
      <c r="F150">
        <v>116</v>
      </c>
      <c r="G150">
        <f>Master8[[#This Row],[Duree_Panne_Min]]/60</f>
        <v>1.9333333333333333</v>
      </c>
      <c r="H150" s="1" t="s">
        <v>735</v>
      </c>
      <c r="I150">
        <f>IFERROR(VLOOKUP(Master8[[#This Row],[Cell_ID]],Registre_Maintenance[],3,FALSE),"")</f>
        <v>-1.8555980000000001</v>
      </c>
      <c r="J150">
        <f>IFERROR(VLOOKUP(Master8[[#This Row],[Cell_ID]],Registre_Maintenance[],4,FALSE),"")</f>
        <v>30.421918000000002</v>
      </c>
      <c r="K150" t="str">
        <f>IFERROR(VLOOKUP(Master8[[#This Row],[Cell_ID]],Registre_Maintenance[],5,FALSE),"")</f>
        <v>3G</v>
      </c>
      <c r="L150" t="str">
        <f>IFERROR(VLOOKUP(Master8[[#This Row],[Cell_ID]],Registre_Maintenance[],6,FALSE),"")</f>
        <v>ZTE</v>
      </c>
      <c r="M150" s="1" t="str">
        <f>VLOOKUP(Master8[[#This Row],[Province_RDC]],Client[],2,FALSE)</f>
        <v>CLI-00837</v>
      </c>
      <c r="N150" s="1">
        <f>VLOOKUP(Master8[[#This Row],[Province_RDC]],Client[],3,FALSE)</f>
        <v>16</v>
      </c>
      <c r="O150" s="1" t="str">
        <f>VLOOKUP(Master8[[#This Row],[Province_RDC]],Client[],4,FALSE)</f>
        <v>Bloqué 5Go</v>
      </c>
      <c r="P150" s="1">
        <f>VLOOKUP(Master8[[#This Row],[Province_RDC]],Client[],5,FALSE)</f>
        <v>390</v>
      </c>
      <c r="Q150" s="1">
        <f>VLOOKUP(Master8[[#This Row],[Province_RDC]],Client[],6,FALSE)</f>
        <v>98.17</v>
      </c>
      <c r="R150" s="1">
        <f>VLOOKUP(Master8[[#This Row],[Province_RDC]],Client[],7,FALSE)</f>
        <v>5</v>
      </c>
      <c r="S150" s="1" t="str">
        <f>IF(Master8[[#This Row],[Type_Forfait]]="Pro Monde","B2B","B2C")</f>
        <v>B2C</v>
      </c>
      <c r="T150" s="1">
        <f>Master8[[#This Row],[Anciennete_Mois]]/12</f>
        <v>1.3333333333333333</v>
      </c>
      <c r="U150" s="1">
        <f>Master8[[#This Row],[Duree_Cumule_Panne_Min]]/60</f>
        <v>6.5</v>
      </c>
      <c r="V15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0" s="6">
        <f>Master8[[#This Row],[Facture_Mensuelle]]*Master8[[#This Row],[Remise]]</f>
        <v>44.176500000000004</v>
      </c>
    </row>
    <row r="151" spans="1:24" x14ac:dyDescent="0.25">
      <c r="A151" s="1" t="s">
        <v>861</v>
      </c>
      <c r="B151" t="str">
        <f>IFERROR(VLOOKUP(Master8[[#This Row],[Cell_ID]],Registre_Maintenance[],2,FALSE),"")</f>
        <v>Nord-Kivu</v>
      </c>
      <c r="C151" s="1" t="s">
        <v>883</v>
      </c>
      <c r="D151" s="2">
        <v>45211.234722222223</v>
      </c>
      <c r="E151" s="3">
        <v>45211.234722222223</v>
      </c>
      <c r="F151">
        <v>62</v>
      </c>
      <c r="G151">
        <f>Master8[[#This Row],[Duree_Panne_Min]]/60</f>
        <v>1.0333333333333334</v>
      </c>
      <c r="H151" s="1" t="s">
        <v>737</v>
      </c>
      <c r="I151">
        <f>IFERROR(VLOOKUP(Master8[[#This Row],[Cell_ID]],Registre_Maintenance[],3,FALSE),"")</f>
        <v>-2.3102109999999998</v>
      </c>
      <c r="J151">
        <f>IFERROR(VLOOKUP(Master8[[#This Row],[Cell_ID]],Registre_Maintenance[],4,FALSE),"")</f>
        <v>12.362488000000001</v>
      </c>
      <c r="K151" t="str">
        <f>IFERROR(VLOOKUP(Master8[[#This Row],[Cell_ID]],Registre_Maintenance[],5,FALSE),"")</f>
        <v>5G</v>
      </c>
      <c r="L151" t="str">
        <f>IFERROR(VLOOKUP(Master8[[#This Row],[Cell_ID]],Registre_Maintenance[],6,FALSE),"")</f>
        <v>Nokia</v>
      </c>
      <c r="M151" s="1" t="str">
        <f>VLOOKUP(Master8[[#This Row],[Province_RDC]],Client[],2,FALSE)</f>
        <v>CLI-00837</v>
      </c>
      <c r="N151" s="1">
        <f>VLOOKUP(Master8[[#This Row],[Province_RDC]],Client[],3,FALSE)</f>
        <v>16</v>
      </c>
      <c r="O151" s="1" t="str">
        <f>VLOOKUP(Master8[[#This Row],[Province_RDC]],Client[],4,FALSE)</f>
        <v>Bloqué 5Go</v>
      </c>
      <c r="P151" s="1">
        <f>VLOOKUP(Master8[[#This Row],[Province_RDC]],Client[],5,FALSE)</f>
        <v>390</v>
      </c>
      <c r="Q151" s="1">
        <f>VLOOKUP(Master8[[#This Row],[Province_RDC]],Client[],6,FALSE)</f>
        <v>98.17</v>
      </c>
      <c r="R151" s="1">
        <f>VLOOKUP(Master8[[#This Row],[Province_RDC]],Client[],7,FALSE)</f>
        <v>5</v>
      </c>
      <c r="S151" s="1" t="str">
        <f>IF(Master8[[#This Row],[Type_Forfait]]="Pro Monde","B2B","B2C")</f>
        <v>B2C</v>
      </c>
      <c r="T151" s="1">
        <f>Master8[[#This Row],[Anciennete_Mois]]/12</f>
        <v>1.3333333333333333</v>
      </c>
      <c r="U151" s="1">
        <f>Master8[[#This Row],[Duree_Cumule_Panne_Min]]/60</f>
        <v>6.5</v>
      </c>
      <c r="V15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1" s="6">
        <f>Master8[[#This Row],[Facture_Mensuelle]]*Master8[[#This Row],[Remise]]</f>
        <v>44.176500000000004</v>
      </c>
    </row>
    <row r="152" spans="1:24" x14ac:dyDescent="0.25">
      <c r="A152" s="1" t="s">
        <v>1165</v>
      </c>
      <c r="B152" t="str">
        <f>IFERROR(VLOOKUP(Master8[[#This Row],[Cell_ID]],Registre_Maintenance[],2,FALSE),"")</f>
        <v>Nord-Kivu</v>
      </c>
      <c r="C152" s="1" t="s">
        <v>832</v>
      </c>
      <c r="D152" s="2">
        <v>45210.39166666667</v>
      </c>
      <c r="E152" s="3">
        <v>45210.39166666667</v>
      </c>
      <c r="F152">
        <v>85</v>
      </c>
      <c r="G152">
        <f>Master8[[#This Row],[Duree_Panne_Min]]/60</f>
        <v>1.4166666666666667</v>
      </c>
      <c r="H152" s="1" t="s">
        <v>735</v>
      </c>
      <c r="I152">
        <f>IFERROR(VLOOKUP(Master8[[#This Row],[Cell_ID]],Registre_Maintenance[],3,FALSE),"")</f>
        <v>1.017161</v>
      </c>
      <c r="J152">
        <f>IFERROR(VLOOKUP(Master8[[#This Row],[Cell_ID]],Registre_Maintenance[],4,FALSE),"")</f>
        <v>16.519689</v>
      </c>
      <c r="K152" t="str">
        <f>IFERROR(VLOOKUP(Master8[[#This Row],[Cell_ID]],Registre_Maintenance[],5,FALSE),"")</f>
        <v>3G</v>
      </c>
      <c r="L152" t="str">
        <f>IFERROR(VLOOKUP(Master8[[#This Row],[Cell_ID]],Registre_Maintenance[],6,FALSE),"")</f>
        <v>Nokia</v>
      </c>
      <c r="M152" s="1" t="str">
        <f>VLOOKUP(Master8[[#This Row],[Province_RDC]],Client[],2,FALSE)</f>
        <v>CLI-00837</v>
      </c>
      <c r="N152" s="1">
        <f>VLOOKUP(Master8[[#This Row],[Province_RDC]],Client[],3,FALSE)</f>
        <v>16</v>
      </c>
      <c r="O152" s="1" t="str">
        <f>VLOOKUP(Master8[[#This Row],[Province_RDC]],Client[],4,FALSE)</f>
        <v>Bloqué 5Go</v>
      </c>
      <c r="P152" s="1">
        <f>VLOOKUP(Master8[[#This Row],[Province_RDC]],Client[],5,FALSE)</f>
        <v>390</v>
      </c>
      <c r="Q152" s="1">
        <f>VLOOKUP(Master8[[#This Row],[Province_RDC]],Client[],6,FALSE)</f>
        <v>98.17</v>
      </c>
      <c r="R152" s="1">
        <f>VLOOKUP(Master8[[#This Row],[Province_RDC]],Client[],7,FALSE)</f>
        <v>5</v>
      </c>
      <c r="S152" s="1" t="str">
        <f>IF(Master8[[#This Row],[Type_Forfait]]="Pro Monde","B2B","B2C")</f>
        <v>B2C</v>
      </c>
      <c r="T152" s="1">
        <f>Master8[[#This Row],[Anciennete_Mois]]/12</f>
        <v>1.3333333333333333</v>
      </c>
      <c r="U152" s="1">
        <f>Master8[[#This Row],[Duree_Cumule_Panne_Min]]/60</f>
        <v>6.5</v>
      </c>
      <c r="V15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2" s="6">
        <f>Master8[[#This Row],[Facture_Mensuelle]]*Master8[[#This Row],[Remise]]</f>
        <v>44.176500000000004</v>
      </c>
    </row>
    <row r="153" spans="1:24" x14ac:dyDescent="0.25">
      <c r="A153" s="1" t="s">
        <v>1059</v>
      </c>
      <c r="B153" t="str">
        <f>IFERROR(VLOOKUP(Master8[[#This Row],[Cell_ID]],Registre_Maintenance[],2,FALSE),"")</f>
        <v>Nord-Kivu</v>
      </c>
      <c r="C153" s="1" t="s">
        <v>797</v>
      </c>
      <c r="D153" s="2">
        <v>45208.959027777782</v>
      </c>
      <c r="E153" s="3">
        <v>45208.959027777782</v>
      </c>
      <c r="F153">
        <v>98</v>
      </c>
      <c r="G153">
        <f>Master8[[#This Row],[Duree_Panne_Min]]/60</f>
        <v>1.6333333333333333</v>
      </c>
      <c r="H153" s="1" t="s">
        <v>737</v>
      </c>
      <c r="I153">
        <f>IFERROR(VLOOKUP(Master8[[#This Row],[Cell_ID]],Registre_Maintenance[],3,FALSE),"")</f>
        <v>0.82868600000000003</v>
      </c>
      <c r="J153">
        <f>IFERROR(VLOOKUP(Master8[[#This Row],[Cell_ID]],Registre_Maintenance[],4,FALSE),"")</f>
        <v>26.958843999999999</v>
      </c>
      <c r="K153" t="str">
        <f>IFERROR(VLOOKUP(Master8[[#This Row],[Cell_ID]],Registre_Maintenance[],5,FALSE),"")</f>
        <v>5G</v>
      </c>
      <c r="L153" t="str">
        <f>IFERROR(VLOOKUP(Master8[[#This Row],[Cell_ID]],Registre_Maintenance[],6,FALSE),"")</f>
        <v>ZTE</v>
      </c>
      <c r="M153" s="1" t="str">
        <f>VLOOKUP(Master8[[#This Row],[Province_RDC]],Client[],2,FALSE)</f>
        <v>CLI-00837</v>
      </c>
      <c r="N153" s="1">
        <f>VLOOKUP(Master8[[#This Row],[Province_RDC]],Client[],3,FALSE)</f>
        <v>16</v>
      </c>
      <c r="O153" s="1" t="str">
        <f>VLOOKUP(Master8[[#This Row],[Province_RDC]],Client[],4,FALSE)</f>
        <v>Bloqué 5Go</v>
      </c>
      <c r="P153" s="1">
        <f>VLOOKUP(Master8[[#This Row],[Province_RDC]],Client[],5,FALSE)</f>
        <v>390</v>
      </c>
      <c r="Q153" s="1">
        <f>VLOOKUP(Master8[[#This Row],[Province_RDC]],Client[],6,FALSE)</f>
        <v>98.17</v>
      </c>
      <c r="R153" s="1">
        <f>VLOOKUP(Master8[[#This Row],[Province_RDC]],Client[],7,FALSE)</f>
        <v>5</v>
      </c>
      <c r="S153" s="1" t="str">
        <f>IF(Master8[[#This Row],[Type_Forfait]]="Pro Monde","B2B","B2C")</f>
        <v>B2C</v>
      </c>
      <c r="T153" s="1">
        <f>Master8[[#This Row],[Anciennete_Mois]]/12</f>
        <v>1.3333333333333333</v>
      </c>
      <c r="U153" s="1">
        <f>Master8[[#This Row],[Duree_Cumule_Panne_Min]]/60</f>
        <v>6.5</v>
      </c>
      <c r="V15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3" s="6">
        <f>Master8[[#This Row],[Facture_Mensuelle]]*Master8[[#This Row],[Remise]]</f>
        <v>44.176500000000004</v>
      </c>
    </row>
    <row r="154" spans="1:24" x14ac:dyDescent="0.25">
      <c r="A154" s="1" t="s">
        <v>823</v>
      </c>
      <c r="B154" t="str">
        <f>IFERROR(VLOOKUP(Master8[[#This Row],[Cell_ID]],Registre_Maintenance[],2,FALSE),"")</f>
        <v>Nord-Kivu</v>
      </c>
      <c r="C154" s="1" t="s">
        <v>832</v>
      </c>
      <c r="D154" s="2">
        <v>45208.072916666657</v>
      </c>
      <c r="E154" s="3">
        <v>45208.072916666657</v>
      </c>
      <c r="F154">
        <v>68</v>
      </c>
      <c r="G154">
        <f>Master8[[#This Row],[Duree_Panne_Min]]/60</f>
        <v>1.1333333333333333</v>
      </c>
      <c r="H154" s="1" t="s">
        <v>732</v>
      </c>
      <c r="I154">
        <f>IFERROR(VLOOKUP(Master8[[#This Row],[Cell_ID]],Registre_Maintenance[],3,FALSE),"")</f>
        <v>1.017161</v>
      </c>
      <c r="J154">
        <f>IFERROR(VLOOKUP(Master8[[#This Row],[Cell_ID]],Registre_Maintenance[],4,FALSE),"")</f>
        <v>16.519689</v>
      </c>
      <c r="K154" t="str">
        <f>IFERROR(VLOOKUP(Master8[[#This Row],[Cell_ID]],Registre_Maintenance[],5,FALSE),"")</f>
        <v>3G</v>
      </c>
      <c r="L154" t="str">
        <f>IFERROR(VLOOKUP(Master8[[#This Row],[Cell_ID]],Registre_Maintenance[],6,FALSE),"")</f>
        <v>Nokia</v>
      </c>
      <c r="M154" s="1" t="str">
        <f>VLOOKUP(Master8[[#This Row],[Province_RDC]],Client[],2,FALSE)</f>
        <v>CLI-00837</v>
      </c>
      <c r="N154" s="1">
        <f>VLOOKUP(Master8[[#This Row],[Province_RDC]],Client[],3,FALSE)</f>
        <v>16</v>
      </c>
      <c r="O154" s="1" t="str">
        <f>VLOOKUP(Master8[[#This Row],[Province_RDC]],Client[],4,FALSE)</f>
        <v>Bloqué 5Go</v>
      </c>
      <c r="P154" s="1">
        <f>VLOOKUP(Master8[[#This Row],[Province_RDC]],Client[],5,FALSE)</f>
        <v>390</v>
      </c>
      <c r="Q154" s="1">
        <f>VLOOKUP(Master8[[#This Row],[Province_RDC]],Client[],6,FALSE)</f>
        <v>98.17</v>
      </c>
      <c r="R154" s="1">
        <f>VLOOKUP(Master8[[#This Row],[Province_RDC]],Client[],7,FALSE)</f>
        <v>5</v>
      </c>
      <c r="S154" s="1" t="str">
        <f>IF(Master8[[#This Row],[Type_Forfait]]="Pro Monde","B2B","B2C")</f>
        <v>B2C</v>
      </c>
      <c r="T154" s="1">
        <f>Master8[[#This Row],[Anciennete_Mois]]/12</f>
        <v>1.3333333333333333</v>
      </c>
      <c r="U154" s="1">
        <f>Master8[[#This Row],[Duree_Cumule_Panne_Min]]/60</f>
        <v>6.5</v>
      </c>
      <c r="V15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4" s="6">
        <f>Master8[[#This Row],[Facture_Mensuelle]]*Master8[[#This Row],[Remise]]</f>
        <v>44.176500000000004</v>
      </c>
    </row>
    <row r="155" spans="1:24" x14ac:dyDescent="0.25">
      <c r="A155" s="1" t="s">
        <v>730</v>
      </c>
      <c r="B155" t="str">
        <f>IFERROR(VLOOKUP(Master8[[#This Row],[Cell_ID]],Registre_Maintenance[],2,FALSE),"")</f>
        <v>Nord-Kivu</v>
      </c>
      <c r="C155" s="1" t="s">
        <v>778</v>
      </c>
      <c r="D155" s="2">
        <v>45207.982638888891</v>
      </c>
      <c r="E155" s="3">
        <v>45207.982638888891</v>
      </c>
      <c r="F155">
        <v>25</v>
      </c>
      <c r="G155">
        <f>Master8[[#This Row],[Duree_Panne_Min]]/60</f>
        <v>0.41666666666666669</v>
      </c>
      <c r="H155" s="1" t="s">
        <v>737</v>
      </c>
      <c r="I155">
        <f>IFERROR(VLOOKUP(Master8[[#This Row],[Cell_ID]],Registre_Maintenance[],3,FALSE),"")</f>
        <v>-11.866133</v>
      </c>
      <c r="J155">
        <f>IFERROR(VLOOKUP(Master8[[#This Row],[Cell_ID]],Registre_Maintenance[],4,FALSE),"")</f>
        <v>27.068932</v>
      </c>
      <c r="K155" t="str">
        <f>IFERROR(VLOOKUP(Master8[[#This Row],[Cell_ID]],Registre_Maintenance[],5,FALSE),"")</f>
        <v>3G</v>
      </c>
      <c r="L155" t="str">
        <f>IFERROR(VLOOKUP(Master8[[#This Row],[Cell_ID]],Registre_Maintenance[],6,FALSE),"")</f>
        <v>Huawei</v>
      </c>
      <c r="M155" s="1" t="str">
        <f>VLOOKUP(Master8[[#This Row],[Province_RDC]],Client[],2,FALSE)</f>
        <v>CLI-00837</v>
      </c>
      <c r="N155" s="1">
        <f>VLOOKUP(Master8[[#This Row],[Province_RDC]],Client[],3,FALSE)</f>
        <v>16</v>
      </c>
      <c r="O155" s="1" t="str">
        <f>VLOOKUP(Master8[[#This Row],[Province_RDC]],Client[],4,FALSE)</f>
        <v>Bloqué 5Go</v>
      </c>
      <c r="P155" s="1">
        <f>VLOOKUP(Master8[[#This Row],[Province_RDC]],Client[],5,FALSE)</f>
        <v>390</v>
      </c>
      <c r="Q155" s="1">
        <f>VLOOKUP(Master8[[#This Row],[Province_RDC]],Client[],6,FALSE)</f>
        <v>98.17</v>
      </c>
      <c r="R155" s="1">
        <f>VLOOKUP(Master8[[#This Row],[Province_RDC]],Client[],7,FALSE)</f>
        <v>5</v>
      </c>
      <c r="S155" s="1" t="str">
        <f>IF(Master8[[#This Row],[Type_Forfait]]="Pro Monde","B2B","B2C")</f>
        <v>B2C</v>
      </c>
      <c r="T155" s="1">
        <f>Master8[[#This Row],[Anciennete_Mois]]/12</f>
        <v>1.3333333333333333</v>
      </c>
      <c r="U155" s="1">
        <f>Master8[[#This Row],[Duree_Cumule_Panne_Min]]/60</f>
        <v>6.5</v>
      </c>
      <c r="V15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5" s="6">
        <f>Master8[[#This Row],[Facture_Mensuelle]]*Master8[[#This Row],[Remise]]</f>
        <v>44.176500000000004</v>
      </c>
    </row>
    <row r="156" spans="1:24" x14ac:dyDescent="0.25">
      <c r="A156" s="1" t="s">
        <v>1114</v>
      </c>
      <c r="B156" t="str">
        <f>IFERROR(VLOOKUP(Master8[[#This Row],[Cell_ID]],Registre_Maintenance[],2,FALSE),"")</f>
        <v>Nord-Kivu</v>
      </c>
      <c r="C156" s="1" t="s">
        <v>900</v>
      </c>
      <c r="D156" s="2">
        <v>45207.960416666669</v>
      </c>
      <c r="E156" s="3">
        <v>45207.960416666669</v>
      </c>
      <c r="F156">
        <v>23</v>
      </c>
      <c r="G156">
        <f>Master8[[#This Row],[Duree_Panne_Min]]/60</f>
        <v>0.38333333333333336</v>
      </c>
      <c r="H156" s="1" t="s">
        <v>737</v>
      </c>
      <c r="I156">
        <f>IFERROR(VLOOKUP(Master8[[#This Row],[Cell_ID]],Registre_Maintenance[],3,FALSE),"")</f>
        <v>-12.336202</v>
      </c>
      <c r="J156">
        <f>IFERROR(VLOOKUP(Master8[[#This Row],[Cell_ID]],Registre_Maintenance[],4,FALSE),"")</f>
        <v>13.693683999999999</v>
      </c>
      <c r="K156" t="str">
        <f>IFERROR(VLOOKUP(Master8[[#This Row],[Cell_ID]],Registre_Maintenance[],5,FALSE),"")</f>
        <v>5G</v>
      </c>
      <c r="L156" t="str">
        <f>IFERROR(VLOOKUP(Master8[[#This Row],[Cell_ID]],Registre_Maintenance[],6,FALSE),"")</f>
        <v>Huawei</v>
      </c>
      <c r="M156" s="1" t="str">
        <f>VLOOKUP(Master8[[#This Row],[Province_RDC]],Client[],2,FALSE)</f>
        <v>CLI-00837</v>
      </c>
      <c r="N156" s="1">
        <f>VLOOKUP(Master8[[#This Row],[Province_RDC]],Client[],3,FALSE)</f>
        <v>16</v>
      </c>
      <c r="O156" s="1" t="str">
        <f>VLOOKUP(Master8[[#This Row],[Province_RDC]],Client[],4,FALSE)</f>
        <v>Bloqué 5Go</v>
      </c>
      <c r="P156" s="1">
        <f>VLOOKUP(Master8[[#This Row],[Province_RDC]],Client[],5,FALSE)</f>
        <v>390</v>
      </c>
      <c r="Q156" s="1">
        <f>VLOOKUP(Master8[[#This Row],[Province_RDC]],Client[],6,FALSE)</f>
        <v>98.17</v>
      </c>
      <c r="R156" s="1">
        <f>VLOOKUP(Master8[[#This Row],[Province_RDC]],Client[],7,FALSE)</f>
        <v>5</v>
      </c>
      <c r="S156" s="1" t="str">
        <f>IF(Master8[[#This Row],[Type_Forfait]]="Pro Monde","B2B","B2C")</f>
        <v>B2C</v>
      </c>
      <c r="T156" s="1">
        <f>Master8[[#This Row],[Anciennete_Mois]]/12</f>
        <v>1.3333333333333333</v>
      </c>
      <c r="U156" s="1">
        <f>Master8[[#This Row],[Duree_Cumule_Panne_Min]]/60</f>
        <v>6.5</v>
      </c>
      <c r="V15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6" s="6">
        <f>Master8[[#This Row],[Facture_Mensuelle]]*Master8[[#This Row],[Remise]]</f>
        <v>44.176500000000004</v>
      </c>
    </row>
    <row r="157" spans="1:24" x14ac:dyDescent="0.25">
      <c r="A157" s="1" t="s">
        <v>1261</v>
      </c>
      <c r="B157" t="str">
        <f>IFERROR(VLOOKUP(Master8[[#This Row],[Cell_ID]],Registre_Maintenance[],2,FALSE),"")</f>
        <v>Nord-Kivu</v>
      </c>
      <c r="C157" s="1" t="s">
        <v>1267</v>
      </c>
      <c r="D157" s="2">
        <v>45205.463888888888</v>
      </c>
      <c r="E157" s="3">
        <v>45205.463888888888</v>
      </c>
      <c r="F157">
        <v>103</v>
      </c>
      <c r="G157">
        <f>Master8[[#This Row],[Duree_Panne_Min]]/60</f>
        <v>1.7166666666666666</v>
      </c>
      <c r="H157" s="1" t="s">
        <v>732</v>
      </c>
      <c r="I157">
        <f>IFERROR(VLOOKUP(Master8[[#This Row],[Cell_ID]],Registre_Maintenance[],3,FALSE),"")</f>
        <v>-0.17258100000000001</v>
      </c>
      <c r="J157">
        <f>IFERROR(VLOOKUP(Master8[[#This Row],[Cell_ID]],Registre_Maintenance[],4,FALSE),"")</f>
        <v>23.775555000000001</v>
      </c>
      <c r="K157" t="str">
        <f>IFERROR(VLOOKUP(Master8[[#This Row],[Cell_ID]],Registre_Maintenance[],5,FALSE),"")</f>
        <v>5G</v>
      </c>
      <c r="L157" t="str">
        <f>IFERROR(VLOOKUP(Master8[[#This Row],[Cell_ID]],Registre_Maintenance[],6,FALSE),"")</f>
        <v>Nokia</v>
      </c>
      <c r="M157" s="1" t="str">
        <f>VLOOKUP(Master8[[#This Row],[Province_RDC]],Client[],2,FALSE)</f>
        <v>CLI-00837</v>
      </c>
      <c r="N157" s="1">
        <f>VLOOKUP(Master8[[#This Row],[Province_RDC]],Client[],3,FALSE)</f>
        <v>16</v>
      </c>
      <c r="O157" s="1" t="str">
        <f>VLOOKUP(Master8[[#This Row],[Province_RDC]],Client[],4,FALSE)</f>
        <v>Bloqué 5Go</v>
      </c>
      <c r="P157" s="1">
        <f>VLOOKUP(Master8[[#This Row],[Province_RDC]],Client[],5,FALSE)</f>
        <v>390</v>
      </c>
      <c r="Q157" s="1">
        <f>VLOOKUP(Master8[[#This Row],[Province_RDC]],Client[],6,FALSE)</f>
        <v>98.17</v>
      </c>
      <c r="R157" s="1">
        <f>VLOOKUP(Master8[[#This Row],[Province_RDC]],Client[],7,FALSE)</f>
        <v>5</v>
      </c>
      <c r="S157" s="1" t="str">
        <f>IF(Master8[[#This Row],[Type_Forfait]]="Pro Monde","B2B","B2C")</f>
        <v>B2C</v>
      </c>
      <c r="T157" s="1">
        <f>Master8[[#This Row],[Anciennete_Mois]]/12</f>
        <v>1.3333333333333333</v>
      </c>
      <c r="U157" s="1">
        <f>Master8[[#This Row],[Duree_Cumule_Panne_Min]]/60</f>
        <v>6.5</v>
      </c>
      <c r="V15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7" s="6">
        <f>Master8[[#This Row],[Facture_Mensuelle]]*Master8[[#This Row],[Remise]]</f>
        <v>44.176500000000004</v>
      </c>
    </row>
    <row r="158" spans="1:24" x14ac:dyDescent="0.25">
      <c r="A158" s="1" t="s">
        <v>1193</v>
      </c>
      <c r="B158" t="str">
        <f>IFERROR(VLOOKUP(Master8[[#This Row],[Cell_ID]],Registre_Maintenance[],2,FALSE),"")</f>
        <v>Nord-Kivu</v>
      </c>
      <c r="C158" s="1" t="s">
        <v>900</v>
      </c>
      <c r="D158" s="2">
        <v>45204.53125</v>
      </c>
      <c r="E158" s="3">
        <v>45204.53125</v>
      </c>
      <c r="F158">
        <v>47</v>
      </c>
      <c r="G158">
        <f>Master8[[#This Row],[Duree_Panne_Min]]/60</f>
        <v>0.78333333333333333</v>
      </c>
      <c r="H158" s="1" t="s">
        <v>732</v>
      </c>
      <c r="I158">
        <f>IFERROR(VLOOKUP(Master8[[#This Row],[Cell_ID]],Registre_Maintenance[],3,FALSE),"")</f>
        <v>-12.336202</v>
      </c>
      <c r="J158">
        <f>IFERROR(VLOOKUP(Master8[[#This Row],[Cell_ID]],Registre_Maintenance[],4,FALSE),"")</f>
        <v>13.693683999999999</v>
      </c>
      <c r="K158" t="str">
        <f>IFERROR(VLOOKUP(Master8[[#This Row],[Cell_ID]],Registre_Maintenance[],5,FALSE),"")</f>
        <v>5G</v>
      </c>
      <c r="L158" t="str">
        <f>IFERROR(VLOOKUP(Master8[[#This Row],[Cell_ID]],Registre_Maintenance[],6,FALSE),"")</f>
        <v>Huawei</v>
      </c>
      <c r="M158" s="1" t="str">
        <f>VLOOKUP(Master8[[#This Row],[Province_RDC]],Client[],2,FALSE)</f>
        <v>CLI-00837</v>
      </c>
      <c r="N158" s="1">
        <f>VLOOKUP(Master8[[#This Row],[Province_RDC]],Client[],3,FALSE)</f>
        <v>16</v>
      </c>
      <c r="O158" s="1" t="str">
        <f>VLOOKUP(Master8[[#This Row],[Province_RDC]],Client[],4,FALSE)</f>
        <v>Bloqué 5Go</v>
      </c>
      <c r="P158" s="1">
        <f>VLOOKUP(Master8[[#This Row],[Province_RDC]],Client[],5,FALSE)</f>
        <v>390</v>
      </c>
      <c r="Q158" s="1">
        <f>VLOOKUP(Master8[[#This Row],[Province_RDC]],Client[],6,FALSE)</f>
        <v>98.17</v>
      </c>
      <c r="R158" s="1">
        <f>VLOOKUP(Master8[[#This Row],[Province_RDC]],Client[],7,FALSE)</f>
        <v>5</v>
      </c>
      <c r="S158" s="1" t="str">
        <f>IF(Master8[[#This Row],[Type_Forfait]]="Pro Monde","B2B","B2C")</f>
        <v>B2C</v>
      </c>
      <c r="T158" s="1">
        <f>Master8[[#This Row],[Anciennete_Mois]]/12</f>
        <v>1.3333333333333333</v>
      </c>
      <c r="U158" s="1">
        <f>Master8[[#This Row],[Duree_Cumule_Panne_Min]]/60</f>
        <v>6.5</v>
      </c>
      <c r="V15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8" s="6">
        <f>Master8[[#This Row],[Facture_Mensuelle]]*Master8[[#This Row],[Remise]]</f>
        <v>44.176500000000004</v>
      </c>
    </row>
    <row r="159" spans="1:24" x14ac:dyDescent="0.25">
      <c r="A159" s="1" t="s">
        <v>1024</v>
      </c>
      <c r="B159" t="str">
        <f>IFERROR(VLOOKUP(Master8[[#This Row],[Cell_ID]],Registre_Maintenance[],2,FALSE),"")</f>
        <v>Nord-Kivu</v>
      </c>
      <c r="C159" s="1" t="s">
        <v>1044</v>
      </c>
      <c r="D159" s="2">
        <v>45204.47152777778</v>
      </c>
      <c r="E159" s="3">
        <v>45204.47152777778</v>
      </c>
      <c r="F159">
        <v>10</v>
      </c>
      <c r="G159">
        <f>Master8[[#This Row],[Duree_Panne_Min]]/60</f>
        <v>0.16666666666666666</v>
      </c>
      <c r="H159" s="1" t="s">
        <v>732</v>
      </c>
      <c r="I159">
        <f>IFERROR(VLOOKUP(Master8[[#This Row],[Cell_ID]],Registre_Maintenance[],3,FALSE),"")</f>
        <v>4.9455159999999996</v>
      </c>
      <c r="J159">
        <f>IFERROR(VLOOKUP(Master8[[#This Row],[Cell_ID]],Registre_Maintenance[],4,FALSE),"")</f>
        <v>23.647746000000001</v>
      </c>
      <c r="K159" t="str">
        <f>IFERROR(VLOOKUP(Master8[[#This Row],[Cell_ID]],Registre_Maintenance[],5,FALSE),"")</f>
        <v>5G</v>
      </c>
      <c r="L159" t="str">
        <f>IFERROR(VLOOKUP(Master8[[#This Row],[Cell_ID]],Registre_Maintenance[],6,FALSE),"")</f>
        <v>Huawei</v>
      </c>
      <c r="M159" s="1" t="str">
        <f>VLOOKUP(Master8[[#This Row],[Province_RDC]],Client[],2,FALSE)</f>
        <v>CLI-00837</v>
      </c>
      <c r="N159" s="1">
        <f>VLOOKUP(Master8[[#This Row],[Province_RDC]],Client[],3,FALSE)</f>
        <v>16</v>
      </c>
      <c r="O159" s="1" t="str">
        <f>VLOOKUP(Master8[[#This Row],[Province_RDC]],Client[],4,FALSE)</f>
        <v>Bloqué 5Go</v>
      </c>
      <c r="P159" s="1">
        <f>VLOOKUP(Master8[[#This Row],[Province_RDC]],Client[],5,FALSE)</f>
        <v>390</v>
      </c>
      <c r="Q159" s="1">
        <f>VLOOKUP(Master8[[#This Row],[Province_RDC]],Client[],6,FALSE)</f>
        <v>98.17</v>
      </c>
      <c r="R159" s="1">
        <f>VLOOKUP(Master8[[#This Row],[Province_RDC]],Client[],7,FALSE)</f>
        <v>5</v>
      </c>
      <c r="S159" s="1" t="str">
        <f>IF(Master8[[#This Row],[Type_Forfait]]="Pro Monde","B2B","B2C")</f>
        <v>B2C</v>
      </c>
      <c r="T159" s="1">
        <f>Master8[[#This Row],[Anciennete_Mois]]/12</f>
        <v>1.3333333333333333</v>
      </c>
      <c r="U159" s="1">
        <f>Master8[[#This Row],[Duree_Cumule_Panne_Min]]/60</f>
        <v>6.5</v>
      </c>
      <c r="V15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5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59" s="6">
        <f>Master8[[#This Row],[Facture_Mensuelle]]*Master8[[#This Row],[Remise]]</f>
        <v>44.176500000000004</v>
      </c>
    </row>
    <row r="160" spans="1:24" x14ac:dyDescent="0.25">
      <c r="A160" s="1" t="s">
        <v>823</v>
      </c>
      <c r="B160" t="str">
        <f>IFERROR(VLOOKUP(Master8[[#This Row],[Cell_ID]],Registre_Maintenance[],2,FALSE),"")</f>
        <v>Nord-Kivu</v>
      </c>
      <c r="C160" s="1" t="s">
        <v>839</v>
      </c>
      <c r="D160" s="2">
        <v>45203.997916666667</v>
      </c>
      <c r="E160" s="3">
        <v>45203.997916666667</v>
      </c>
      <c r="F160">
        <v>101</v>
      </c>
      <c r="G160">
        <f>Master8[[#This Row],[Duree_Panne_Min]]/60</f>
        <v>1.6833333333333333</v>
      </c>
      <c r="H160" s="1" t="s">
        <v>737</v>
      </c>
      <c r="I160">
        <f>IFERROR(VLOOKUP(Master8[[#This Row],[Cell_ID]],Registre_Maintenance[],3,FALSE),"")</f>
        <v>-6.3148239999999998</v>
      </c>
      <c r="J160">
        <f>IFERROR(VLOOKUP(Master8[[#This Row],[Cell_ID]],Registre_Maintenance[],4,FALSE),"")</f>
        <v>24.507498999999999</v>
      </c>
      <c r="K160" t="str">
        <f>IFERROR(VLOOKUP(Master8[[#This Row],[Cell_ID]],Registre_Maintenance[],5,FALSE),"")</f>
        <v>3G</v>
      </c>
      <c r="L160" t="str">
        <f>IFERROR(VLOOKUP(Master8[[#This Row],[Cell_ID]],Registre_Maintenance[],6,FALSE),"")</f>
        <v>ZTE</v>
      </c>
      <c r="M160" s="1" t="str">
        <f>VLOOKUP(Master8[[#This Row],[Province_RDC]],Client[],2,FALSE)</f>
        <v>CLI-00837</v>
      </c>
      <c r="N160" s="1">
        <f>VLOOKUP(Master8[[#This Row],[Province_RDC]],Client[],3,FALSE)</f>
        <v>16</v>
      </c>
      <c r="O160" s="1" t="str">
        <f>VLOOKUP(Master8[[#This Row],[Province_RDC]],Client[],4,FALSE)</f>
        <v>Bloqué 5Go</v>
      </c>
      <c r="P160" s="1">
        <f>VLOOKUP(Master8[[#This Row],[Province_RDC]],Client[],5,FALSE)</f>
        <v>390</v>
      </c>
      <c r="Q160" s="1">
        <f>VLOOKUP(Master8[[#This Row],[Province_RDC]],Client[],6,FALSE)</f>
        <v>98.17</v>
      </c>
      <c r="R160" s="1">
        <f>VLOOKUP(Master8[[#This Row],[Province_RDC]],Client[],7,FALSE)</f>
        <v>5</v>
      </c>
      <c r="S160" s="1" t="str">
        <f>IF(Master8[[#This Row],[Type_Forfait]]="Pro Monde","B2B","B2C")</f>
        <v>B2C</v>
      </c>
      <c r="T160" s="1">
        <f>Master8[[#This Row],[Anciennete_Mois]]/12</f>
        <v>1.3333333333333333</v>
      </c>
      <c r="U160" s="1">
        <f>Master8[[#This Row],[Duree_Cumule_Panne_Min]]/60</f>
        <v>6.5</v>
      </c>
      <c r="V16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0" s="6">
        <f>Master8[[#This Row],[Facture_Mensuelle]]*Master8[[#This Row],[Remise]]</f>
        <v>44.176500000000004</v>
      </c>
    </row>
    <row r="161" spans="1:24" x14ac:dyDescent="0.25">
      <c r="A161" s="1" t="s">
        <v>1059</v>
      </c>
      <c r="B161" t="str">
        <f>IFERROR(VLOOKUP(Master8[[#This Row],[Cell_ID]],Registre_Maintenance[],2,FALSE),"")</f>
        <v>Nord-Kivu</v>
      </c>
      <c r="C161" s="1" t="s">
        <v>1062</v>
      </c>
      <c r="D161" s="2">
        <v>45202.161805555559</v>
      </c>
      <c r="E161" s="3">
        <v>45202.161805555559</v>
      </c>
      <c r="F161">
        <v>61</v>
      </c>
      <c r="G161">
        <f>Master8[[#This Row],[Duree_Panne_Min]]/60</f>
        <v>1.0166666666666666</v>
      </c>
      <c r="H161" s="1" t="s">
        <v>735</v>
      </c>
      <c r="I161">
        <f>IFERROR(VLOOKUP(Master8[[#This Row],[Cell_ID]],Registre_Maintenance[],3,FALSE),"")</f>
        <v>-6.5529849999999996</v>
      </c>
      <c r="J161">
        <f>IFERROR(VLOOKUP(Master8[[#This Row],[Cell_ID]],Registre_Maintenance[],4,FALSE),"")</f>
        <v>21.990606</v>
      </c>
      <c r="K161" t="str">
        <f>IFERROR(VLOOKUP(Master8[[#This Row],[Cell_ID]],Registre_Maintenance[],5,FALSE),"")</f>
        <v>3G</v>
      </c>
      <c r="L161" t="str">
        <f>IFERROR(VLOOKUP(Master8[[#This Row],[Cell_ID]],Registre_Maintenance[],6,FALSE),"")</f>
        <v>Huawei</v>
      </c>
      <c r="M161" s="1" t="str">
        <f>VLOOKUP(Master8[[#This Row],[Province_RDC]],Client[],2,FALSE)</f>
        <v>CLI-00837</v>
      </c>
      <c r="N161" s="1">
        <f>VLOOKUP(Master8[[#This Row],[Province_RDC]],Client[],3,FALSE)</f>
        <v>16</v>
      </c>
      <c r="O161" s="1" t="str">
        <f>VLOOKUP(Master8[[#This Row],[Province_RDC]],Client[],4,FALSE)</f>
        <v>Bloqué 5Go</v>
      </c>
      <c r="P161" s="1">
        <f>VLOOKUP(Master8[[#This Row],[Province_RDC]],Client[],5,FALSE)</f>
        <v>390</v>
      </c>
      <c r="Q161" s="1">
        <f>VLOOKUP(Master8[[#This Row],[Province_RDC]],Client[],6,FALSE)</f>
        <v>98.17</v>
      </c>
      <c r="R161" s="1">
        <f>VLOOKUP(Master8[[#This Row],[Province_RDC]],Client[],7,FALSE)</f>
        <v>5</v>
      </c>
      <c r="S161" s="1" t="str">
        <f>IF(Master8[[#This Row],[Type_Forfait]]="Pro Monde","B2B","B2C")</f>
        <v>B2C</v>
      </c>
      <c r="T161" s="1">
        <f>Master8[[#This Row],[Anciennete_Mois]]/12</f>
        <v>1.3333333333333333</v>
      </c>
      <c r="U161" s="1">
        <f>Master8[[#This Row],[Duree_Cumule_Panne_Min]]/60</f>
        <v>6.5</v>
      </c>
      <c r="V16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1" s="6">
        <f>Master8[[#This Row],[Facture_Mensuelle]]*Master8[[#This Row],[Remise]]</f>
        <v>44.176500000000004</v>
      </c>
    </row>
    <row r="162" spans="1:24" x14ac:dyDescent="0.25">
      <c r="A162" s="1" t="s">
        <v>730</v>
      </c>
      <c r="B162" t="str">
        <f>IFERROR(VLOOKUP(Master8[[#This Row],[Cell_ID]],Registre_Maintenance[],2,FALSE),"")</f>
        <v>Nord-Kivu</v>
      </c>
      <c r="C162" s="1" t="s">
        <v>758</v>
      </c>
      <c r="D162" s="2">
        <v>45201.884722222218</v>
      </c>
      <c r="E162" s="3">
        <v>45201.884722222218</v>
      </c>
      <c r="F162">
        <v>54</v>
      </c>
      <c r="G162">
        <f>Master8[[#This Row],[Duree_Panne_Min]]/60</f>
        <v>0.9</v>
      </c>
      <c r="H162" s="1" t="s">
        <v>737</v>
      </c>
      <c r="I162">
        <f>IFERROR(VLOOKUP(Master8[[#This Row],[Cell_ID]],Registre_Maintenance[],3,FALSE),"")</f>
        <v>4.6287159999999998</v>
      </c>
      <c r="J162">
        <f>IFERROR(VLOOKUP(Master8[[#This Row],[Cell_ID]],Registre_Maintenance[],4,FALSE),"")</f>
        <v>19.407077999999998</v>
      </c>
      <c r="K162" t="str">
        <f>IFERROR(VLOOKUP(Master8[[#This Row],[Cell_ID]],Registre_Maintenance[],5,FALSE),"")</f>
        <v>4G</v>
      </c>
      <c r="L162" t="str">
        <f>IFERROR(VLOOKUP(Master8[[#This Row],[Cell_ID]],Registre_Maintenance[],6,FALSE),"")</f>
        <v>Ericsson</v>
      </c>
      <c r="M162" s="1" t="str">
        <f>VLOOKUP(Master8[[#This Row],[Province_RDC]],Client[],2,FALSE)</f>
        <v>CLI-00837</v>
      </c>
      <c r="N162" s="1">
        <f>VLOOKUP(Master8[[#This Row],[Province_RDC]],Client[],3,FALSE)</f>
        <v>16</v>
      </c>
      <c r="O162" s="1" t="str">
        <f>VLOOKUP(Master8[[#This Row],[Province_RDC]],Client[],4,FALSE)</f>
        <v>Bloqué 5Go</v>
      </c>
      <c r="P162" s="1">
        <f>VLOOKUP(Master8[[#This Row],[Province_RDC]],Client[],5,FALSE)</f>
        <v>390</v>
      </c>
      <c r="Q162" s="1">
        <f>VLOOKUP(Master8[[#This Row],[Province_RDC]],Client[],6,FALSE)</f>
        <v>98.17</v>
      </c>
      <c r="R162" s="1">
        <f>VLOOKUP(Master8[[#This Row],[Province_RDC]],Client[],7,FALSE)</f>
        <v>5</v>
      </c>
      <c r="S162" s="1" t="str">
        <f>IF(Master8[[#This Row],[Type_Forfait]]="Pro Monde","B2B","B2C")</f>
        <v>B2C</v>
      </c>
      <c r="T162" s="1">
        <f>Master8[[#This Row],[Anciennete_Mois]]/12</f>
        <v>1.3333333333333333</v>
      </c>
      <c r="U162" s="1">
        <f>Master8[[#This Row],[Duree_Cumule_Panne_Min]]/60</f>
        <v>6.5</v>
      </c>
      <c r="V16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2" s="6">
        <f>Master8[[#This Row],[Facture_Mensuelle]]*Master8[[#This Row],[Remise]]</f>
        <v>44.176500000000004</v>
      </c>
    </row>
    <row r="163" spans="1:24" x14ac:dyDescent="0.25">
      <c r="A163" s="1" t="s">
        <v>1382</v>
      </c>
      <c r="B163" t="str">
        <f>IFERROR(VLOOKUP(Master8[[#This Row],[Cell_ID]],Registre_Maintenance[],2,FALSE),"")</f>
        <v>Nord-Kivu</v>
      </c>
      <c r="C163" s="1" t="s">
        <v>900</v>
      </c>
      <c r="D163" s="2">
        <v>45201.877083333333</v>
      </c>
      <c r="E163" s="3">
        <v>45201.877083333333</v>
      </c>
      <c r="F163">
        <v>82</v>
      </c>
      <c r="G163">
        <f>Master8[[#This Row],[Duree_Panne_Min]]/60</f>
        <v>1.3666666666666667</v>
      </c>
      <c r="H163" s="1" t="s">
        <v>737</v>
      </c>
      <c r="I163">
        <f>IFERROR(VLOOKUP(Master8[[#This Row],[Cell_ID]],Registre_Maintenance[],3,FALSE),"")</f>
        <v>-12.336202</v>
      </c>
      <c r="J163">
        <f>IFERROR(VLOOKUP(Master8[[#This Row],[Cell_ID]],Registre_Maintenance[],4,FALSE),"")</f>
        <v>13.693683999999999</v>
      </c>
      <c r="K163" t="str">
        <f>IFERROR(VLOOKUP(Master8[[#This Row],[Cell_ID]],Registre_Maintenance[],5,FALSE),"")</f>
        <v>5G</v>
      </c>
      <c r="L163" t="str">
        <f>IFERROR(VLOOKUP(Master8[[#This Row],[Cell_ID]],Registre_Maintenance[],6,FALSE),"")</f>
        <v>Huawei</v>
      </c>
      <c r="M163" s="1" t="str">
        <f>VLOOKUP(Master8[[#This Row],[Province_RDC]],Client[],2,FALSE)</f>
        <v>CLI-00837</v>
      </c>
      <c r="N163" s="1">
        <f>VLOOKUP(Master8[[#This Row],[Province_RDC]],Client[],3,FALSE)</f>
        <v>16</v>
      </c>
      <c r="O163" s="1" t="str">
        <f>VLOOKUP(Master8[[#This Row],[Province_RDC]],Client[],4,FALSE)</f>
        <v>Bloqué 5Go</v>
      </c>
      <c r="P163" s="1">
        <f>VLOOKUP(Master8[[#This Row],[Province_RDC]],Client[],5,FALSE)</f>
        <v>390</v>
      </c>
      <c r="Q163" s="1">
        <f>VLOOKUP(Master8[[#This Row],[Province_RDC]],Client[],6,FALSE)</f>
        <v>98.17</v>
      </c>
      <c r="R163" s="1">
        <f>VLOOKUP(Master8[[#This Row],[Province_RDC]],Client[],7,FALSE)</f>
        <v>5</v>
      </c>
      <c r="S163" s="1" t="str">
        <f>IF(Master8[[#This Row],[Type_Forfait]]="Pro Monde","B2B","B2C")</f>
        <v>B2C</v>
      </c>
      <c r="T163" s="1">
        <f>Master8[[#This Row],[Anciennete_Mois]]/12</f>
        <v>1.3333333333333333</v>
      </c>
      <c r="U163" s="1">
        <f>Master8[[#This Row],[Duree_Cumule_Panne_Min]]/60</f>
        <v>6.5</v>
      </c>
      <c r="V16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3" s="6">
        <f>Master8[[#This Row],[Facture_Mensuelle]]*Master8[[#This Row],[Remise]]</f>
        <v>44.176500000000004</v>
      </c>
    </row>
    <row r="164" spans="1:24" x14ac:dyDescent="0.25">
      <c r="A164" s="1" t="s">
        <v>779</v>
      </c>
      <c r="B164" t="str">
        <f>IFERROR(VLOOKUP(Master8[[#This Row],[Cell_ID]],Registre_Maintenance[],2,FALSE),"")</f>
        <v>Nord-Kivu</v>
      </c>
      <c r="C164" s="1" t="s">
        <v>797</v>
      </c>
      <c r="D164" s="2">
        <v>45201.224999999999</v>
      </c>
      <c r="E164" s="3">
        <v>45201.224999999999</v>
      </c>
      <c r="F164">
        <v>83</v>
      </c>
      <c r="G164">
        <f>Master8[[#This Row],[Duree_Panne_Min]]/60</f>
        <v>1.3833333333333333</v>
      </c>
      <c r="H164" s="1" t="s">
        <v>735</v>
      </c>
      <c r="I164">
        <f>IFERROR(VLOOKUP(Master8[[#This Row],[Cell_ID]],Registre_Maintenance[],3,FALSE),"")</f>
        <v>0.82868600000000003</v>
      </c>
      <c r="J164">
        <f>IFERROR(VLOOKUP(Master8[[#This Row],[Cell_ID]],Registre_Maintenance[],4,FALSE),"")</f>
        <v>26.958843999999999</v>
      </c>
      <c r="K164" t="str">
        <f>IFERROR(VLOOKUP(Master8[[#This Row],[Cell_ID]],Registre_Maintenance[],5,FALSE),"")</f>
        <v>5G</v>
      </c>
      <c r="L164" t="str">
        <f>IFERROR(VLOOKUP(Master8[[#This Row],[Cell_ID]],Registre_Maintenance[],6,FALSE),"")</f>
        <v>ZTE</v>
      </c>
      <c r="M164" s="1" t="str">
        <f>VLOOKUP(Master8[[#This Row],[Province_RDC]],Client[],2,FALSE)</f>
        <v>CLI-00837</v>
      </c>
      <c r="N164" s="1">
        <f>VLOOKUP(Master8[[#This Row],[Province_RDC]],Client[],3,FALSE)</f>
        <v>16</v>
      </c>
      <c r="O164" s="1" t="str">
        <f>VLOOKUP(Master8[[#This Row],[Province_RDC]],Client[],4,FALSE)</f>
        <v>Bloqué 5Go</v>
      </c>
      <c r="P164" s="1">
        <f>VLOOKUP(Master8[[#This Row],[Province_RDC]],Client[],5,FALSE)</f>
        <v>390</v>
      </c>
      <c r="Q164" s="1">
        <f>VLOOKUP(Master8[[#This Row],[Province_RDC]],Client[],6,FALSE)</f>
        <v>98.17</v>
      </c>
      <c r="R164" s="1">
        <f>VLOOKUP(Master8[[#This Row],[Province_RDC]],Client[],7,FALSE)</f>
        <v>5</v>
      </c>
      <c r="S164" s="1" t="str">
        <f>IF(Master8[[#This Row],[Type_Forfait]]="Pro Monde","B2B","B2C")</f>
        <v>B2C</v>
      </c>
      <c r="T164" s="1">
        <f>Master8[[#This Row],[Anciennete_Mois]]/12</f>
        <v>1.3333333333333333</v>
      </c>
      <c r="U164" s="1">
        <f>Master8[[#This Row],[Duree_Cumule_Panne_Min]]/60</f>
        <v>6.5</v>
      </c>
      <c r="V16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4" s="6">
        <f>Master8[[#This Row],[Facture_Mensuelle]]*Master8[[#This Row],[Remise]]</f>
        <v>44.176500000000004</v>
      </c>
    </row>
    <row r="165" spans="1:24" x14ac:dyDescent="0.25">
      <c r="A165" s="1" t="s">
        <v>1361</v>
      </c>
      <c r="B165" t="str">
        <f>IFERROR(VLOOKUP(Master8[[#This Row],[Cell_ID]],Registre_Maintenance[],2,FALSE),"")</f>
        <v>Nord-Kivu</v>
      </c>
      <c r="C165" s="1" t="s">
        <v>797</v>
      </c>
      <c r="D165" s="2">
        <v>45201.212500000001</v>
      </c>
      <c r="E165" s="3">
        <v>45201.212500000001</v>
      </c>
      <c r="F165">
        <v>40</v>
      </c>
      <c r="G165">
        <f>Master8[[#This Row],[Duree_Panne_Min]]/60</f>
        <v>0.66666666666666663</v>
      </c>
      <c r="H165" s="1" t="s">
        <v>735</v>
      </c>
      <c r="I165">
        <f>IFERROR(VLOOKUP(Master8[[#This Row],[Cell_ID]],Registre_Maintenance[],3,FALSE),"")</f>
        <v>0.82868600000000003</v>
      </c>
      <c r="J165">
        <f>IFERROR(VLOOKUP(Master8[[#This Row],[Cell_ID]],Registre_Maintenance[],4,FALSE),"")</f>
        <v>26.958843999999999</v>
      </c>
      <c r="K165" t="str">
        <f>IFERROR(VLOOKUP(Master8[[#This Row],[Cell_ID]],Registre_Maintenance[],5,FALSE),"")</f>
        <v>5G</v>
      </c>
      <c r="L165" t="str">
        <f>IFERROR(VLOOKUP(Master8[[#This Row],[Cell_ID]],Registre_Maintenance[],6,FALSE),"")</f>
        <v>ZTE</v>
      </c>
      <c r="M165" s="1" t="str">
        <f>VLOOKUP(Master8[[#This Row],[Province_RDC]],Client[],2,FALSE)</f>
        <v>CLI-00837</v>
      </c>
      <c r="N165" s="1">
        <f>VLOOKUP(Master8[[#This Row],[Province_RDC]],Client[],3,FALSE)</f>
        <v>16</v>
      </c>
      <c r="O165" s="1" t="str">
        <f>VLOOKUP(Master8[[#This Row],[Province_RDC]],Client[],4,FALSE)</f>
        <v>Bloqué 5Go</v>
      </c>
      <c r="P165" s="1">
        <f>VLOOKUP(Master8[[#This Row],[Province_RDC]],Client[],5,FALSE)</f>
        <v>390</v>
      </c>
      <c r="Q165" s="1">
        <f>VLOOKUP(Master8[[#This Row],[Province_RDC]],Client[],6,FALSE)</f>
        <v>98.17</v>
      </c>
      <c r="R165" s="1">
        <f>VLOOKUP(Master8[[#This Row],[Province_RDC]],Client[],7,FALSE)</f>
        <v>5</v>
      </c>
      <c r="S165" s="1" t="str">
        <f>IF(Master8[[#This Row],[Type_Forfait]]="Pro Monde","B2B","B2C")</f>
        <v>B2C</v>
      </c>
      <c r="T165" s="1">
        <f>Master8[[#This Row],[Anciennete_Mois]]/12</f>
        <v>1.3333333333333333</v>
      </c>
      <c r="U165" s="1">
        <f>Master8[[#This Row],[Duree_Cumule_Panne_Min]]/60</f>
        <v>6.5</v>
      </c>
      <c r="V16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5" s="6">
        <f>Master8[[#This Row],[Facture_Mensuelle]]*Master8[[#This Row],[Remise]]</f>
        <v>44.176500000000004</v>
      </c>
    </row>
    <row r="166" spans="1:24" x14ac:dyDescent="0.25">
      <c r="A166" s="1" t="s">
        <v>1404</v>
      </c>
      <c r="B166" t="str">
        <f>IFERROR(VLOOKUP(Master8[[#This Row],[Cell_ID]],Registre_Maintenance[],2,FALSE),"")</f>
        <v>Nord-Kivu</v>
      </c>
      <c r="C166" s="1" t="s">
        <v>927</v>
      </c>
      <c r="D166" s="2">
        <v>45201.086111111108</v>
      </c>
      <c r="E166" s="3">
        <v>45201.086111111108</v>
      </c>
      <c r="F166">
        <v>55</v>
      </c>
      <c r="G166">
        <f>Master8[[#This Row],[Duree_Panne_Min]]/60</f>
        <v>0.91666666666666663</v>
      </c>
      <c r="H166" s="1" t="s">
        <v>732</v>
      </c>
      <c r="I166">
        <f>IFERROR(VLOOKUP(Master8[[#This Row],[Cell_ID]],Registre_Maintenance[],3,FALSE),"")</f>
        <v>-1.8555980000000001</v>
      </c>
      <c r="J166">
        <f>IFERROR(VLOOKUP(Master8[[#This Row],[Cell_ID]],Registre_Maintenance[],4,FALSE),"")</f>
        <v>30.421918000000002</v>
      </c>
      <c r="K166" t="str">
        <f>IFERROR(VLOOKUP(Master8[[#This Row],[Cell_ID]],Registre_Maintenance[],5,FALSE),"")</f>
        <v>3G</v>
      </c>
      <c r="L166" t="str">
        <f>IFERROR(VLOOKUP(Master8[[#This Row],[Cell_ID]],Registre_Maintenance[],6,FALSE),"")</f>
        <v>ZTE</v>
      </c>
      <c r="M166" s="1" t="str">
        <f>VLOOKUP(Master8[[#This Row],[Province_RDC]],Client[],2,FALSE)</f>
        <v>CLI-00837</v>
      </c>
      <c r="N166" s="1">
        <f>VLOOKUP(Master8[[#This Row],[Province_RDC]],Client[],3,FALSE)</f>
        <v>16</v>
      </c>
      <c r="O166" s="1" t="str">
        <f>VLOOKUP(Master8[[#This Row],[Province_RDC]],Client[],4,FALSE)</f>
        <v>Bloqué 5Go</v>
      </c>
      <c r="P166" s="1">
        <f>VLOOKUP(Master8[[#This Row],[Province_RDC]],Client[],5,FALSE)</f>
        <v>390</v>
      </c>
      <c r="Q166" s="1">
        <f>VLOOKUP(Master8[[#This Row],[Province_RDC]],Client[],6,FALSE)</f>
        <v>98.17</v>
      </c>
      <c r="R166" s="1">
        <f>VLOOKUP(Master8[[#This Row],[Province_RDC]],Client[],7,FALSE)</f>
        <v>5</v>
      </c>
      <c r="S166" s="1" t="str">
        <f>IF(Master8[[#This Row],[Type_Forfait]]="Pro Monde","B2B","B2C")</f>
        <v>B2C</v>
      </c>
      <c r="T166" s="1">
        <f>Master8[[#This Row],[Anciennete_Mois]]/12</f>
        <v>1.3333333333333333</v>
      </c>
      <c r="U166" s="1">
        <f>Master8[[#This Row],[Duree_Cumule_Panne_Min]]/60</f>
        <v>6.5</v>
      </c>
      <c r="V16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6" s="6">
        <f>Master8[[#This Row],[Facture_Mensuelle]]*Master8[[#This Row],[Remise]]</f>
        <v>44.176500000000004</v>
      </c>
    </row>
    <row r="167" spans="1:24" x14ac:dyDescent="0.25">
      <c r="A167" s="1" t="s">
        <v>1024</v>
      </c>
      <c r="B167" t="str">
        <f>IFERROR(VLOOKUP(Master8[[#This Row],[Cell_ID]],Registre_Maintenance[],2,FALSE),"")</f>
        <v>Mongala</v>
      </c>
      <c r="C167" s="1" t="s">
        <v>1054</v>
      </c>
      <c r="D167" s="2">
        <v>45230.26458333333</v>
      </c>
      <c r="E167" s="3">
        <v>45230.26458333333</v>
      </c>
      <c r="F167">
        <v>62</v>
      </c>
      <c r="G167">
        <f>Master8[[#This Row],[Duree_Panne_Min]]/60</f>
        <v>1.0333333333333334</v>
      </c>
      <c r="H167" s="1" t="s">
        <v>732</v>
      </c>
      <c r="I167">
        <f>IFERROR(VLOOKUP(Master8[[#This Row],[Cell_ID]],Registre_Maintenance[],3,FALSE),"")</f>
        <v>3.6344850000000002</v>
      </c>
      <c r="J167">
        <f>IFERROR(VLOOKUP(Master8[[#This Row],[Cell_ID]],Registre_Maintenance[],4,FALSE),"")</f>
        <v>12.158348999999999</v>
      </c>
      <c r="K167" t="str">
        <f>IFERROR(VLOOKUP(Master8[[#This Row],[Cell_ID]],Registre_Maintenance[],5,FALSE),"")</f>
        <v>5G</v>
      </c>
      <c r="L167" t="str">
        <f>IFERROR(VLOOKUP(Master8[[#This Row],[Cell_ID]],Registre_Maintenance[],6,FALSE),"")</f>
        <v>Ericsson</v>
      </c>
      <c r="M167" s="1" t="str">
        <f>VLOOKUP(Master8[[#This Row],[Province_RDC]],Client[],2,FALSE)</f>
        <v>CLI-00865</v>
      </c>
      <c r="N167" s="1">
        <f>VLOOKUP(Master8[[#This Row],[Province_RDC]],Client[],3,FALSE)</f>
        <v>34</v>
      </c>
      <c r="O167" s="1" t="str">
        <f>VLOOKUP(Master8[[#This Row],[Province_RDC]],Client[],4,FALSE)</f>
        <v>Pro Monde</v>
      </c>
      <c r="P167" s="1">
        <f>VLOOKUP(Master8[[#This Row],[Province_RDC]],Client[],5,FALSE)</f>
        <v>453</v>
      </c>
      <c r="Q167" s="1">
        <f>VLOOKUP(Master8[[#This Row],[Province_RDC]],Client[],6,FALSE)</f>
        <v>56.84</v>
      </c>
      <c r="R167" s="1">
        <f>VLOOKUP(Master8[[#This Row],[Province_RDC]],Client[],7,FALSE)</f>
        <v>0</v>
      </c>
      <c r="S167" s="1" t="str">
        <f>IF(Master8[[#This Row],[Type_Forfait]]="Pro Monde","B2B","B2C")</f>
        <v>B2B</v>
      </c>
      <c r="T167" s="1">
        <f>Master8[[#This Row],[Anciennete_Mois]]/12</f>
        <v>2.8333333333333335</v>
      </c>
      <c r="U167" s="1">
        <f>Master8[[#This Row],[Duree_Cumule_Panne_Min]]/60</f>
        <v>7.55</v>
      </c>
      <c r="V16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7" s="6">
        <f>Master8[[#This Row],[Facture_Mensuelle]]*Master8[[#This Row],[Remise]]</f>
        <v>25.578000000000003</v>
      </c>
    </row>
    <row r="168" spans="1:24" x14ac:dyDescent="0.25">
      <c r="A168" s="1" t="s">
        <v>1024</v>
      </c>
      <c r="B168" t="str">
        <f>IFERROR(VLOOKUP(Master8[[#This Row],[Cell_ID]],Registre_Maintenance[],2,FALSE),"")</f>
        <v>Mongala</v>
      </c>
      <c r="C168" s="1" t="s">
        <v>1026</v>
      </c>
      <c r="D168" s="2">
        <v>45226.37777777778</v>
      </c>
      <c r="E168" s="3">
        <v>45226.37777777778</v>
      </c>
      <c r="F168">
        <v>74</v>
      </c>
      <c r="G168">
        <f>Master8[[#This Row],[Duree_Panne_Min]]/60</f>
        <v>1.2333333333333334</v>
      </c>
      <c r="H168" s="1" t="s">
        <v>737</v>
      </c>
      <c r="I168">
        <f>IFERROR(VLOOKUP(Master8[[#This Row],[Cell_ID]],Registre_Maintenance[],3,FALSE),"")</f>
        <v>4.6809229999999999</v>
      </c>
      <c r="J168">
        <f>IFERROR(VLOOKUP(Master8[[#This Row],[Cell_ID]],Registre_Maintenance[],4,FALSE),"")</f>
        <v>28.934242000000001</v>
      </c>
      <c r="K168" t="str">
        <f>IFERROR(VLOOKUP(Master8[[#This Row],[Cell_ID]],Registre_Maintenance[],5,FALSE),"")</f>
        <v>5G</v>
      </c>
      <c r="L168" t="str">
        <f>IFERROR(VLOOKUP(Master8[[#This Row],[Cell_ID]],Registre_Maintenance[],6,FALSE),"")</f>
        <v>Nokia</v>
      </c>
      <c r="M168" s="1" t="str">
        <f>VLOOKUP(Master8[[#This Row],[Province_RDC]],Client[],2,FALSE)</f>
        <v>CLI-00865</v>
      </c>
      <c r="N168" s="1">
        <f>VLOOKUP(Master8[[#This Row],[Province_RDC]],Client[],3,FALSE)</f>
        <v>34</v>
      </c>
      <c r="O168" s="1" t="str">
        <f>VLOOKUP(Master8[[#This Row],[Province_RDC]],Client[],4,FALSE)</f>
        <v>Pro Monde</v>
      </c>
      <c r="P168" s="1">
        <f>VLOOKUP(Master8[[#This Row],[Province_RDC]],Client[],5,FALSE)</f>
        <v>453</v>
      </c>
      <c r="Q168" s="1">
        <f>VLOOKUP(Master8[[#This Row],[Province_RDC]],Client[],6,FALSE)</f>
        <v>56.84</v>
      </c>
      <c r="R168" s="1">
        <f>VLOOKUP(Master8[[#This Row],[Province_RDC]],Client[],7,FALSE)</f>
        <v>0</v>
      </c>
      <c r="S168" s="1" t="str">
        <f>IF(Master8[[#This Row],[Type_Forfait]]="Pro Monde","B2B","B2C")</f>
        <v>B2B</v>
      </c>
      <c r="T168" s="1">
        <f>Master8[[#This Row],[Anciennete_Mois]]/12</f>
        <v>2.8333333333333335</v>
      </c>
      <c r="U168" s="1">
        <f>Master8[[#This Row],[Duree_Cumule_Panne_Min]]/60</f>
        <v>7.55</v>
      </c>
      <c r="V16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8" s="6">
        <f>Master8[[#This Row],[Facture_Mensuelle]]*Master8[[#This Row],[Remise]]</f>
        <v>25.578000000000003</v>
      </c>
    </row>
    <row r="169" spans="1:24" x14ac:dyDescent="0.25">
      <c r="A169" s="1" t="s">
        <v>1361</v>
      </c>
      <c r="B169" t="str">
        <f>IFERROR(VLOOKUP(Master8[[#This Row],[Cell_ID]],Registre_Maintenance[],2,FALSE),"")</f>
        <v>Mongala</v>
      </c>
      <c r="C169" s="1" t="s">
        <v>1041</v>
      </c>
      <c r="D169" s="2">
        <v>45223.759722222218</v>
      </c>
      <c r="E169" s="3">
        <v>45223.759722222218</v>
      </c>
      <c r="F169">
        <v>78</v>
      </c>
      <c r="G169">
        <f>Master8[[#This Row],[Duree_Panne_Min]]/60</f>
        <v>1.3</v>
      </c>
      <c r="H169" s="1" t="s">
        <v>735</v>
      </c>
      <c r="I169">
        <f>IFERROR(VLOOKUP(Master8[[#This Row],[Cell_ID]],Registre_Maintenance[],3,FALSE),"")</f>
        <v>-5.3762689999999997</v>
      </c>
      <c r="J169">
        <f>IFERROR(VLOOKUP(Master8[[#This Row],[Cell_ID]],Registre_Maintenance[],4,FALSE),"")</f>
        <v>28.189575999999999</v>
      </c>
      <c r="K169" t="str">
        <f>IFERROR(VLOOKUP(Master8[[#This Row],[Cell_ID]],Registre_Maintenance[],5,FALSE),"")</f>
        <v>5G</v>
      </c>
      <c r="L169" t="str">
        <f>IFERROR(VLOOKUP(Master8[[#This Row],[Cell_ID]],Registre_Maintenance[],6,FALSE),"")</f>
        <v>Huawei</v>
      </c>
      <c r="M169" s="1" t="str">
        <f>VLOOKUP(Master8[[#This Row],[Province_RDC]],Client[],2,FALSE)</f>
        <v>CLI-00865</v>
      </c>
      <c r="N169" s="1">
        <f>VLOOKUP(Master8[[#This Row],[Province_RDC]],Client[],3,FALSE)</f>
        <v>34</v>
      </c>
      <c r="O169" s="1" t="str">
        <f>VLOOKUP(Master8[[#This Row],[Province_RDC]],Client[],4,FALSE)</f>
        <v>Pro Monde</v>
      </c>
      <c r="P169" s="1">
        <f>VLOOKUP(Master8[[#This Row],[Province_RDC]],Client[],5,FALSE)</f>
        <v>453</v>
      </c>
      <c r="Q169" s="1">
        <f>VLOOKUP(Master8[[#This Row],[Province_RDC]],Client[],6,FALSE)</f>
        <v>56.84</v>
      </c>
      <c r="R169" s="1">
        <f>VLOOKUP(Master8[[#This Row],[Province_RDC]],Client[],7,FALSE)</f>
        <v>0</v>
      </c>
      <c r="S169" s="1" t="str">
        <f>IF(Master8[[#This Row],[Type_Forfait]]="Pro Monde","B2B","B2C")</f>
        <v>B2B</v>
      </c>
      <c r="T169" s="1">
        <f>Master8[[#This Row],[Anciennete_Mois]]/12</f>
        <v>2.8333333333333335</v>
      </c>
      <c r="U169" s="1">
        <f>Master8[[#This Row],[Duree_Cumule_Panne_Min]]/60</f>
        <v>7.55</v>
      </c>
      <c r="V16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6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69" s="6">
        <f>Master8[[#This Row],[Facture_Mensuelle]]*Master8[[#This Row],[Remise]]</f>
        <v>25.578000000000003</v>
      </c>
    </row>
    <row r="170" spans="1:24" x14ac:dyDescent="0.25">
      <c r="A170" s="1" t="s">
        <v>1114</v>
      </c>
      <c r="B170" t="str">
        <f>IFERROR(VLOOKUP(Master8[[#This Row],[Cell_ID]],Registre_Maintenance[],2,FALSE),"")</f>
        <v>Mongala</v>
      </c>
      <c r="C170" s="1" t="s">
        <v>1046</v>
      </c>
      <c r="D170" s="2">
        <v>45223.400694444441</v>
      </c>
      <c r="E170" s="3">
        <v>45223.400694444441</v>
      </c>
      <c r="F170">
        <v>41</v>
      </c>
      <c r="G170">
        <f>Master8[[#This Row],[Duree_Panne_Min]]/60</f>
        <v>0.68333333333333335</v>
      </c>
      <c r="H170" s="1" t="s">
        <v>737</v>
      </c>
      <c r="I170">
        <f>IFERROR(VLOOKUP(Master8[[#This Row],[Cell_ID]],Registre_Maintenance[],3,FALSE),"")</f>
        <v>-1.231033</v>
      </c>
      <c r="J170">
        <f>IFERROR(VLOOKUP(Master8[[#This Row],[Cell_ID]],Registre_Maintenance[],4,FALSE),"")</f>
        <v>28.851388</v>
      </c>
      <c r="K170" t="str">
        <f>IFERROR(VLOOKUP(Master8[[#This Row],[Cell_ID]],Registre_Maintenance[],5,FALSE),"")</f>
        <v>3G</v>
      </c>
      <c r="L170" t="str">
        <f>IFERROR(VLOOKUP(Master8[[#This Row],[Cell_ID]],Registre_Maintenance[],6,FALSE),"")</f>
        <v>Ericsson</v>
      </c>
      <c r="M170" s="1" t="str">
        <f>VLOOKUP(Master8[[#This Row],[Province_RDC]],Client[],2,FALSE)</f>
        <v>CLI-00865</v>
      </c>
      <c r="N170" s="1">
        <f>VLOOKUP(Master8[[#This Row],[Province_RDC]],Client[],3,FALSE)</f>
        <v>34</v>
      </c>
      <c r="O170" s="1" t="str">
        <f>VLOOKUP(Master8[[#This Row],[Province_RDC]],Client[],4,FALSE)</f>
        <v>Pro Monde</v>
      </c>
      <c r="P170" s="1">
        <f>VLOOKUP(Master8[[#This Row],[Province_RDC]],Client[],5,FALSE)</f>
        <v>453</v>
      </c>
      <c r="Q170" s="1">
        <f>VLOOKUP(Master8[[#This Row],[Province_RDC]],Client[],6,FALSE)</f>
        <v>56.84</v>
      </c>
      <c r="R170" s="1">
        <f>VLOOKUP(Master8[[#This Row],[Province_RDC]],Client[],7,FALSE)</f>
        <v>0</v>
      </c>
      <c r="S170" s="1" t="str">
        <f>IF(Master8[[#This Row],[Type_Forfait]]="Pro Monde","B2B","B2C")</f>
        <v>B2B</v>
      </c>
      <c r="T170" s="1">
        <f>Master8[[#This Row],[Anciennete_Mois]]/12</f>
        <v>2.8333333333333335</v>
      </c>
      <c r="U170" s="1">
        <f>Master8[[#This Row],[Duree_Cumule_Panne_Min]]/60</f>
        <v>7.55</v>
      </c>
      <c r="V17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0" s="6">
        <f>Master8[[#This Row],[Facture_Mensuelle]]*Master8[[#This Row],[Remise]]</f>
        <v>25.578000000000003</v>
      </c>
    </row>
    <row r="171" spans="1:24" x14ac:dyDescent="0.25">
      <c r="A171" s="1" t="s">
        <v>1219</v>
      </c>
      <c r="B171" t="str">
        <f>IFERROR(VLOOKUP(Master8[[#This Row],[Cell_ID]],Registre_Maintenance[],2,FALSE),"")</f>
        <v>Mongala</v>
      </c>
      <c r="C171" s="1" t="s">
        <v>1041</v>
      </c>
      <c r="D171" s="2">
        <v>45222.188888888893</v>
      </c>
      <c r="E171" s="3">
        <v>45222.188888888893</v>
      </c>
      <c r="F171">
        <v>33</v>
      </c>
      <c r="G171">
        <f>Master8[[#This Row],[Duree_Panne_Min]]/60</f>
        <v>0.55000000000000004</v>
      </c>
      <c r="H171" s="1" t="s">
        <v>732</v>
      </c>
      <c r="I171">
        <f>IFERROR(VLOOKUP(Master8[[#This Row],[Cell_ID]],Registre_Maintenance[],3,FALSE),"")</f>
        <v>-5.3762689999999997</v>
      </c>
      <c r="J171">
        <f>IFERROR(VLOOKUP(Master8[[#This Row],[Cell_ID]],Registre_Maintenance[],4,FALSE),"")</f>
        <v>28.189575999999999</v>
      </c>
      <c r="K171" t="str">
        <f>IFERROR(VLOOKUP(Master8[[#This Row],[Cell_ID]],Registre_Maintenance[],5,FALSE),"")</f>
        <v>5G</v>
      </c>
      <c r="L171" t="str">
        <f>IFERROR(VLOOKUP(Master8[[#This Row],[Cell_ID]],Registre_Maintenance[],6,FALSE),"")</f>
        <v>Huawei</v>
      </c>
      <c r="M171" s="1" t="str">
        <f>VLOOKUP(Master8[[#This Row],[Province_RDC]],Client[],2,FALSE)</f>
        <v>CLI-00865</v>
      </c>
      <c r="N171" s="1">
        <f>VLOOKUP(Master8[[#This Row],[Province_RDC]],Client[],3,FALSE)</f>
        <v>34</v>
      </c>
      <c r="O171" s="1" t="str">
        <f>VLOOKUP(Master8[[#This Row],[Province_RDC]],Client[],4,FALSE)</f>
        <v>Pro Monde</v>
      </c>
      <c r="P171" s="1">
        <f>VLOOKUP(Master8[[#This Row],[Province_RDC]],Client[],5,FALSE)</f>
        <v>453</v>
      </c>
      <c r="Q171" s="1">
        <f>VLOOKUP(Master8[[#This Row],[Province_RDC]],Client[],6,FALSE)</f>
        <v>56.84</v>
      </c>
      <c r="R171" s="1">
        <f>VLOOKUP(Master8[[#This Row],[Province_RDC]],Client[],7,FALSE)</f>
        <v>0</v>
      </c>
      <c r="S171" s="1" t="str">
        <f>IF(Master8[[#This Row],[Type_Forfait]]="Pro Monde","B2B","B2C")</f>
        <v>B2B</v>
      </c>
      <c r="T171" s="1">
        <f>Master8[[#This Row],[Anciennete_Mois]]/12</f>
        <v>2.8333333333333335</v>
      </c>
      <c r="U171" s="1">
        <f>Master8[[#This Row],[Duree_Cumule_Panne_Min]]/60</f>
        <v>7.55</v>
      </c>
      <c r="V17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1" s="6">
        <f>Master8[[#This Row],[Facture_Mensuelle]]*Master8[[#This Row],[Remise]]</f>
        <v>25.578000000000003</v>
      </c>
    </row>
    <row r="172" spans="1:24" x14ac:dyDescent="0.25">
      <c r="A172" s="1" t="s">
        <v>779</v>
      </c>
      <c r="B172" t="str">
        <f>IFERROR(VLOOKUP(Master8[[#This Row],[Cell_ID]],Registre_Maintenance[],2,FALSE),"")</f>
        <v>Mongala</v>
      </c>
      <c r="C172" s="1" t="s">
        <v>814</v>
      </c>
      <c r="D172" s="2">
        <v>45221.775000000001</v>
      </c>
      <c r="E172" s="3">
        <v>45221.775000000001</v>
      </c>
      <c r="F172">
        <v>24</v>
      </c>
      <c r="G172">
        <f>Master8[[#This Row],[Duree_Panne_Min]]/60</f>
        <v>0.4</v>
      </c>
      <c r="H172" s="1" t="s">
        <v>732</v>
      </c>
      <c r="I172">
        <f>IFERROR(VLOOKUP(Master8[[#This Row],[Cell_ID]],Registre_Maintenance[],3,FALSE),"")</f>
        <v>-11.514188000000001</v>
      </c>
      <c r="J172">
        <f>IFERROR(VLOOKUP(Master8[[#This Row],[Cell_ID]],Registre_Maintenance[],4,FALSE),"")</f>
        <v>15.971181</v>
      </c>
      <c r="K172" t="str">
        <f>IFERROR(VLOOKUP(Master8[[#This Row],[Cell_ID]],Registre_Maintenance[],5,FALSE),"")</f>
        <v>5G</v>
      </c>
      <c r="L172" t="str">
        <f>IFERROR(VLOOKUP(Master8[[#This Row],[Cell_ID]],Registre_Maintenance[],6,FALSE),"")</f>
        <v>Ericsson</v>
      </c>
      <c r="M172" s="1" t="str">
        <f>VLOOKUP(Master8[[#This Row],[Province_RDC]],Client[],2,FALSE)</f>
        <v>CLI-00865</v>
      </c>
      <c r="N172" s="1">
        <f>VLOOKUP(Master8[[#This Row],[Province_RDC]],Client[],3,FALSE)</f>
        <v>34</v>
      </c>
      <c r="O172" s="1" t="str">
        <f>VLOOKUP(Master8[[#This Row],[Province_RDC]],Client[],4,FALSE)</f>
        <v>Pro Monde</v>
      </c>
      <c r="P172" s="1">
        <f>VLOOKUP(Master8[[#This Row],[Province_RDC]],Client[],5,FALSE)</f>
        <v>453</v>
      </c>
      <c r="Q172" s="1">
        <f>VLOOKUP(Master8[[#This Row],[Province_RDC]],Client[],6,FALSE)</f>
        <v>56.84</v>
      </c>
      <c r="R172" s="1">
        <f>VLOOKUP(Master8[[#This Row],[Province_RDC]],Client[],7,FALSE)</f>
        <v>0</v>
      </c>
      <c r="S172" s="1" t="str">
        <f>IF(Master8[[#This Row],[Type_Forfait]]="Pro Monde","B2B","B2C")</f>
        <v>B2B</v>
      </c>
      <c r="T172" s="1">
        <f>Master8[[#This Row],[Anciennete_Mois]]/12</f>
        <v>2.8333333333333335</v>
      </c>
      <c r="U172" s="1">
        <f>Master8[[#This Row],[Duree_Cumule_Panne_Min]]/60</f>
        <v>7.55</v>
      </c>
      <c r="V17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2" s="6">
        <f>Master8[[#This Row],[Facture_Mensuelle]]*Master8[[#This Row],[Remise]]</f>
        <v>25.578000000000003</v>
      </c>
    </row>
    <row r="173" spans="1:24" x14ac:dyDescent="0.25">
      <c r="A173" s="1" t="s">
        <v>1024</v>
      </c>
      <c r="B173" t="str">
        <f>IFERROR(VLOOKUP(Master8[[#This Row],[Cell_ID]],Registre_Maintenance[],2,FALSE),"")</f>
        <v>Mongala</v>
      </c>
      <c r="C173" s="1" t="s">
        <v>1046</v>
      </c>
      <c r="D173" s="2">
        <v>45221.505555555559</v>
      </c>
      <c r="E173" s="3">
        <v>45221.505555555559</v>
      </c>
      <c r="F173">
        <v>51</v>
      </c>
      <c r="G173">
        <f>Master8[[#This Row],[Duree_Panne_Min]]/60</f>
        <v>0.85</v>
      </c>
      <c r="H173" s="1" t="s">
        <v>732</v>
      </c>
      <c r="I173">
        <f>IFERROR(VLOOKUP(Master8[[#This Row],[Cell_ID]],Registre_Maintenance[],3,FALSE),"")</f>
        <v>-1.231033</v>
      </c>
      <c r="J173">
        <f>IFERROR(VLOOKUP(Master8[[#This Row],[Cell_ID]],Registre_Maintenance[],4,FALSE),"")</f>
        <v>28.851388</v>
      </c>
      <c r="K173" t="str">
        <f>IFERROR(VLOOKUP(Master8[[#This Row],[Cell_ID]],Registre_Maintenance[],5,FALSE),"")</f>
        <v>3G</v>
      </c>
      <c r="L173" t="str">
        <f>IFERROR(VLOOKUP(Master8[[#This Row],[Cell_ID]],Registre_Maintenance[],6,FALSE),"")</f>
        <v>Ericsson</v>
      </c>
      <c r="M173" s="1" t="str">
        <f>VLOOKUP(Master8[[#This Row],[Province_RDC]],Client[],2,FALSE)</f>
        <v>CLI-00865</v>
      </c>
      <c r="N173" s="1">
        <f>VLOOKUP(Master8[[#This Row],[Province_RDC]],Client[],3,FALSE)</f>
        <v>34</v>
      </c>
      <c r="O173" s="1" t="str">
        <f>VLOOKUP(Master8[[#This Row],[Province_RDC]],Client[],4,FALSE)</f>
        <v>Pro Monde</v>
      </c>
      <c r="P173" s="1">
        <f>VLOOKUP(Master8[[#This Row],[Province_RDC]],Client[],5,FALSE)</f>
        <v>453</v>
      </c>
      <c r="Q173" s="1">
        <f>VLOOKUP(Master8[[#This Row],[Province_RDC]],Client[],6,FALSE)</f>
        <v>56.84</v>
      </c>
      <c r="R173" s="1">
        <f>VLOOKUP(Master8[[#This Row],[Province_RDC]],Client[],7,FALSE)</f>
        <v>0</v>
      </c>
      <c r="S173" s="1" t="str">
        <f>IF(Master8[[#This Row],[Type_Forfait]]="Pro Monde","B2B","B2C")</f>
        <v>B2B</v>
      </c>
      <c r="T173" s="1">
        <f>Master8[[#This Row],[Anciennete_Mois]]/12</f>
        <v>2.8333333333333335</v>
      </c>
      <c r="U173" s="1">
        <f>Master8[[#This Row],[Duree_Cumule_Panne_Min]]/60</f>
        <v>7.55</v>
      </c>
      <c r="V17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3" s="6">
        <f>Master8[[#This Row],[Facture_Mensuelle]]*Master8[[#This Row],[Remise]]</f>
        <v>25.578000000000003</v>
      </c>
    </row>
    <row r="174" spans="1:24" x14ac:dyDescent="0.25">
      <c r="A174" s="1" t="s">
        <v>1024</v>
      </c>
      <c r="B174" t="str">
        <f>IFERROR(VLOOKUP(Master8[[#This Row],[Cell_ID]],Registre_Maintenance[],2,FALSE),"")</f>
        <v>Mongala</v>
      </c>
      <c r="C174" s="1" t="s">
        <v>1041</v>
      </c>
      <c r="D174" s="2">
        <v>45217.89166666667</v>
      </c>
      <c r="E174" s="3">
        <v>45217.89166666667</v>
      </c>
      <c r="F174">
        <v>108</v>
      </c>
      <c r="G174">
        <f>Master8[[#This Row],[Duree_Panne_Min]]/60</f>
        <v>1.8</v>
      </c>
      <c r="H174" s="1" t="s">
        <v>737</v>
      </c>
      <c r="I174">
        <f>IFERROR(VLOOKUP(Master8[[#This Row],[Cell_ID]],Registre_Maintenance[],3,FALSE),"")</f>
        <v>-5.3762689999999997</v>
      </c>
      <c r="J174">
        <f>IFERROR(VLOOKUP(Master8[[#This Row],[Cell_ID]],Registre_Maintenance[],4,FALSE),"")</f>
        <v>28.189575999999999</v>
      </c>
      <c r="K174" t="str">
        <f>IFERROR(VLOOKUP(Master8[[#This Row],[Cell_ID]],Registre_Maintenance[],5,FALSE),"")</f>
        <v>5G</v>
      </c>
      <c r="L174" t="str">
        <f>IFERROR(VLOOKUP(Master8[[#This Row],[Cell_ID]],Registre_Maintenance[],6,FALSE),"")</f>
        <v>Huawei</v>
      </c>
      <c r="M174" s="1" t="str">
        <f>VLOOKUP(Master8[[#This Row],[Province_RDC]],Client[],2,FALSE)</f>
        <v>CLI-00865</v>
      </c>
      <c r="N174" s="1">
        <f>VLOOKUP(Master8[[#This Row],[Province_RDC]],Client[],3,FALSE)</f>
        <v>34</v>
      </c>
      <c r="O174" s="1" t="str">
        <f>VLOOKUP(Master8[[#This Row],[Province_RDC]],Client[],4,FALSE)</f>
        <v>Pro Monde</v>
      </c>
      <c r="P174" s="1">
        <f>VLOOKUP(Master8[[#This Row],[Province_RDC]],Client[],5,FALSE)</f>
        <v>453</v>
      </c>
      <c r="Q174" s="1">
        <f>VLOOKUP(Master8[[#This Row],[Province_RDC]],Client[],6,FALSE)</f>
        <v>56.84</v>
      </c>
      <c r="R174" s="1">
        <f>VLOOKUP(Master8[[#This Row],[Province_RDC]],Client[],7,FALSE)</f>
        <v>0</v>
      </c>
      <c r="S174" s="1" t="str">
        <f>IF(Master8[[#This Row],[Type_Forfait]]="Pro Monde","B2B","B2C")</f>
        <v>B2B</v>
      </c>
      <c r="T174" s="1">
        <f>Master8[[#This Row],[Anciennete_Mois]]/12</f>
        <v>2.8333333333333335</v>
      </c>
      <c r="U174" s="1">
        <f>Master8[[#This Row],[Duree_Cumule_Panne_Min]]/60</f>
        <v>7.55</v>
      </c>
      <c r="V17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4" s="6">
        <f>Master8[[#This Row],[Facture_Mensuelle]]*Master8[[#This Row],[Remise]]</f>
        <v>25.578000000000003</v>
      </c>
    </row>
    <row r="175" spans="1:24" x14ac:dyDescent="0.25">
      <c r="A175" s="1" t="s">
        <v>1404</v>
      </c>
      <c r="B175" t="str">
        <f>IFERROR(VLOOKUP(Master8[[#This Row],[Cell_ID]],Registre_Maintenance[],2,FALSE),"")</f>
        <v>Mongala</v>
      </c>
      <c r="C175" s="1" t="s">
        <v>1410</v>
      </c>
      <c r="D175" s="2">
        <v>45216.137499999997</v>
      </c>
      <c r="E175" s="3">
        <v>45216.137499999997</v>
      </c>
      <c r="F175">
        <v>120</v>
      </c>
      <c r="G175">
        <f>Master8[[#This Row],[Duree_Panne_Min]]/60</f>
        <v>2</v>
      </c>
      <c r="H175" s="1" t="s">
        <v>735</v>
      </c>
      <c r="I175">
        <f>IFERROR(VLOOKUP(Master8[[#This Row],[Cell_ID]],Registre_Maintenance[],3,FALSE),"")</f>
        <v>-7.2267089999999996</v>
      </c>
      <c r="J175">
        <f>IFERROR(VLOOKUP(Master8[[#This Row],[Cell_ID]],Registre_Maintenance[],4,FALSE),"")</f>
        <v>28.421362999999999</v>
      </c>
      <c r="K175" t="str">
        <f>IFERROR(VLOOKUP(Master8[[#This Row],[Cell_ID]],Registre_Maintenance[],5,FALSE),"")</f>
        <v>5G</v>
      </c>
      <c r="L175" t="str">
        <f>IFERROR(VLOOKUP(Master8[[#This Row],[Cell_ID]],Registre_Maintenance[],6,FALSE),"")</f>
        <v>Ericsson</v>
      </c>
      <c r="M175" s="1" t="str">
        <f>VLOOKUP(Master8[[#This Row],[Province_RDC]],Client[],2,FALSE)</f>
        <v>CLI-00865</v>
      </c>
      <c r="N175" s="1">
        <f>VLOOKUP(Master8[[#This Row],[Province_RDC]],Client[],3,FALSE)</f>
        <v>34</v>
      </c>
      <c r="O175" s="1" t="str">
        <f>VLOOKUP(Master8[[#This Row],[Province_RDC]],Client[],4,FALSE)</f>
        <v>Pro Monde</v>
      </c>
      <c r="P175" s="1">
        <f>VLOOKUP(Master8[[#This Row],[Province_RDC]],Client[],5,FALSE)</f>
        <v>453</v>
      </c>
      <c r="Q175" s="1">
        <f>VLOOKUP(Master8[[#This Row],[Province_RDC]],Client[],6,FALSE)</f>
        <v>56.84</v>
      </c>
      <c r="R175" s="1">
        <f>VLOOKUP(Master8[[#This Row],[Province_RDC]],Client[],7,FALSE)</f>
        <v>0</v>
      </c>
      <c r="S175" s="1" t="str">
        <f>IF(Master8[[#This Row],[Type_Forfait]]="Pro Monde","B2B","B2C")</f>
        <v>B2B</v>
      </c>
      <c r="T175" s="1">
        <f>Master8[[#This Row],[Anciennete_Mois]]/12</f>
        <v>2.8333333333333335</v>
      </c>
      <c r="U175" s="1">
        <f>Master8[[#This Row],[Duree_Cumule_Panne_Min]]/60</f>
        <v>7.55</v>
      </c>
      <c r="V17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5" s="6">
        <f>Master8[[#This Row],[Facture_Mensuelle]]*Master8[[#This Row],[Remise]]</f>
        <v>25.578000000000003</v>
      </c>
    </row>
    <row r="176" spans="1:24" x14ac:dyDescent="0.25">
      <c r="A176" s="1" t="s">
        <v>1241</v>
      </c>
      <c r="B176" t="str">
        <f>IFERROR(VLOOKUP(Master8[[#This Row],[Cell_ID]],Registre_Maintenance[],2,FALSE),"")</f>
        <v>Mongala</v>
      </c>
      <c r="C176" s="1" t="s">
        <v>1258</v>
      </c>
      <c r="D176" s="2">
        <v>45215.093055555553</v>
      </c>
      <c r="E176" s="3">
        <v>45215.093055555553</v>
      </c>
      <c r="F176">
        <v>87</v>
      </c>
      <c r="G176">
        <f>Master8[[#This Row],[Duree_Panne_Min]]/60</f>
        <v>1.45</v>
      </c>
      <c r="H176" s="1" t="s">
        <v>732</v>
      </c>
      <c r="I176">
        <f>IFERROR(VLOOKUP(Master8[[#This Row],[Cell_ID]],Registre_Maintenance[],3,FALSE),"")</f>
        <v>-7.6951369999999999</v>
      </c>
      <c r="J176">
        <f>IFERROR(VLOOKUP(Master8[[#This Row],[Cell_ID]],Registre_Maintenance[],4,FALSE),"")</f>
        <v>13.346605</v>
      </c>
      <c r="K176" t="str">
        <f>IFERROR(VLOOKUP(Master8[[#This Row],[Cell_ID]],Registre_Maintenance[],5,FALSE),"")</f>
        <v>4G</v>
      </c>
      <c r="L176" t="str">
        <f>IFERROR(VLOOKUP(Master8[[#This Row],[Cell_ID]],Registre_Maintenance[],6,FALSE),"")</f>
        <v>Ericsson</v>
      </c>
      <c r="M176" s="1" t="str">
        <f>VLOOKUP(Master8[[#This Row],[Province_RDC]],Client[],2,FALSE)</f>
        <v>CLI-00865</v>
      </c>
      <c r="N176" s="1">
        <f>VLOOKUP(Master8[[#This Row],[Province_RDC]],Client[],3,FALSE)</f>
        <v>34</v>
      </c>
      <c r="O176" s="1" t="str">
        <f>VLOOKUP(Master8[[#This Row],[Province_RDC]],Client[],4,FALSE)</f>
        <v>Pro Monde</v>
      </c>
      <c r="P176" s="1">
        <f>VLOOKUP(Master8[[#This Row],[Province_RDC]],Client[],5,FALSE)</f>
        <v>453</v>
      </c>
      <c r="Q176" s="1">
        <f>VLOOKUP(Master8[[#This Row],[Province_RDC]],Client[],6,FALSE)</f>
        <v>56.84</v>
      </c>
      <c r="R176" s="1">
        <f>VLOOKUP(Master8[[#This Row],[Province_RDC]],Client[],7,FALSE)</f>
        <v>0</v>
      </c>
      <c r="S176" s="1" t="str">
        <f>IF(Master8[[#This Row],[Type_Forfait]]="Pro Monde","B2B","B2C")</f>
        <v>B2B</v>
      </c>
      <c r="T176" s="1">
        <f>Master8[[#This Row],[Anciennete_Mois]]/12</f>
        <v>2.8333333333333335</v>
      </c>
      <c r="U176" s="1">
        <f>Master8[[#This Row],[Duree_Cumule_Panne_Min]]/60</f>
        <v>7.55</v>
      </c>
      <c r="V17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6" s="6">
        <f>Master8[[#This Row],[Facture_Mensuelle]]*Master8[[#This Row],[Remise]]</f>
        <v>25.578000000000003</v>
      </c>
    </row>
    <row r="177" spans="1:24" x14ac:dyDescent="0.25">
      <c r="A177" s="1" t="s">
        <v>1288</v>
      </c>
      <c r="B177" t="str">
        <f>IFERROR(VLOOKUP(Master8[[#This Row],[Cell_ID]],Registre_Maintenance[],2,FALSE),"")</f>
        <v>Mongala</v>
      </c>
      <c r="C177" s="1" t="s">
        <v>1173</v>
      </c>
      <c r="D177" s="2">
        <v>45214.160416666673</v>
      </c>
      <c r="E177" s="3">
        <v>45214.160416666673</v>
      </c>
      <c r="F177">
        <v>108</v>
      </c>
      <c r="G177">
        <f>Master8[[#This Row],[Duree_Panne_Min]]/60</f>
        <v>1.8</v>
      </c>
      <c r="H177" s="1" t="s">
        <v>737</v>
      </c>
      <c r="I177">
        <f>IFERROR(VLOOKUP(Master8[[#This Row],[Cell_ID]],Registre_Maintenance[],3,FALSE),"")</f>
        <v>-11.407966</v>
      </c>
      <c r="J177">
        <f>IFERROR(VLOOKUP(Master8[[#This Row],[Cell_ID]],Registre_Maintenance[],4,FALSE),"")</f>
        <v>28.378274000000001</v>
      </c>
      <c r="K177" t="str">
        <f>IFERROR(VLOOKUP(Master8[[#This Row],[Cell_ID]],Registre_Maintenance[],5,FALSE),"")</f>
        <v>4G</v>
      </c>
      <c r="L177" t="str">
        <f>IFERROR(VLOOKUP(Master8[[#This Row],[Cell_ID]],Registre_Maintenance[],6,FALSE),"")</f>
        <v>ZTE</v>
      </c>
      <c r="M177" s="1" t="str">
        <f>VLOOKUP(Master8[[#This Row],[Province_RDC]],Client[],2,FALSE)</f>
        <v>CLI-00865</v>
      </c>
      <c r="N177" s="1">
        <f>VLOOKUP(Master8[[#This Row],[Province_RDC]],Client[],3,FALSE)</f>
        <v>34</v>
      </c>
      <c r="O177" s="1" t="str">
        <f>VLOOKUP(Master8[[#This Row],[Province_RDC]],Client[],4,FALSE)</f>
        <v>Pro Monde</v>
      </c>
      <c r="P177" s="1">
        <f>VLOOKUP(Master8[[#This Row],[Province_RDC]],Client[],5,FALSE)</f>
        <v>453</v>
      </c>
      <c r="Q177" s="1">
        <f>VLOOKUP(Master8[[#This Row],[Province_RDC]],Client[],6,FALSE)</f>
        <v>56.84</v>
      </c>
      <c r="R177" s="1">
        <f>VLOOKUP(Master8[[#This Row],[Province_RDC]],Client[],7,FALSE)</f>
        <v>0</v>
      </c>
      <c r="S177" s="1" t="str">
        <f>IF(Master8[[#This Row],[Type_Forfait]]="Pro Monde","B2B","B2C")</f>
        <v>B2B</v>
      </c>
      <c r="T177" s="1">
        <f>Master8[[#This Row],[Anciennete_Mois]]/12</f>
        <v>2.8333333333333335</v>
      </c>
      <c r="U177" s="1">
        <f>Master8[[#This Row],[Duree_Cumule_Panne_Min]]/60</f>
        <v>7.55</v>
      </c>
      <c r="V17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7" s="6">
        <f>Master8[[#This Row],[Facture_Mensuelle]]*Master8[[#This Row],[Remise]]</f>
        <v>25.578000000000003</v>
      </c>
    </row>
    <row r="178" spans="1:24" x14ac:dyDescent="0.25">
      <c r="A178" s="1" t="s">
        <v>1193</v>
      </c>
      <c r="B178" t="str">
        <f>IFERROR(VLOOKUP(Master8[[#This Row],[Cell_ID]],Registre_Maintenance[],2,FALSE),"")</f>
        <v>Mongala</v>
      </c>
      <c r="C178" s="1" t="s">
        <v>1041</v>
      </c>
      <c r="D178" s="2">
        <v>45211.04583333333</v>
      </c>
      <c r="E178" s="3">
        <v>45211.04583333333</v>
      </c>
      <c r="F178">
        <v>18</v>
      </c>
      <c r="G178">
        <f>Master8[[#This Row],[Duree_Panne_Min]]/60</f>
        <v>0.3</v>
      </c>
      <c r="H178" s="1" t="s">
        <v>737</v>
      </c>
      <c r="I178">
        <f>IFERROR(VLOOKUP(Master8[[#This Row],[Cell_ID]],Registre_Maintenance[],3,FALSE),"")</f>
        <v>-5.3762689999999997</v>
      </c>
      <c r="J178">
        <f>IFERROR(VLOOKUP(Master8[[#This Row],[Cell_ID]],Registre_Maintenance[],4,FALSE),"")</f>
        <v>28.189575999999999</v>
      </c>
      <c r="K178" t="str">
        <f>IFERROR(VLOOKUP(Master8[[#This Row],[Cell_ID]],Registre_Maintenance[],5,FALSE),"")</f>
        <v>5G</v>
      </c>
      <c r="L178" t="str">
        <f>IFERROR(VLOOKUP(Master8[[#This Row],[Cell_ID]],Registre_Maintenance[],6,FALSE),"")</f>
        <v>Huawei</v>
      </c>
      <c r="M178" s="1" t="str">
        <f>VLOOKUP(Master8[[#This Row],[Province_RDC]],Client[],2,FALSE)</f>
        <v>CLI-00865</v>
      </c>
      <c r="N178" s="1">
        <f>VLOOKUP(Master8[[#This Row],[Province_RDC]],Client[],3,FALSE)</f>
        <v>34</v>
      </c>
      <c r="O178" s="1" t="str">
        <f>VLOOKUP(Master8[[#This Row],[Province_RDC]],Client[],4,FALSE)</f>
        <v>Pro Monde</v>
      </c>
      <c r="P178" s="1">
        <f>VLOOKUP(Master8[[#This Row],[Province_RDC]],Client[],5,FALSE)</f>
        <v>453</v>
      </c>
      <c r="Q178" s="1">
        <f>VLOOKUP(Master8[[#This Row],[Province_RDC]],Client[],6,FALSE)</f>
        <v>56.84</v>
      </c>
      <c r="R178" s="1">
        <f>VLOOKUP(Master8[[#This Row],[Province_RDC]],Client[],7,FALSE)</f>
        <v>0</v>
      </c>
      <c r="S178" s="1" t="str">
        <f>IF(Master8[[#This Row],[Type_Forfait]]="Pro Monde","B2B","B2C")</f>
        <v>B2B</v>
      </c>
      <c r="T178" s="1">
        <f>Master8[[#This Row],[Anciennete_Mois]]/12</f>
        <v>2.8333333333333335</v>
      </c>
      <c r="U178" s="1">
        <f>Master8[[#This Row],[Duree_Cumule_Panne_Min]]/60</f>
        <v>7.55</v>
      </c>
      <c r="V17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8" s="6">
        <f>Master8[[#This Row],[Facture_Mensuelle]]*Master8[[#This Row],[Remise]]</f>
        <v>25.578000000000003</v>
      </c>
    </row>
    <row r="179" spans="1:24" x14ac:dyDescent="0.25">
      <c r="A179" s="1" t="s">
        <v>1165</v>
      </c>
      <c r="B179" t="str">
        <f>IFERROR(VLOOKUP(Master8[[#This Row],[Cell_ID]],Registre_Maintenance[],2,FALSE),"")</f>
        <v>Mongala</v>
      </c>
      <c r="C179" s="1" t="s">
        <v>1173</v>
      </c>
      <c r="D179" s="2">
        <v>45210.836805555547</v>
      </c>
      <c r="E179" s="3">
        <v>45210.836805555547</v>
      </c>
      <c r="F179">
        <v>118</v>
      </c>
      <c r="G179">
        <f>Master8[[#This Row],[Duree_Panne_Min]]/60</f>
        <v>1.9666666666666666</v>
      </c>
      <c r="H179" s="1" t="s">
        <v>732</v>
      </c>
      <c r="I179">
        <f>IFERROR(VLOOKUP(Master8[[#This Row],[Cell_ID]],Registre_Maintenance[],3,FALSE),"")</f>
        <v>-11.407966</v>
      </c>
      <c r="J179">
        <f>IFERROR(VLOOKUP(Master8[[#This Row],[Cell_ID]],Registre_Maintenance[],4,FALSE),"")</f>
        <v>28.378274000000001</v>
      </c>
      <c r="K179" t="str">
        <f>IFERROR(VLOOKUP(Master8[[#This Row],[Cell_ID]],Registre_Maintenance[],5,FALSE),"")</f>
        <v>4G</v>
      </c>
      <c r="L179" t="str">
        <f>IFERROR(VLOOKUP(Master8[[#This Row],[Cell_ID]],Registre_Maintenance[],6,FALSE),"")</f>
        <v>ZTE</v>
      </c>
      <c r="M179" s="1" t="str">
        <f>VLOOKUP(Master8[[#This Row],[Province_RDC]],Client[],2,FALSE)</f>
        <v>CLI-00865</v>
      </c>
      <c r="N179" s="1">
        <f>VLOOKUP(Master8[[#This Row],[Province_RDC]],Client[],3,FALSE)</f>
        <v>34</v>
      </c>
      <c r="O179" s="1" t="str">
        <f>VLOOKUP(Master8[[#This Row],[Province_RDC]],Client[],4,FALSE)</f>
        <v>Pro Monde</v>
      </c>
      <c r="P179" s="1">
        <f>VLOOKUP(Master8[[#This Row],[Province_RDC]],Client[],5,FALSE)</f>
        <v>453</v>
      </c>
      <c r="Q179" s="1">
        <f>VLOOKUP(Master8[[#This Row],[Province_RDC]],Client[],6,FALSE)</f>
        <v>56.84</v>
      </c>
      <c r="R179" s="1">
        <f>VLOOKUP(Master8[[#This Row],[Province_RDC]],Client[],7,FALSE)</f>
        <v>0</v>
      </c>
      <c r="S179" s="1" t="str">
        <f>IF(Master8[[#This Row],[Type_Forfait]]="Pro Monde","B2B","B2C")</f>
        <v>B2B</v>
      </c>
      <c r="T179" s="1">
        <f>Master8[[#This Row],[Anciennete_Mois]]/12</f>
        <v>2.8333333333333335</v>
      </c>
      <c r="U179" s="1">
        <f>Master8[[#This Row],[Duree_Cumule_Panne_Min]]/60</f>
        <v>7.55</v>
      </c>
      <c r="V17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7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79" s="6">
        <f>Master8[[#This Row],[Facture_Mensuelle]]*Master8[[#This Row],[Remise]]</f>
        <v>25.578000000000003</v>
      </c>
    </row>
    <row r="180" spans="1:24" x14ac:dyDescent="0.25">
      <c r="A180" s="1" t="s">
        <v>1138</v>
      </c>
      <c r="B180" t="str">
        <f>IFERROR(VLOOKUP(Master8[[#This Row],[Cell_ID]],Registre_Maintenance[],2,FALSE),"")</f>
        <v>Mongala</v>
      </c>
      <c r="C180" s="1" t="s">
        <v>814</v>
      </c>
      <c r="D180" s="2">
        <v>45205.529861111107</v>
      </c>
      <c r="E180" s="3">
        <v>45205.529861111107</v>
      </c>
      <c r="F180">
        <v>74</v>
      </c>
      <c r="G180">
        <f>Master8[[#This Row],[Duree_Panne_Min]]/60</f>
        <v>1.2333333333333334</v>
      </c>
      <c r="H180" s="1" t="s">
        <v>735</v>
      </c>
      <c r="I180">
        <f>IFERROR(VLOOKUP(Master8[[#This Row],[Cell_ID]],Registre_Maintenance[],3,FALSE),"")</f>
        <v>-11.514188000000001</v>
      </c>
      <c r="J180">
        <f>IFERROR(VLOOKUP(Master8[[#This Row],[Cell_ID]],Registre_Maintenance[],4,FALSE),"")</f>
        <v>15.971181</v>
      </c>
      <c r="K180" t="str">
        <f>IFERROR(VLOOKUP(Master8[[#This Row],[Cell_ID]],Registre_Maintenance[],5,FALSE),"")</f>
        <v>5G</v>
      </c>
      <c r="L180" t="str">
        <f>IFERROR(VLOOKUP(Master8[[#This Row],[Cell_ID]],Registre_Maintenance[],6,FALSE),"")</f>
        <v>Ericsson</v>
      </c>
      <c r="M180" s="1" t="str">
        <f>VLOOKUP(Master8[[#This Row],[Province_RDC]],Client[],2,FALSE)</f>
        <v>CLI-00865</v>
      </c>
      <c r="N180" s="1">
        <f>VLOOKUP(Master8[[#This Row],[Province_RDC]],Client[],3,FALSE)</f>
        <v>34</v>
      </c>
      <c r="O180" s="1" t="str">
        <f>VLOOKUP(Master8[[#This Row],[Province_RDC]],Client[],4,FALSE)</f>
        <v>Pro Monde</v>
      </c>
      <c r="P180" s="1">
        <f>VLOOKUP(Master8[[#This Row],[Province_RDC]],Client[],5,FALSE)</f>
        <v>453</v>
      </c>
      <c r="Q180" s="1">
        <f>VLOOKUP(Master8[[#This Row],[Province_RDC]],Client[],6,FALSE)</f>
        <v>56.84</v>
      </c>
      <c r="R180" s="1">
        <f>VLOOKUP(Master8[[#This Row],[Province_RDC]],Client[],7,FALSE)</f>
        <v>0</v>
      </c>
      <c r="S180" s="1" t="str">
        <f>IF(Master8[[#This Row],[Type_Forfait]]="Pro Monde","B2B","B2C")</f>
        <v>B2B</v>
      </c>
      <c r="T180" s="1">
        <f>Master8[[#This Row],[Anciennete_Mois]]/12</f>
        <v>2.8333333333333335</v>
      </c>
      <c r="U180" s="1">
        <f>Master8[[#This Row],[Duree_Cumule_Panne_Min]]/60</f>
        <v>7.55</v>
      </c>
      <c r="V18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8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80" s="6">
        <f>Master8[[#This Row],[Facture_Mensuelle]]*Master8[[#This Row],[Remise]]</f>
        <v>25.578000000000003</v>
      </c>
    </row>
    <row r="181" spans="1:24" x14ac:dyDescent="0.25">
      <c r="A181" s="1" t="s">
        <v>1361</v>
      </c>
      <c r="B181" t="str">
        <f>IFERROR(VLOOKUP(Master8[[#This Row],[Cell_ID]],Registre_Maintenance[],2,FALSE),"")</f>
        <v>Maniema</v>
      </c>
      <c r="C181" s="1" t="s">
        <v>1365</v>
      </c>
      <c r="D181" s="2">
        <v>45226.530555555553</v>
      </c>
      <c r="E181" s="3">
        <v>45226.530555555553</v>
      </c>
      <c r="F181">
        <v>101</v>
      </c>
      <c r="G181">
        <f>Master8[[#This Row],[Duree_Panne_Min]]/60</f>
        <v>1.6833333333333333</v>
      </c>
      <c r="H181" s="1" t="s">
        <v>737</v>
      </c>
      <c r="I181">
        <f>IFERROR(VLOOKUP(Master8[[#This Row],[Cell_ID]],Registre_Maintenance[],3,FALSE),"")</f>
        <v>-10.650321</v>
      </c>
      <c r="J181">
        <f>IFERROR(VLOOKUP(Master8[[#This Row],[Cell_ID]],Registre_Maintenance[],4,FALSE),"")</f>
        <v>15.917044000000001</v>
      </c>
      <c r="K181" t="str">
        <f>IFERROR(VLOOKUP(Master8[[#This Row],[Cell_ID]],Registre_Maintenance[],5,FALSE),"")</f>
        <v>4G</v>
      </c>
      <c r="L181" t="str">
        <f>IFERROR(VLOOKUP(Master8[[#This Row],[Cell_ID]],Registre_Maintenance[],6,FALSE),"")</f>
        <v>Nokia</v>
      </c>
      <c r="M181" s="1" t="str">
        <f>VLOOKUP(Master8[[#This Row],[Province_RDC]],Client[],2,FALSE)</f>
        <v>CLI-00185</v>
      </c>
      <c r="N181" s="1">
        <f>VLOOKUP(Master8[[#This Row],[Province_RDC]],Client[],3,FALSE)</f>
        <v>81</v>
      </c>
      <c r="O181" s="1" t="str">
        <f>VLOOKUP(Master8[[#This Row],[Province_RDC]],Client[],4,FALSE)</f>
        <v>Pro Monde</v>
      </c>
      <c r="P181" s="1">
        <f>VLOOKUP(Master8[[#This Row],[Province_RDC]],Client[],5,FALSE)</f>
        <v>154</v>
      </c>
      <c r="Q181" s="1">
        <f>VLOOKUP(Master8[[#This Row],[Province_RDC]],Client[],6,FALSE)</f>
        <v>19.47</v>
      </c>
      <c r="R181" s="1">
        <f>VLOOKUP(Master8[[#This Row],[Province_RDC]],Client[],7,FALSE)</f>
        <v>3</v>
      </c>
      <c r="S181" s="1" t="str">
        <f>IF(Master8[[#This Row],[Type_Forfait]]="Pro Monde","B2B","B2C")</f>
        <v>B2B</v>
      </c>
      <c r="T181" s="1">
        <f>Master8[[#This Row],[Anciennete_Mois]]/12</f>
        <v>6.75</v>
      </c>
      <c r="U181" s="1">
        <f>Master8[[#This Row],[Duree_Cumule_Panne_Min]]/60</f>
        <v>2.5666666666666669</v>
      </c>
      <c r="V18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1" s="6">
        <f>Master8[[#This Row],[Facture_Mensuelle]]*Master8[[#This Row],[Remise]]</f>
        <v>1.9470000000000001</v>
      </c>
    </row>
    <row r="182" spans="1:24" x14ac:dyDescent="0.25">
      <c r="A182" s="1" t="s">
        <v>978</v>
      </c>
      <c r="B182" t="str">
        <f>IFERROR(VLOOKUP(Master8[[#This Row],[Cell_ID]],Registre_Maintenance[],2,FALSE),"")</f>
        <v>Maniema</v>
      </c>
      <c r="C182" s="1" t="s">
        <v>886</v>
      </c>
      <c r="D182" s="2">
        <v>45224.201388888891</v>
      </c>
      <c r="E182" s="3">
        <v>45224.201388888891</v>
      </c>
      <c r="F182">
        <v>43</v>
      </c>
      <c r="G182">
        <f>Master8[[#This Row],[Duree_Panne_Min]]/60</f>
        <v>0.71666666666666667</v>
      </c>
      <c r="H182" s="1" t="s">
        <v>737</v>
      </c>
      <c r="I182">
        <f>IFERROR(VLOOKUP(Master8[[#This Row],[Cell_ID]],Registre_Maintenance[],3,FALSE),"")</f>
        <v>-4.6818410000000004</v>
      </c>
      <c r="J182">
        <f>IFERROR(VLOOKUP(Master8[[#This Row],[Cell_ID]],Registre_Maintenance[],4,FALSE),"")</f>
        <v>17.541618</v>
      </c>
      <c r="K182" t="str">
        <f>IFERROR(VLOOKUP(Master8[[#This Row],[Cell_ID]],Registre_Maintenance[],5,FALSE),"")</f>
        <v>4G</v>
      </c>
      <c r="L182" t="str">
        <f>IFERROR(VLOOKUP(Master8[[#This Row],[Cell_ID]],Registre_Maintenance[],6,FALSE),"")</f>
        <v>Ericsson</v>
      </c>
      <c r="M182" s="1" t="str">
        <f>VLOOKUP(Master8[[#This Row],[Province_RDC]],Client[],2,FALSE)</f>
        <v>CLI-00185</v>
      </c>
      <c r="N182" s="1">
        <f>VLOOKUP(Master8[[#This Row],[Province_RDC]],Client[],3,FALSE)</f>
        <v>81</v>
      </c>
      <c r="O182" s="1" t="str">
        <f>VLOOKUP(Master8[[#This Row],[Province_RDC]],Client[],4,FALSE)</f>
        <v>Pro Monde</v>
      </c>
      <c r="P182" s="1">
        <f>VLOOKUP(Master8[[#This Row],[Province_RDC]],Client[],5,FALSE)</f>
        <v>154</v>
      </c>
      <c r="Q182" s="1">
        <f>VLOOKUP(Master8[[#This Row],[Province_RDC]],Client[],6,FALSE)</f>
        <v>19.47</v>
      </c>
      <c r="R182" s="1">
        <f>VLOOKUP(Master8[[#This Row],[Province_RDC]],Client[],7,FALSE)</f>
        <v>3</v>
      </c>
      <c r="S182" s="1" t="str">
        <f>IF(Master8[[#This Row],[Type_Forfait]]="Pro Monde","B2B","B2C")</f>
        <v>B2B</v>
      </c>
      <c r="T182" s="1">
        <f>Master8[[#This Row],[Anciennete_Mois]]/12</f>
        <v>6.75</v>
      </c>
      <c r="U182" s="1">
        <f>Master8[[#This Row],[Duree_Cumule_Panne_Min]]/60</f>
        <v>2.5666666666666669</v>
      </c>
      <c r="V18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2" s="6">
        <f>Master8[[#This Row],[Facture_Mensuelle]]*Master8[[#This Row],[Remise]]</f>
        <v>1.9470000000000001</v>
      </c>
    </row>
    <row r="183" spans="1:24" x14ac:dyDescent="0.25">
      <c r="A183" s="1" t="s">
        <v>999</v>
      </c>
      <c r="B183" t="str">
        <f>IFERROR(VLOOKUP(Master8[[#This Row],[Cell_ID]],Registre_Maintenance[],2,FALSE),"")</f>
        <v>Maniema</v>
      </c>
      <c r="C183" s="1" t="s">
        <v>1022</v>
      </c>
      <c r="D183" s="2">
        <v>45221.376388888893</v>
      </c>
      <c r="E183" s="3">
        <v>45221.376388888893</v>
      </c>
      <c r="F183">
        <v>59</v>
      </c>
      <c r="G183">
        <f>Master8[[#This Row],[Duree_Panne_Min]]/60</f>
        <v>0.98333333333333328</v>
      </c>
      <c r="H183" s="1" t="s">
        <v>737</v>
      </c>
      <c r="I183">
        <f>IFERROR(VLOOKUP(Master8[[#This Row],[Cell_ID]],Registre_Maintenance[],3,FALSE),"")</f>
        <v>-8.4824669999999998</v>
      </c>
      <c r="J183">
        <f>IFERROR(VLOOKUP(Master8[[#This Row],[Cell_ID]],Registre_Maintenance[],4,FALSE),"")</f>
        <v>21.897777999999999</v>
      </c>
      <c r="K183" t="str">
        <f>IFERROR(VLOOKUP(Master8[[#This Row],[Cell_ID]],Registre_Maintenance[],5,FALSE),"")</f>
        <v>5G</v>
      </c>
      <c r="L183" t="str">
        <f>IFERROR(VLOOKUP(Master8[[#This Row],[Cell_ID]],Registre_Maintenance[],6,FALSE),"")</f>
        <v>Ericsson</v>
      </c>
      <c r="M183" s="1" t="str">
        <f>VLOOKUP(Master8[[#This Row],[Province_RDC]],Client[],2,FALSE)</f>
        <v>CLI-00185</v>
      </c>
      <c r="N183" s="1">
        <f>VLOOKUP(Master8[[#This Row],[Province_RDC]],Client[],3,FALSE)</f>
        <v>81</v>
      </c>
      <c r="O183" s="1" t="str">
        <f>VLOOKUP(Master8[[#This Row],[Province_RDC]],Client[],4,FALSE)</f>
        <v>Pro Monde</v>
      </c>
      <c r="P183" s="1">
        <f>VLOOKUP(Master8[[#This Row],[Province_RDC]],Client[],5,FALSE)</f>
        <v>154</v>
      </c>
      <c r="Q183" s="1">
        <f>VLOOKUP(Master8[[#This Row],[Province_RDC]],Client[],6,FALSE)</f>
        <v>19.47</v>
      </c>
      <c r="R183" s="1">
        <f>VLOOKUP(Master8[[#This Row],[Province_RDC]],Client[],7,FALSE)</f>
        <v>3</v>
      </c>
      <c r="S183" s="1" t="str">
        <f>IF(Master8[[#This Row],[Type_Forfait]]="Pro Monde","B2B","B2C")</f>
        <v>B2B</v>
      </c>
      <c r="T183" s="1">
        <f>Master8[[#This Row],[Anciennete_Mois]]/12</f>
        <v>6.75</v>
      </c>
      <c r="U183" s="1">
        <f>Master8[[#This Row],[Duree_Cumule_Panne_Min]]/60</f>
        <v>2.5666666666666669</v>
      </c>
      <c r="V18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3" s="6">
        <f>Master8[[#This Row],[Facture_Mensuelle]]*Master8[[#This Row],[Remise]]</f>
        <v>1.9470000000000001</v>
      </c>
    </row>
    <row r="184" spans="1:24" x14ac:dyDescent="0.25">
      <c r="A184" s="1" t="s">
        <v>1165</v>
      </c>
      <c r="B184" t="str">
        <f>IFERROR(VLOOKUP(Master8[[#This Row],[Cell_ID]],Registre_Maintenance[],2,FALSE),"")</f>
        <v>Maniema</v>
      </c>
      <c r="C184" s="1" t="s">
        <v>890</v>
      </c>
      <c r="D184" s="2">
        <v>45217.775694444441</v>
      </c>
      <c r="E184" s="3">
        <v>45217.775694444441</v>
      </c>
      <c r="F184">
        <v>84</v>
      </c>
      <c r="G184">
        <f>Master8[[#This Row],[Duree_Panne_Min]]/60</f>
        <v>1.4</v>
      </c>
      <c r="H184" s="1" t="s">
        <v>732</v>
      </c>
      <c r="I184">
        <f>IFERROR(VLOOKUP(Master8[[#This Row],[Cell_ID]],Registre_Maintenance[],3,FALSE),"")</f>
        <v>-2.3743210000000001</v>
      </c>
      <c r="J184">
        <f>IFERROR(VLOOKUP(Master8[[#This Row],[Cell_ID]],Registre_Maintenance[],4,FALSE),"")</f>
        <v>22.399491000000001</v>
      </c>
      <c r="K184" t="str">
        <f>IFERROR(VLOOKUP(Master8[[#This Row],[Cell_ID]],Registre_Maintenance[],5,FALSE),"")</f>
        <v>5G</v>
      </c>
      <c r="L184" t="str">
        <f>IFERROR(VLOOKUP(Master8[[#This Row],[Cell_ID]],Registre_Maintenance[],6,FALSE),"")</f>
        <v>Ericsson</v>
      </c>
      <c r="M184" s="1" t="str">
        <f>VLOOKUP(Master8[[#This Row],[Province_RDC]],Client[],2,FALSE)</f>
        <v>CLI-00185</v>
      </c>
      <c r="N184" s="1">
        <f>VLOOKUP(Master8[[#This Row],[Province_RDC]],Client[],3,FALSE)</f>
        <v>81</v>
      </c>
      <c r="O184" s="1" t="str">
        <f>VLOOKUP(Master8[[#This Row],[Province_RDC]],Client[],4,FALSE)</f>
        <v>Pro Monde</v>
      </c>
      <c r="P184" s="1">
        <f>VLOOKUP(Master8[[#This Row],[Province_RDC]],Client[],5,FALSE)</f>
        <v>154</v>
      </c>
      <c r="Q184" s="1">
        <f>VLOOKUP(Master8[[#This Row],[Province_RDC]],Client[],6,FALSE)</f>
        <v>19.47</v>
      </c>
      <c r="R184" s="1">
        <f>VLOOKUP(Master8[[#This Row],[Province_RDC]],Client[],7,FALSE)</f>
        <v>3</v>
      </c>
      <c r="S184" s="1" t="str">
        <f>IF(Master8[[#This Row],[Type_Forfait]]="Pro Monde","B2B","B2C")</f>
        <v>B2B</v>
      </c>
      <c r="T184" s="1">
        <f>Master8[[#This Row],[Anciennete_Mois]]/12</f>
        <v>6.75</v>
      </c>
      <c r="U184" s="1">
        <f>Master8[[#This Row],[Duree_Cumule_Panne_Min]]/60</f>
        <v>2.5666666666666669</v>
      </c>
      <c r="V18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4" s="6">
        <f>Master8[[#This Row],[Facture_Mensuelle]]*Master8[[#This Row],[Remise]]</f>
        <v>1.9470000000000001</v>
      </c>
    </row>
    <row r="185" spans="1:24" x14ac:dyDescent="0.25">
      <c r="A185" s="1" t="s">
        <v>999</v>
      </c>
      <c r="B185" t="str">
        <f>IFERROR(VLOOKUP(Master8[[#This Row],[Cell_ID]],Registre_Maintenance[],2,FALSE),"")</f>
        <v>Maniema</v>
      </c>
      <c r="C185" s="1" t="s">
        <v>890</v>
      </c>
      <c r="D185" s="2">
        <v>45216.26666666667</v>
      </c>
      <c r="E185" s="3">
        <v>45216.26666666667</v>
      </c>
      <c r="F185">
        <v>90</v>
      </c>
      <c r="G185">
        <f>Master8[[#This Row],[Duree_Panne_Min]]/60</f>
        <v>1.5</v>
      </c>
      <c r="H185" s="1" t="s">
        <v>737</v>
      </c>
      <c r="I185">
        <f>IFERROR(VLOOKUP(Master8[[#This Row],[Cell_ID]],Registre_Maintenance[],3,FALSE),"")</f>
        <v>-2.3743210000000001</v>
      </c>
      <c r="J185">
        <f>IFERROR(VLOOKUP(Master8[[#This Row],[Cell_ID]],Registre_Maintenance[],4,FALSE),"")</f>
        <v>22.399491000000001</v>
      </c>
      <c r="K185" t="str">
        <f>IFERROR(VLOOKUP(Master8[[#This Row],[Cell_ID]],Registre_Maintenance[],5,FALSE),"")</f>
        <v>5G</v>
      </c>
      <c r="L185" t="str">
        <f>IFERROR(VLOOKUP(Master8[[#This Row],[Cell_ID]],Registre_Maintenance[],6,FALSE),"")</f>
        <v>Ericsson</v>
      </c>
      <c r="M185" s="1" t="str">
        <f>VLOOKUP(Master8[[#This Row],[Province_RDC]],Client[],2,FALSE)</f>
        <v>CLI-00185</v>
      </c>
      <c r="N185" s="1">
        <f>VLOOKUP(Master8[[#This Row],[Province_RDC]],Client[],3,FALSE)</f>
        <v>81</v>
      </c>
      <c r="O185" s="1" t="str">
        <f>VLOOKUP(Master8[[#This Row],[Province_RDC]],Client[],4,FALSE)</f>
        <v>Pro Monde</v>
      </c>
      <c r="P185" s="1">
        <f>VLOOKUP(Master8[[#This Row],[Province_RDC]],Client[],5,FALSE)</f>
        <v>154</v>
      </c>
      <c r="Q185" s="1">
        <f>VLOOKUP(Master8[[#This Row],[Province_RDC]],Client[],6,FALSE)</f>
        <v>19.47</v>
      </c>
      <c r="R185" s="1">
        <f>VLOOKUP(Master8[[#This Row],[Province_RDC]],Client[],7,FALSE)</f>
        <v>3</v>
      </c>
      <c r="S185" s="1" t="str">
        <f>IF(Master8[[#This Row],[Type_Forfait]]="Pro Monde","B2B","B2C")</f>
        <v>B2B</v>
      </c>
      <c r="T185" s="1">
        <f>Master8[[#This Row],[Anciennete_Mois]]/12</f>
        <v>6.75</v>
      </c>
      <c r="U185" s="1">
        <f>Master8[[#This Row],[Duree_Cumule_Panne_Min]]/60</f>
        <v>2.5666666666666669</v>
      </c>
      <c r="V18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5" s="6">
        <f>Master8[[#This Row],[Facture_Mensuelle]]*Master8[[#This Row],[Remise]]</f>
        <v>1.9470000000000001</v>
      </c>
    </row>
    <row r="186" spans="1:24" x14ac:dyDescent="0.25">
      <c r="A186" s="1" t="s">
        <v>1165</v>
      </c>
      <c r="B186" t="str">
        <f>IFERROR(VLOOKUP(Master8[[#This Row],[Cell_ID]],Registre_Maintenance[],2,FALSE),"")</f>
        <v>Maniema</v>
      </c>
      <c r="C186" s="1" t="s">
        <v>1184</v>
      </c>
      <c r="D186" s="2">
        <v>45215.587500000001</v>
      </c>
      <c r="E186" s="3">
        <v>45215.587500000001</v>
      </c>
      <c r="F186">
        <v>24</v>
      </c>
      <c r="G186">
        <f>Master8[[#This Row],[Duree_Panne_Min]]/60</f>
        <v>0.4</v>
      </c>
      <c r="H186" s="1" t="s">
        <v>735</v>
      </c>
      <c r="I186">
        <f>IFERROR(VLOOKUP(Master8[[#This Row],[Cell_ID]],Registre_Maintenance[],3,FALSE),"")</f>
        <v>2.5458379999999998</v>
      </c>
      <c r="J186">
        <f>IFERROR(VLOOKUP(Master8[[#This Row],[Cell_ID]],Registre_Maintenance[],4,FALSE),"")</f>
        <v>13.308655</v>
      </c>
      <c r="K186" t="str">
        <f>IFERROR(VLOOKUP(Master8[[#This Row],[Cell_ID]],Registre_Maintenance[],5,FALSE),"")</f>
        <v>5G</v>
      </c>
      <c r="L186" t="str">
        <f>IFERROR(VLOOKUP(Master8[[#This Row],[Cell_ID]],Registre_Maintenance[],6,FALSE),"")</f>
        <v>ZTE</v>
      </c>
      <c r="M186" s="1" t="str">
        <f>VLOOKUP(Master8[[#This Row],[Province_RDC]],Client[],2,FALSE)</f>
        <v>CLI-00185</v>
      </c>
      <c r="N186" s="1">
        <f>VLOOKUP(Master8[[#This Row],[Province_RDC]],Client[],3,FALSE)</f>
        <v>81</v>
      </c>
      <c r="O186" s="1" t="str">
        <f>VLOOKUP(Master8[[#This Row],[Province_RDC]],Client[],4,FALSE)</f>
        <v>Pro Monde</v>
      </c>
      <c r="P186" s="1">
        <f>VLOOKUP(Master8[[#This Row],[Province_RDC]],Client[],5,FALSE)</f>
        <v>154</v>
      </c>
      <c r="Q186" s="1">
        <f>VLOOKUP(Master8[[#This Row],[Province_RDC]],Client[],6,FALSE)</f>
        <v>19.47</v>
      </c>
      <c r="R186" s="1">
        <f>VLOOKUP(Master8[[#This Row],[Province_RDC]],Client[],7,FALSE)</f>
        <v>3</v>
      </c>
      <c r="S186" s="1" t="str">
        <f>IF(Master8[[#This Row],[Type_Forfait]]="Pro Monde","B2B","B2C")</f>
        <v>B2B</v>
      </c>
      <c r="T186" s="1">
        <f>Master8[[#This Row],[Anciennete_Mois]]/12</f>
        <v>6.75</v>
      </c>
      <c r="U186" s="1">
        <f>Master8[[#This Row],[Duree_Cumule_Panne_Min]]/60</f>
        <v>2.5666666666666669</v>
      </c>
      <c r="V18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6" s="6">
        <f>Master8[[#This Row],[Facture_Mensuelle]]*Master8[[#This Row],[Remise]]</f>
        <v>1.9470000000000001</v>
      </c>
    </row>
    <row r="187" spans="1:24" x14ac:dyDescent="0.25">
      <c r="A187" s="1" t="s">
        <v>1330</v>
      </c>
      <c r="B187" t="str">
        <f>IFERROR(VLOOKUP(Master8[[#This Row],[Cell_ID]],Registre_Maintenance[],2,FALSE),"")</f>
        <v>Maniema</v>
      </c>
      <c r="C187" s="1" t="s">
        <v>1184</v>
      </c>
      <c r="D187" s="2">
        <v>45215.049305555563</v>
      </c>
      <c r="E187" s="3">
        <v>45215.049305555563</v>
      </c>
      <c r="F187">
        <v>33</v>
      </c>
      <c r="G187">
        <f>Master8[[#This Row],[Duree_Panne_Min]]/60</f>
        <v>0.55000000000000004</v>
      </c>
      <c r="H187" s="1" t="s">
        <v>735</v>
      </c>
      <c r="I187">
        <f>IFERROR(VLOOKUP(Master8[[#This Row],[Cell_ID]],Registre_Maintenance[],3,FALSE),"")</f>
        <v>2.5458379999999998</v>
      </c>
      <c r="J187">
        <f>IFERROR(VLOOKUP(Master8[[#This Row],[Cell_ID]],Registre_Maintenance[],4,FALSE),"")</f>
        <v>13.308655</v>
      </c>
      <c r="K187" t="str">
        <f>IFERROR(VLOOKUP(Master8[[#This Row],[Cell_ID]],Registre_Maintenance[],5,FALSE),"")</f>
        <v>5G</v>
      </c>
      <c r="L187" t="str">
        <f>IFERROR(VLOOKUP(Master8[[#This Row],[Cell_ID]],Registre_Maintenance[],6,FALSE),"")</f>
        <v>ZTE</v>
      </c>
      <c r="M187" s="1" t="str">
        <f>VLOOKUP(Master8[[#This Row],[Province_RDC]],Client[],2,FALSE)</f>
        <v>CLI-00185</v>
      </c>
      <c r="N187" s="1">
        <f>VLOOKUP(Master8[[#This Row],[Province_RDC]],Client[],3,FALSE)</f>
        <v>81</v>
      </c>
      <c r="O187" s="1" t="str">
        <f>VLOOKUP(Master8[[#This Row],[Province_RDC]],Client[],4,FALSE)</f>
        <v>Pro Monde</v>
      </c>
      <c r="P187" s="1">
        <f>VLOOKUP(Master8[[#This Row],[Province_RDC]],Client[],5,FALSE)</f>
        <v>154</v>
      </c>
      <c r="Q187" s="1">
        <f>VLOOKUP(Master8[[#This Row],[Province_RDC]],Client[],6,FALSE)</f>
        <v>19.47</v>
      </c>
      <c r="R187" s="1">
        <f>VLOOKUP(Master8[[#This Row],[Province_RDC]],Client[],7,FALSE)</f>
        <v>3</v>
      </c>
      <c r="S187" s="1" t="str">
        <f>IF(Master8[[#This Row],[Type_Forfait]]="Pro Monde","B2B","B2C")</f>
        <v>B2B</v>
      </c>
      <c r="T187" s="1">
        <f>Master8[[#This Row],[Anciennete_Mois]]/12</f>
        <v>6.75</v>
      </c>
      <c r="U187" s="1">
        <f>Master8[[#This Row],[Duree_Cumule_Panne_Min]]/60</f>
        <v>2.5666666666666669</v>
      </c>
      <c r="V18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7" s="6">
        <f>Master8[[#This Row],[Facture_Mensuelle]]*Master8[[#This Row],[Remise]]</f>
        <v>1.9470000000000001</v>
      </c>
    </row>
    <row r="188" spans="1:24" x14ac:dyDescent="0.25">
      <c r="A188" s="1" t="s">
        <v>1361</v>
      </c>
      <c r="B188" t="str">
        <f>IFERROR(VLOOKUP(Master8[[#This Row],[Cell_ID]],Registre_Maintenance[],2,FALSE),"")</f>
        <v>Maniema</v>
      </c>
      <c r="C188" s="1" t="s">
        <v>1371</v>
      </c>
      <c r="D188" s="2">
        <v>45214.23541666667</v>
      </c>
      <c r="E188" s="3">
        <v>45214.23541666667</v>
      </c>
      <c r="F188">
        <v>33</v>
      </c>
      <c r="G188">
        <f>Master8[[#This Row],[Duree_Panne_Min]]/60</f>
        <v>0.55000000000000004</v>
      </c>
      <c r="H188" s="1" t="s">
        <v>732</v>
      </c>
      <c r="I188">
        <f>IFERROR(VLOOKUP(Master8[[#This Row],[Cell_ID]],Registre_Maintenance[],3,FALSE),"")</f>
        <v>-10.318835</v>
      </c>
      <c r="J188">
        <f>IFERROR(VLOOKUP(Master8[[#This Row],[Cell_ID]],Registre_Maintenance[],4,FALSE),"")</f>
        <v>21.252382000000001</v>
      </c>
      <c r="K188" t="str">
        <f>IFERROR(VLOOKUP(Master8[[#This Row],[Cell_ID]],Registre_Maintenance[],5,FALSE),"")</f>
        <v>4G</v>
      </c>
      <c r="L188" t="str">
        <f>IFERROR(VLOOKUP(Master8[[#This Row],[Cell_ID]],Registre_Maintenance[],6,FALSE),"")</f>
        <v>Ericsson</v>
      </c>
      <c r="M188" s="1" t="str">
        <f>VLOOKUP(Master8[[#This Row],[Province_RDC]],Client[],2,FALSE)</f>
        <v>CLI-00185</v>
      </c>
      <c r="N188" s="1">
        <f>VLOOKUP(Master8[[#This Row],[Province_RDC]],Client[],3,FALSE)</f>
        <v>81</v>
      </c>
      <c r="O188" s="1" t="str">
        <f>VLOOKUP(Master8[[#This Row],[Province_RDC]],Client[],4,FALSE)</f>
        <v>Pro Monde</v>
      </c>
      <c r="P188" s="1">
        <f>VLOOKUP(Master8[[#This Row],[Province_RDC]],Client[],5,FALSE)</f>
        <v>154</v>
      </c>
      <c r="Q188" s="1">
        <f>VLOOKUP(Master8[[#This Row],[Province_RDC]],Client[],6,FALSE)</f>
        <v>19.47</v>
      </c>
      <c r="R188" s="1">
        <f>VLOOKUP(Master8[[#This Row],[Province_RDC]],Client[],7,FALSE)</f>
        <v>3</v>
      </c>
      <c r="S188" s="1" t="str">
        <f>IF(Master8[[#This Row],[Type_Forfait]]="Pro Monde","B2B","B2C")</f>
        <v>B2B</v>
      </c>
      <c r="T188" s="1">
        <f>Master8[[#This Row],[Anciennete_Mois]]/12</f>
        <v>6.75</v>
      </c>
      <c r="U188" s="1">
        <f>Master8[[#This Row],[Duree_Cumule_Panne_Min]]/60</f>
        <v>2.5666666666666669</v>
      </c>
      <c r="V18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8" s="6">
        <f>Master8[[#This Row],[Facture_Mensuelle]]*Master8[[#This Row],[Remise]]</f>
        <v>1.9470000000000001</v>
      </c>
    </row>
    <row r="189" spans="1:24" x14ac:dyDescent="0.25">
      <c r="A189" s="1" t="s">
        <v>1193</v>
      </c>
      <c r="B189" t="str">
        <f>IFERROR(VLOOKUP(Master8[[#This Row],[Cell_ID]],Registre_Maintenance[],2,FALSE),"")</f>
        <v>Maniema</v>
      </c>
      <c r="C189" s="1" t="s">
        <v>1217</v>
      </c>
      <c r="D189" s="2">
        <v>45213.351388888892</v>
      </c>
      <c r="E189" s="3">
        <v>45213.351388888892</v>
      </c>
      <c r="F189">
        <v>86</v>
      </c>
      <c r="G189">
        <f>Master8[[#This Row],[Duree_Panne_Min]]/60</f>
        <v>1.4333333333333333</v>
      </c>
      <c r="H189" s="1" t="s">
        <v>737</v>
      </c>
      <c r="I189">
        <f>IFERROR(VLOOKUP(Master8[[#This Row],[Cell_ID]],Registre_Maintenance[],3,FALSE),"")</f>
        <v>4.8228650000000002</v>
      </c>
      <c r="J189">
        <f>IFERROR(VLOOKUP(Master8[[#This Row],[Cell_ID]],Registre_Maintenance[],4,FALSE),"")</f>
        <v>30.555627000000001</v>
      </c>
      <c r="K189" t="str">
        <f>IFERROR(VLOOKUP(Master8[[#This Row],[Cell_ID]],Registre_Maintenance[],5,FALSE),"")</f>
        <v>4G</v>
      </c>
      <c r="L189" t="str">
        <f>IFERROR(VLOOKUP(Master8[[#This Row],[Cell_ID]],Registre_Maintenance[],6,FALSE),"")</f>
        <v>Huawei</v>
      </c>
      <c r="M189" s="1" t="str">
        <f>VLOOKUP(Master8[[#This Row],[Province_RDC]],Client[],2,FALSE)</f>
        <v>CLI-00185</v>
      </c>
      <c r="N189" s="1">
        <f>VLOOKUP(Master8[[#This Row],[Province_RDC]],Client[],3,FALSE)</f>
        <v>81</v>
      </c>
      <c r="O189" s="1" t="str">
        <f>VLOOKUP(Master8[[#This Row],[Province_RDC]],Client[],4,FALSE)</f>
        <v>Pro Monde</v>
      </c>
      <c r="P189" s="1">
        <f>VLOOKUP(Master8[[#This Row],[Province_RDC]],Client[],5,FALSE)</f>
        <v>154</v>
      </c>
      <c r="Q189" s="1">
        <f>VLOOKUP(Master8[[#This Row],[Province_RDC]],Client[],6,FALSE)</f>
        <v>19.47</v>
      </c>
      <c r="R189" s="1">
        <f>VLOOKUP(Master8[[#This Row],[Province_RDC]],Client[],7,FALSE)</f>
        <v>3</v>
      </c>
      <c r="S189" s="1" t="str">
        <f>IF(Master8[[#This Row],[Type_Forfait]]="Pro Monde","B2B","B2C")</f>
        <v>B2B</v>
      </c>
      <c r="T189" s="1">
        <f>Master8[[#This Row],[Anciennete_Mois]]/12</f>
        <v>6.75</v>
      </c>
      <c r="U189" s="1">
        <f>Master8[[#This Row],[Duree_Cumule_Panne_Min]]/60</f>
        <v>2.5666666666666669</v>
      </c>
      <c r="V18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8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89" s="6">
        <f>Master8[[#This Row],[Facture_Mensuelle]]*Master8[[#This Row],[Remise]]</f>
        <v>1.9470000000000001</v>
      </c>
    </row>
    <row r="190" spans="1:24" x14ac:dyDescent="0.25">
      <c r="A190" s="1" t="s">
        <v>1241</v>
      </c>
      <c r="B190" t="str">
        <f>IFERROR(VLOOKUP(Master8[[#This Row],[Cell_ID]],Registre_Maintenance[],2,FALSE),"")</f>
        <v>Maniema</v>
      </c>
      <c r="C190" s="1" t="s">
        <v>919</v>
      </c>
      <c r="D190" s="2">
        <v>45210.38958333333</v>
      </c>
      <c r="E190" s="3">
        <v>45210.38958333333</v>
      </c>
      <c r="F190">
        <v>85</v>
      </c>
      <c r="G190">
        <f>Master8[[#This Row],[Duree_Panne_Min]]/60</f>
        <v>1.4166666666666667</v>
      </c>
      <c r="H190" s="1" t="s">
        <v>732</v>
      </c>
      <c r="I190">
        <f>IFERROR(VLOOKUP(Master8[[#This Row],[Cell_ID]],Registre_Maintenance[],3,FALSE),"")</f>
        <v>-4.2645619999999997</v>
      </c>
      <c r="J190">
        <f>IFERROR(VLOOKUP(Master8[[#This Row],[Cell_ID]],Registre_Maintenance[],4,FALSE),"")</f>
        <v>18.960726000000001</v>
      </c>
      <c r="K190" t="str">
        <f>IFERROR(VLOOKUP(Master8[[#This Row],[Cell_ID]],Registre_Maintenance[],5,FALSE),"")</f>
        <v>4G</v>
      </c>
      <c r="L190" t="str">
        <f>IFERROR(VLOOKUP(Master8[[#This Row],[Cell_ID]],Registre_Maintenance[],6,FALSE),"")</f>
        <v>Huawei</v>
      </c>
      <c r="M190" s="1" t="str">
        <f>VLOOKUP(Master8[[#This Row],[Province_RDC]],Client[],2,FALSE)</f>
        <v>CLI-00185</v>
      </c>
      <c r="N190" s="1">
        <f>VLOOKUP(Master8[[#This Row],[Province_RDC]],Client[],3,FALSE)</f>
        <v>81</v>
      </c>
      <c r="O190" s="1" t="str">
        <f>VLOOKUP(Master8[[#This Row],[Province_RDC]],Client[],4,FALSE)</f>
        <v>Pro Monde</v>
      </c>
      <c r="P190" s="1">
        <f>VLOOKUP(Master8[[#This Row],[Province_RDC]],Client[],5,FALSE)</f>
        <v>154</v>
      </c>
      <c r="Q190" s="1">
        <f>VLOOKUP(Master8[[#This Row],[Province_RDC]],Client[],6,FALSE)</f>
        <v>19.47</v>
      </c>
      <c r="R190" s="1">
        <f>VLOOKUP(Master8[[#This Row],[Province_RDC]],Client[],7,FALSE)</f>
        <v>3</v>
      </c>
      <c r="S190" s="1" t="str">
        <f>IF(Master8[[#This Row],[Type_Forfait]]="Pro Monde","B2B","B2C")</f>
        <v>B2B</v>
      </c>
      <c r="T190" s="1">
        <f>Master8[[#This Row],[Anciennete_Mois]]/12</f>
        <v>6.75</v>
      </c>
      <c r="U190" s="1">
        <f>Master8[[#This Row],[Duree_Cumule_Panne_Min]]/60</f>
        <v>2.5666666666666669</v>
      </c>
      <c r="V19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0" s="6">
        <f>Master8[[#This Row],[Facture_Mensuelle]]*Master8[[#This Row],[Remise]]</f>
        <v>1.9470000000000001</v>
      </c>
    </row>
    <row r="191" spans="1:24" x14ac:dyDescent="0.25">
      <c r="A191" s="1" t="s">
        <v>1086</v>
      </c>
      <c r="B191" t="str">
        <f>IFERROR(VLOOKUP(Master8[[#This Row],[Cell_ID]],Registre_Maintenance[],2,FALSE),"")</f>
        <v>Maniema</v>
      </c>
      <c r="C191" s="1" t="s">
        <v>1096</v>
      </c>
      <c r="D191" s="2">
        <v>45209.53125</v>
      </c>
      <c r="E191" s="3">
        <v>45209.53125</v>
      </c>
      <c r="F191">
        <v>63</v>
      </c>
      <c r="G191">
        <f>Master8[[#This Row],[Duree_Panne_Min]]/60</f>
        <v>1.05</v>
      </c>
      <c r="H191" s="1" t="s">
        <v>732</v>
      </c>
      <c r="I191">
        <f>IFERROR(VLOOKUP(Master8[[#This Row],[Cell_ID]],Registre_Maintenance[],3,FALSE),"")</f>
        <v>1.727095</v>
      </c>
      <c r="J191">
        <f>IFERROR(VLOOKUP(Master8[[#This Row],[Cell_ID]],Registre_Maintenance[],4,FALSE),"")</f>
        <v>22.099651999999999</v>
      </c>
      <c r="K191" t="str">
        <f>IFERROR(VLOOKUP(Master8[[#This Row],[Cell_ID]],Registre_Maintenance[],5,FALSE),"")</f>
        <v>4G</v>
      </c>
      <c r="L191" t="str">
        <f>IFERROR(VLOOKUP(Master8[[#This Row],[Cell_ID]],Registre_Maintenance[],6,FALSE),"")</f>
        <v>Huawei</v>
      </c>
      <c r="M191" s="1" t="str">
        <f>VLOOKUP(Master8[[#This Row],[Province_RDC]],Client[],2,FALSE)</f>
        <v>CLI-00185</v>
      </c>
      <c r="N191" s="1">
        <f>VLOOKUP(Master8[[#This Row],[Province_RDC]],Client[],3,FALSE)</f>
        <v>81</v>
      </c>
      <c r="O191" s="1" t="str">
        <f>VLOOKUP(Master8[[#This Row],[Province_RDC]],Client[],4,FALSE)</f>
        <v>Pro Monde</v>
      </c>
      <c r="P191" s="1">
        <f>VLOOKUP(Master8[[#This Row],[Province_RDC]],Client[],5,FALSE)</f>
        <v>154</v>
      </c>
      <c r="Q191" s="1">
        <f>VLOOKUP(Master8[[#This Row],[Province_RDC]],Client[],6,FALSE)</f>
        <v>19.47</v>
      </c>
      <c r="R191" s="1">
        <f>VLOOKUP(Master8[[#This Row],[Province_RDC]],Client[],7,FALSE)</f>
        <v>3</v>
      </c>
      <c r="S191" s="1" t="str">
        <f>IF(Master8[[#This Row],[Type_Forfait]]="Pro Monde","B2B","B2C")</f>
        <v>B2B</v>
      </c>
      <c r="T191" s="1">
        <f>Master8[[#This Row],[Anciennete_Mois]]/12</f>
        <v>6.75</v>
      </c>
      <c r="U191" s="1">
        <f>Master8[[#This Row],[Duree_Cumule_Panne_Min]]/60</f>
        <v>2.5666666666666669</v>
      </c>
      <c r="V19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1" s="6">
        <f>Master8[[#This Row],[Facture_Mensuelle]]*Master8[[#This Row],[Remise]]</f>
        <v>1.9470000000000001</v>
      </c>
    </row>
    <row r="192" spans="1:24" x14ac:dyDescent="0.25">
      <c r="A192" s="1" t="s">
        <v>902</v>
      </c>
      <c r="B192" t="str">
        <f>IFERROR(VLOOKUP(Master8[[#This Row],[Cell_ID]],Registre_Maintenance[],2,FALSE),"")</f>
        <v>Maniema</v>
      </c>
      <c r="C192" s="1" t="s">
        <v>919</v>
      </c>
      <c r="D192" s="2">
        <v>45206.362500000003</v>
      </c>
      <c r="E192" s="3">
        <v>45206.362500000003</v>
      </c>
      <c r="F192">
        <v>60</v>
      </c>
      <c r="G192">
        <f>Master8[[#This Row],[Duree_Panne_Min]]/60</f>
        <v>1</v>
      </c>
      <c r="H192" s="1" t="s">
        <v>737</v>
      </c>
      <c r="I192">
        <f>IFERROR(VLOOKUP(Master8[[#This Row],[Cell_ID]],Registre_Maintenance[],3,FALSE),"")</f>
        <v>-4.2645619999999997</v>
      </c>
      <c r="J192">
        <f>IFERROR(VLOOKUP(Master8[[#This Row],[Cell_ID]],Registre_Maintenance[],4,FALSE),"")</f>
        <v>18.960726000000001</v>
      </c>
      <c r="K192" t="str">
        <f>IFERROR(VLOOKUP(Master8[[#This Row],[Cell_ID]],Registre_Maintenance[],5,FALSE),"")</f>
        <v>4G</v>
      </c>
      <c r="L192" t="str">
        <f>IFERROR(VLOOKUP(Master8[[#This Row],[Cell_ID]],Registre_Maintenance[],6,FALSE),"")</f>
        <v>Huawei</v>
      </c>
      <c r="M192" s="1" t="str">
        <f>VLOOKUP(Master8[[#This Row],[Province_RDC]],Client[],2,FALSE)</f>
        <v>CLI-00185</v>
      </c>
      <c r="N192" s="1">
        <f>VLOOKUP(Master8[[#This Row],[Province_RDC]],Client[],3,FALSE)</f>
        <v>81</v>
      </c>
      <c r="O192" s="1" t="str">
        <f>VLOOKUP(Master8[[#This Row],[Province_RDC]],Client[],4,FALSE)</f>
        <v>Pro Monde</v>
      </c>
      <c r="P192" s="1">
        <f>VLOOKUP(Master8[[#This Row],[Province_RDC]],Client[],5,FALSE)</f>
        <v>154</v>
      </c>
      <c r="Q192" s="1">
        <f>VLOOKUP(Master8[[#This Row],[Province_RDC]],Client[],6,FALSE)</f>
        <v>19.47</v>
      </c>
      <c r="R192" s="1">
        <f>VLOOKUP(Master8[[#This Row],[Province_RDC]],Client[],7,FALSE)</f>
        <v>3</v>
      </c>
      <c r="S192" s="1" t="str">
        <f>IF(Master8[[#This Row],[Type_Forfait]]="Pro Monde","B2B","B2C")</f>
        <v>B2B</v>
      </c>
      <c r="T192" s="1">
        <f>Master8[[#This Row],[Anciennete_Mois]]/12</f>
        <v>6.75</v>
      </c>
      <c r="U192" s="1">
        <f>Master8[[#This Row],[Duree_Cumule_Panne_Min]]/60</f>
        <v>2.5666666666666669</v>
      </c>
      <c r="V19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2" s="6">
        <f>Master8[[#This Row],[Facture_Mensuelle]]*Master8[[#This Row],[Remise]]</f>
        <v>1.9470000000000001</v>
      </c>
    </row>
    <row r="193" spans="1:24" x14ac:dyDescent="0.25">
      <c r="A193" s="1" t="s">
        <v>1165</v>
      </c>
      <c r="B193" t="str">
        <f>IFERROR(VLOOKUP(Master8[[#This Row],[Cell_ID]],Registre_Maintenance[],2,FALSE),"")</f>
        <v>Maniema</v>
      </c>
      <c r="C193" s="1" t="s">
        <v>1187</v>
      </c>
      <c r="D193" s="2">
        <v>45204.011111111111</v>
      </c>
      <c r="E193" s="3">
        <v>45204.011111111111</v>
      </c>
      <c r="F193">
        <v>12</v>
      </c>
      <c r="G193">
        <f>Master8[[#This Row],[Duree_Panne_Min]]/60</f>
        <v>0.2</v>
      </c>
      <c r="H193" s="1" t="s">
        <v>735</v>
      </c>
      <c r="I193">
        <f>IFERROR(VLOOKUP(Master8[[#This Row],[Cell_ID]],Registre_Maintenance[],3,FALSE),"")</f>
        <v>-1.6488929999999999</v>
      </c>
      <c r="J193">
        <f>IFERROR(VLOOKUP(Master8[[#This Row],[Cell_ID]],Registre_Maintenance[],4,FALSE),"")</f>
        <v>27.284617000000001</v>
      </c>
      <c r="K193" t="str">
        <f>IFERROR(VLOOKUP(Master8[[#This Row],[Cell_ID]],Registre_Maintenance[],5,FALSE),"")</f>
        <v>5G</v>
      </c>
      <c r="L193" t="str">
        <f>IFERROR(VLOOKUP(Master8[[#This Row],[Cell_ID]],Registre_Maintenance[],6,FALSE),"")</f>
        <v>Nokia</v>
      </c>
      <c r="M193" s="1" t="str">
        <f>VLOOKUP(Master8[[#This Row],[Province_RDC]],Client[],2,FALSE)</f>
        <v>CLI-00185</v>
      </c>
      <c r="N193" s="1">
        <f>VLOOKUP(Master8[[#This Row],[Province_RDC]],Client[],3,FALSE)</f>
        <v>81</v>
      </c>
      <c r="O193" s="1" t="str">
        <f>VLOOKUP(Master8[[#This Row],[Province_RDC]],Client[],4,FALSE)</f>
        <v>Pro Monde</v>
      </c>
      <c r="P193" s="1">
        <f>VLOOKUP(Master8[[#This Row],[Province_RDC]],Client[],5,FALSE)</f>
        <v>154</v>
      </c>
      <c r="Q193" s="1">
        <f>VLOOKUP(Master8[[#This Row],[Province_RDC]],Client[],6,FALSE)</f>
        <v>19.47</v>
      </c>
      <c r="R193" s="1">
        <f>VLOOKUP(Master8[[#This Row],[Province_RDC]],Client[],7,FALSE)</f>
        <v>3</v>
      </c>
      <c r="S193" s="1" t="str">
        <f>IF(Master8[[#This Row],[Type_Forfait]]="Pro Monde","B2B","B2C")</f>
        <v>B2B</v>
      </c>
      <c r="T193" s="1">
        <f>Master8[[#This Row],[Anciennete_Mois]]/12</f>
        <v>6.75</v>
      </c>
      <c r="U193" s="1">
        <f>Master8[[#This Row],[Duree_Cumule_Panne_Min]]/60</f>
        <v>2.5666666666666669</v>
      </c>
      <c r="V19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3" s="6">
        <f>Master8[[#This Row],[Facture_Mensuelle]]*Master8[[#This Row],[Remise]]</f>
        <v>1.9470000000000001</v>
      </c>
    </row>
    <row r="194" spans="1:24" x14ac:dyDescent="0.25">
      <c r="A194" s="1" t="s">
        <v>861</v>
      </c>
      <c r="B194" t="str">
        <f>IFERROR(VLOOKUP(Master8[[#This Row],[Cell_ID]],Registre_Maintenance[],2,FALSE),"")</f>
        <v>Maniema</v>
      </c>
      <c r="C194" s="1" t="s">
        <v>886</v>
      </c>
      <c r="D194" s="2">
        <v>45203.750694444447</v>
      </c>
      <c r="E194" s="3">
        <v>45203.750694444447</v>
      </c>
      <c r="F194">
        <v>64</v>
      </c>
      <c r="G194">
        <f>Master8[[#This Row],[Duree_Panne_Min]]/60</f>
        <v>1.0666666666666667</v>
      </c>
      <c r="H194" s="1" t="s">
        <v>737</v>
      </c>
      <c r="I194">
        <f>IFERROR(VLOOKUP(Master8[[#This Row],[Cell_ID]],Registre_Maintenance[],3,FALSE),"")</f>
        <v>-4.6818410000000004</v>
      </c>
      <c r="J194">
        <f>IFERROR(VLOOKUP(Master8[[#This Row],[Cell_ID]],Registre_Maintenance[],4,FALSE),"")</f>
        <v>17.541618</v>
      </c>
      <c r="K194" t="str">
        <f>IFERROR(VLOOKUP(Master8[[#This Row],[Cell_ID]],Registre_Maintenance[],5,FALSE),"")</f>
        <v>4G</v>
      </c>
      <c r="L194" t="str">
        <f>IFERROR(VLOOKUP(Master8[[#This Row],[Cell_ID]],Registre_Maintenance[],6,FALSE),"")</f>
        <v>Ericsson</v>
      </c>
      <c r="M194" s="1" t="str">
        <f>VLOOKUP(Master8[[#This Row],[Province_RDC]],Client[],2,FALSE)</f>
        <v>CLI-00185</v>
      </c>
      <c r="N194" s="1">
        <f>VLOOKUP(Master8[[#This Row],[Province_RDC]],Client[],3,FALSE)</f>
        <v>81</v>
      </c>
      <c r="O194" s="1" t="str">
        <f>VLOOKUP(Master8[[#This Row],[Province_RDC]],Client[],4,FALSE)</f>
        <v>Pro Monde</v>
      </c>
      <c r="P194" s="1">
        <f>VLOOKUP(Master8[[#This Row],[Province_RDC]],Client[],5,FALSE)</f>
        <v>154</v>
      </c>
      <c r="Q194" s="1">
        <f>VLOOKUP(Master8[[#This Row],[Province_RDC]],Client[],6,FALSE)</f>
        <v>19.47</v>
      </c>
      <c r="R194" s="1">
        <f>VLOOKUP(Master8[[#This Row],[Province_RDC]],Client[],7,FALSE)</f>
        <v>3</v>
      </c>
      <c r="S194" s="1" t="str">
        <f>IF(Master8[[#This Row],[Type_Forfait]]="Pro Monde","B2B","B2C")</f>
        <v>B2B</v>
      </c>
      <c r="T194" s="1">
        <f>Master8[[#This Row],[Anciennete_Mois]]/12</f>
        <v>6.75</v>
      </c>
      <c r="U194" s="1">
        <f>Master8[[#This Row],[Duree_Cumule_Panne_Min]]/60</f>
        <v>2.5666666666666669</v>
      </c>
      <c r="V19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4" s="6">
        <f>Master8[[#This Row],[Facture_Mensuelle]]*Master8[[#This Row],[Remise]]</f>
        <v>1.9470000000000001</v>
      </c>
    </row>
    <row r="195" spans="1:24" x14ac:dyDescent="0.25">
      <c r="A195" s="1" t="s">
        <v>861</v>
      </c>
      <c r="B195" t="str">
        <f>IFERROR(VLOOKUP(Master8[[#This Row],[Cell_ID]],Registre_Maintenance[],2,FALSE),"")</f>
        <v>Maniema</v>
      </c>
      <c r="C195" s="1" t="s">
        <v>890</v>
      </c>
      <c r="D195" s="2">
        <v>45202.780555555553</v>
      </c>
      <c r="E195" s="3">
        <v>45202.780555555553</v>
      </c>
      <c r="F195">
        <v>53</v>
      </c>
      <c r="G195">
        <f>Master8[[#This Row],[Duree_Panne_Min]]/60</f>
        <v>0.8833333333333333</v>
      </c>
      <c r="H195" s="1" t="s">
        <v>737</v>
      </c>
      <c r="I195">
        <f>IFERROR(VLOOKUP(Master8[[#This Row],[Cell_ID]],Registre_Maintenance[],3,FALSE),"")</f>
        <v>-2.3743210000000001</v>
      </c>
      <c r="J195">
        <f>IFERROR(VLOOKUP(Master8[[#This Row],[Cell_ID]],Registre_Maintenance[],4,FALSE),"")</f>
        <v>22.399491000000001</v>
      </c>
      <c r="K195" t="str">
        <f>IFERROR(VLOOKUP(Master8[[#This Row],[Cell_ID]],Registre_Maintenance[],5,FALSE),"")</f>
        <v>5G</v>
      </c>
      <c r="L195" t="str">
        <f>IFERROR(VLOOKUP(Master8[[#This Row],[Cell_ID]],Registre_Maintenance[],6,FALSE),"")</f>
        <v>Ericsson</v>
      </c>
      <c r="M195" s="1" t="str">
        <f>VLOOKUP(Master8[[#This Row],[Province_RDC]],Client[],2,FALSE)</f>
        <v>CLI-00185</v>
      </c>
      <c r="N195" s="1">
        <f>VLOOKUP(Master8[[#This Row],[Province_RDC]],Client[],3,FALSE)</f>
        <v>81</v>
      </c>
      <c r="O195" s="1" t="str">
        <f>VLOOKUP(Master8[[#This Row],[Province_RDC]],Client[],4,FALSE)</f>
        <v>Pro Monde</v>
      </c>
      <c r="P195" s="1">
        <f>VLOOKUP(Master8[[#This Row],[Province_RDC]],Client[],5,FALSE)</f>
        <v>154</v>
      </c>
      <c r="Q195" s="1">
        <f>VLOOKUP(Master8[[#This Row],[Province_RDC]],Client[],6,FALSE)</f>
        <v>19.47</v>
      </c>
      <c r="R195" s="1">
        <f>VLOOKUP(Master8[[#This Row],[Province_RDC]],Client[],7,FALSE)</f>
        <v>3</v>
      </c>
      <c r="S195" s="1" t="str">
        <f>IF(Master8[[#This Row],[Type_Forfait]]="Pro Monde","B2B","B2C")</f>
        <v>B2B</v>
      </c>
      <c r="T195" s="1">
        <f>Master8[[#This Row],[Anciennete_Mois]]/12</f>
        <v>6.75</v>
      </c>
      <c r="U195" s="1">
        <f>Master8[[#This Row],[Duree_Cumule_Panne_Min]]/60</f>
        <v>2.5666666666666669</v>
      </c>
      <c r="V19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19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195" s="6">
        <f>Master8[[#This Row],[Facture_Mensuelle]]*Master8[[#This Row],[Remise]]</f>
        <v>1.9470000000000001</v>
      </c>
    </row>
    <row r="196" spans="1:24" x14ac:dyDescent="0.25">
      <c r="A196" s="1" t="s">
        <v>1308</v>
      </c>
      <c r="B196" t="str">
        <f>IFERROR(VLOOKUP(Master8[[#This Row],[Cell_ID]],Registre_Maintenance[],2,FALSE),"")</f>
        <v>Mai-Ndombe</v>
      </c>
      <c r="C196" s="1" t="s">
        <v>1170</v>
      </c>
      <c r="D196" s="2">
        <v>45227.77847222222</v>
      </c>
      <c r="E196" s="3">
        <v>45227.77847222222</v>
      </c>
      <c r="F196">
        <v>67</v>
      </c>
      <c r="G196">
        <f>Master8[[#This Row],[Duree_Panne_Min]]/60</f>
        <v>1.1166666666666667</v>
      </c>
      <c r="H196" s="1" t="s">
        <v>737</v>
      </c>
      <c r="I196">
        <f>IFERROR(VLOOKUP(Master8[[#This Row],[Cell_ID]],Registre_Maintenance[],3,FALSE),"")</f>
        <v>-0.47411900000000001</v>
      </c>
      <c r="J196">
        <f>IFERROR(VLOOKUP(Master8[[#This Row],[Cell_ID]],Registre_Maintenance[],4,FALSE),"")</f>
        <v>27.184329000000002</v>
      </c>
      <c r="K196" t="str">
        <f>IFERROR(VLOOKUP(Master8[[#This Row],[Cell_ID]],Registre_Maintenance[],5,FALSE),"")</f>
        <v>5G</v>
      </c>
      <c r="L196" t="str">
        <f>IFERROR(VLOOKUP(Master8[[#This Row],[Cell_ID]],Registre_Maintenance[],6,FALSE),"")</f>
        <v>ZTE</v>
      </c>
      <c r="M196" s="1" t="str">
        <f>VLOOKUP(Master8[[#This Row],[Province_RDC]],Client[],2,FALSE)</f>
        <v>CLI-00361</v>
      </c>
      <c r="N196" s="1">
        <f>VLOOKUP(Master8[[#This Row],[Province_RDC]],Client[],3,FALSE)</f>
        <v>66</v>
      </c>
      <c r="O196" s="1" t="str">
        <f>VLOOKUP(Master8[[#This Row],[Province_RDC]],Client[],4,FALSE)</f>
        <v>Illimité 50Go</v>
      </c>
      <c r="P196" s="1">
        <f>VLOOKUP(Master8[[#This Row],[Province_RDC]],Client[],5,FALSE)</f>
        <v>270</v>
      </c>
      <c r="Q196" s="1">
        <f>VLOOKUP(Master8[[#This Row],[Province_RDC]],Client[],6,FALSE)</f>
        <v>75.88</v>
      </c>
      <c r="R196" s="1">
        <f>VLOOKUP(Master8[[#This Row],[Province_RDC]],Client[],7,FALSE)</f>
        <v>3</v>
      </c>
      <c r="S196" s="1" t="str">
        <f>IF(Master8[[#This Row],[Type_Forfait]]="Pro Monde","B2B","B2C")</f>
        <v>B2C</v>
      </c>
      <c r="T196" s="1">
        <f>Master8[[#This Row],[Anciennete_Mois]]/12</f>
        <v>5.5</v>
      </c>
      <c r="U196" s="1">
        <f>Master8[[#This Row],[Duree_Cumule_Panne_Min]]/60</f>
        <v>4.5</v>
      </c>
      <c r="V19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9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96" s="6">
        <f>Master8[[#This Row],[Facture_Mensuelle]]*Master8[[#This Row],[Remise]]</f>
        <v>34.146000000000001</v>
      </c>
    </row>
    <row r="197" spans="1:24" x14ac:dyDescent="0.25">
      <c r="A197" s="1" t="s">
        <v>1165</v>
      </c>
      <c r="B197" t="str">
        <f>IFERROR(VLOOKUP(Master8[[#This Row],[Cell_ID]],Registre_Maintenance[],2,FALSE),"")</f>
        <v>Mai-Ndombe</v>
      </c>
      <c r="C197" s="1" t="s">
        <v>1170</v>
      </c>
      <c r="D197" s="2">
        <v>45225.623611111107</v>
      </c>
      <c r="E197" s="3">
        <v>45225.623611111107</v>
      </c>
      <c r="F197">
        <v>22</v>
      </c>
      <c r="G197">
        <f>Master8[[#This Row],[Duree_Panne_Min]]/60</f>
        <v>0.36666666666666664</v>
      </c>
      <c r="H197" s="1" t="s">
        <v>732</v>
      </c>
      <c r="I197">
        <f>IFERROR(VLOOKUP(Master8[[#This Row],[Cell_ID]],Registre_Maintenance[],3,FALSE),"")</f>
        <v>-0.47411900000000001</v>
      </c>
      <c r="J197">
        <f>IFERROR(VLOOKUP(Master8[[#This Row],[Cell_ID]],Registre_Maintenance[],4,FALSE),"")</f>
        <v>27.184329000000002</v>
      </c>
      <c r="K197" t="str">
        <f>IFERROR(VLOOKUP(Master8[[#This Row],[Cell_ID]],Registre_Maintenance[],5,FALSE),"")</f>
        <v>5G</v>
      </c>
      <c r="L197" t="str">
        <f>IFERROR(VLOOKUP(Master8[[#This Row],[Cell_ID]],Registre_Maintenance[],6,FALSE),"")</f>
        <v>ZTE</v>
      </c>
      <c r="M197" s="1" t="str">
        <f>VLOOKUP(Master8[[#This Row],[Province_RDC]],Client[],2,FALSE)</f>
        <v>CLI-00361</v>
      </c>
      <c r="N197" s="1">
        <f>VLOOKUP(Master8[[#This Row],[Province_RDC]],Client[],3,FALSE)</f>
        <v>66</v>
      </c>
      <c r="O197" s="1" t="str">
        <f>VLOOKUP(Master8[[#This Row],[Province_RDC]],Client[],4,FALSE)</f>
        <v>Illimité 50Go</v>
      </c>
      <c r="P197" s="1">
        <f>VLOOKUP(Master8[[#This Row],[Province_RDC]],Client[],5,FALSE)</f>
        <v>270</v>
      </c>
      <c r="Q197" s="1">
        <f>VLOOKUP(Master8[[#This Row],[Province_RDC]],Client[],6,FALSE)</f>
        <v>75.88</v>
      </c>
      <c r="R197" s="1">
        <f>VLOOKUP(Master8[[#This Row],[Province_RDC]],Client[],7,FALSE)</f>
        <v>3</v>
      </c>
      <c r="S197" s="1" t="str">
        <f>IF(Master8[[#This Row],[Type_Forfait]]="Pro Monde","B2B","B2C")</f>
        <v>B2C</v>
      </c>
      <c r="T197" s="1">
        <f>Master8[[#This Row],[Anciennete_Mois]]/12</f>
        <v>5.5</v>
      </c>
      <c r="U197" s="1">
        <f>Master8[[#This Row],[Duree_Cumule_Panne_Min]]/60</f>
        <v>4.5</v>
      </c>
      <c r="V19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9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97" s="6">
        <f>Master8[[#This Row],[Facture_Mensuelle]]*Master8[[#This Row],[Remise]]</f>
        <v>34.146000000000001</v>
      </c>
    </row>
    <row r="198" spans="1:24" x14ac:dyDescent="0.25">
      <c r="A198" s="1" t="s">
        <v>939</v>
      </c>
      <c r="B198" t="str">
        <f>IFERROR(VLOOKUP(Master8[[#This Row],[Cell_ID]],Registre_Maintenance[],2,FALSE),"")</f>
        <v>Mai-Ndombe</v>
      </c>
      <c r="C198" s="1" t="s">
        <v>968</v>
      </c>
      <c r="D198" s="2">
        <v>45225.215277777781</v>
      </c>
      <c r="E198" s="3">
        <v>45225.215277777781</v>
      </c>
      <c r="F198">
        <v>41</v>
      </c>
      <c r="G198">
        <f>Master8[[#This Row],[Duree_Panne_Min]]/60</f>
        <v>0.68333333333333335</v>
      </c>
      <c r="H198" s="1" t="s">
        <v>737</v>
      </c>
      <c r="I198">
        <f>IFERROR(VLOOKUP(Master8[[#This Row],[Cell_ID]],Registre_Maintenance[],3,FALSE),"")</f>
        <v>-4.9552579999999997</v>
      </c>
      <c r="J198">
        <f>IFERROR(VLOOKUP(Master8[[#This Row],[Cell_ID]],Registre_Maintenance[],4,FALSE),"")</f>
        <v>22.008103999999999</v>
      </c>
      <c r="K198" t="str">
        <f>IFERROR(VLOOKUP(Master8[[#This Row],[Cell_ID]],Registre_Maintenance[],5,FALSE),"")</f>
        <v>4G</v>
      </c>
      <c r="L198" t="str">
        <f>IFERROR(VLOOKUP(Master8[[#This Row],[Cell_ID]],Registre_Maintenance[],6,FALSE),"")</f>
        <v>Huawei</v>
      </c>
      <c r="M198" s="1" t="str">
        <f>VLOOKUP(Master8[[#This Row],[Province_RDC]],Client[],2,FALSE)</f>
        <v>CLI-00361</v>
      </c>
      <c r="N198" s="1">
        <f>VLOOKUP(Master8[[#This Row],[Province_RDC]],Client[],3,FALSE)</f>
        <v>66</v>
      </c>
      <c r="O198" s="1" t="str">
        <f>VLOOKUP(Master8[[#This Row],[Province_RDC]],Client[],4,FALSE)</f>
        <v>Illimité 50Go</v>
      </c>
      <c r="P198" s="1">
        <f>VLOOKUP(Master8[[#This Row],[Province_RDC]],Client[],5,FALSE)</f>
        <v>270</v>
      </c>
      <c r="Q198" s="1">
        <f>VLOOKUP(Master8[[#This Row],[Province_RDC]],Client[],6,FALSE)</f>
        <v>75.88</v>
      </c>
      <c r="R198" s="1">
        <f>VLOOKUP(Master8[[#This Row],[Province_RDC]],Client[],7,FALSE)</f>
        <v>3</v>
      </c>
      <c r="S198" s="1" t="str">
        <f>IF(Master8[[#This Row],[Type_Forfait]]="Pro Monde","B2B","B2C")</f>
        <v>B2C</v>
      </c>
      <c r="T198" s="1">
        <f>Master8[[#This Row],[Anciennete_Mois]]/12</f>
        <v>5.5</v>
      </c>
      <c r="U198" s="1">
        <f>Master8[[#This Row],[Duree_Cumule_Panne_Min]]/60</f>
        <v>4.5</v>
      </c>
      <c r="V19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9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98" s="6">
        <f>Master8[[#This Row],[Facture_Mensuelle]]*Master8[[#This Row],[Remise]]</f>
        <v>34.146000000000001</v>
      </c>
    </row>
    <row r="199" spans="1:24" x14ac:dyDescent="0.25">
      <c r="A199" s="1" t="s">
        <v>1361</v>
      </c>
      <c r="B199" t="str">
        <f>IFERROR(VLOOKUP(Master8[[#This Row],[Cell_ID]],Registre_Maintenance[],2,FALSE),"")</f>
        <v>Mai-Ndombe</v>
      </c>
      <c r="C199" s="1" t="s">
        <v>917</v>
      </c>
      <c r="D199" s="2">
        <v>45224.98333333333</v>
      </c>
      <c r="E199" s="3">
        <v>45224.98333333333</v>
      </c>
      <c r="F199">
        <v>107</v>
      </c>
      <c r="G199">
        <f>Master8[[#This Row],[Duree_Panne_Min]]/60</f>
        <v>1.7833333333333334</v>
      </c>
      <c r="H199" s="1" t="s">
        <v>737</v>
      </c>
      <c r="I199">
        <f>IFERROR(VLOOKUP(Master8[[#This Row],[Cell_ID]],Registre_Maintenance[],3,FALSE),"")</f>
        <v>-9.3652280000000001</v>
      </c>
      <c r="J199">
        <f>IFERROR(VLOOKUP(Master8[[#This Row],[Cell_ID]],Registre_Maintenance[],4,FALSE),"")</f>
        <v>18.674116000000001</v>
      </c>
      <c r="K199" t="str">
        <f>IFERROR(VLOOKUP(Master8[[#This Row],[Cell_ID]],Registre_Maintenance[],5,FALSE),"")</f>
        <v>4G</v>
      </c>
      <c r="L199" t="str">
        <f>IFERROR(VLOOKUP(Master8[[#This Row],[Cell_ID]],Registre_Maintenance[],6,FALSE),"")</f>
        <v>Huawei</v>
      </c>
      <c r="M199" s="1" t="str">
        <f>VLOOKUP(Master8[[#This Row],[Province_RDC]],Client[],2,FALSE)</f>
        <v>CLI-00361</v>
      </c>
      <c r="N199" s="1">
        <f>VLOOKUP(Master8[[#This Row],[Province_RDC]],Client[],3,FALSE)</f>
        <v>66</v>
      </c>
      <c r="O199" s="1" t="str">
        <f>VLOOKUP(Master8[[#This Row],[Province_RDC]],Client[],4,FALSE)</f>
        <v>Illimité 50Go</v>
      </c>
      <c r="P199" s="1">
        <f>VLOOKUP(Master8[[#This Row],[Province_RDC]],Client[],5,FALSE)</f>
        <v>270</v>
      </c>
      <c r="Q199" s="1">
        <f>VLOOKUP(Master8[[#This Row],[Province_RDC]],Client[],6,FALSE)</f>
        <v>75.88</v>
      </c>
      <c r="R199" s="1">
        <f>VLOOKUP(Master8[[#This Row],[Province_RDC]],Client[],7,FALSE)</f>
        <v>3</v>
      </c>
      <c r="S199" s="1" t="str">
        <f>IF(Master8[[#This Row],[Type_Forfait]]="Pro Monde","B2B","B2C")</f>
        <v>B2C</v>
      </c>
      <c r="T199" s="1">
        <f>Master8[[#This Row],[Anciennete_Mois]]/12</f>
        <v>5.5</v>
      </c>
      <c r="U199" s="1">
        <f>Master8[[#This Row],[Duree_Cumule_Panne_Min]]/60</f>
        <v>4.5</v>
      </c>
      <c r="V19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19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199" s="6">
        <f>Master8[[#This Row],[Facture_Mensuelle]]*Master8[[#This Row],[Remise]]</f>
        <v>34.146000000000001</v>
      </c>
    </row>
    <row r="200" spans="1:24" x14ac:dyDescent="0.25">
      <c r="A200" s="1" t="s">
        <v>902</v>
      </c>
      <c r="B200" t="str">
        <f>IFERROR(VLOOKUP(Master8[[#This Row],[Cell_ID]],Registre_Maintenance[],2,FALSE),"")</f>
        <v>Mai-Ndombe</v>
      </c>
      <c r="C200" s="1" t="s">
        <v>911</v>
      </c>
      <c r="D200" s="2">
        <v>45224.568055555559</v>
      </c>
      <c r="E200" s="3">
        <v>45224.568055555559</v>
      </c>
      <c r="F200">
        <v>27</v>
      </c>
      <c r="G200">
        <f>Master8[[#This Row],[Duree_Panne_Min]]/60</f>
        <v>0.45</v>
      </c>
      <c r="H200" s="1" t="s">
        <v>732</v>
      </c>
      <c r="I200">
        <f>IFERROR(VLOOKUP(Master8[[#This Row],[Cell_ID]],Registre_Maintenance[],3,FALSE),"")</f>
        <v>-10.442425</v>
      </c>
      <c r="J200">
        <f>IFERROR(VLOOKUP(Master8[[#This Row],[Cell_ID]],Registre_Maintenance[],4,FALSE),"")</f>
        <v>23.243632000000002</v>
      </c>
      <c r="K200" t="str">
        <f>IFERROR(VLOOKUP(Master8[[#This Row],[Cell_ID]],Registre_Maintenance[],5,FALSE),"")</f>
        <v>4G</v>
      </c>
      <c r="L200" t="str">
        <f>IFERROR(VLOOKUP(Master8[[#This Row],[Cell_ID]],Registre_Maintenance[],6,FALSE),"")</f>
        <v>Nokia</v>
      </c>
      <c r="M200" s="1" t="str">
        <f>VLOOKUP(Master8[[#This Row],[Province_RDC]],Client[],2,FALSE)</f>
        <v>CLI-00361</v>
      </c>
      <c r="N200" s="1">
        <f>VLOOKUP(Master8[[#This Row],[Province_RDC]],Client[],3,FALSE)</f>
        <v>66</v>
      </c>
      <c r="O200" s="1" t="str">
        <f>VLOOKUP(Master8[[#This Row],[Province_RDC]],Client[],4,FALSE)</f>
        <v>Illimité 50Go</v>
      </c>
      <c r="P200" s="1">
        <f>VLOOKUP(Master8[[#This Row],[Province_RDC]],Client[],5,FALSE)</f>
        <v>270</v>
      </c>
      <c r="Q200" s="1">
        <f>VLOOKUP(Master8[[#This Row],[Province_RDC]],Client[],6,FALSE)</f>
        <v>75.88</v>
      </c>
      <c r="R200" s="1">
        <f>VLOOKUP(Master8[[#This Row],[Province_RDC]],Client[],7,FALSE)</f>
        <v>3</v>
      </c>
      <c r="S200" s="1" t="str">
        <f>IF(Master8[[#This Row],[Type_Forfait]]="Pro Monde","B2B","B2C")</f>
        <v>B2C</v>
      </c>
      <c r="T200" s="1">
        <f>Master8[[#This Row],[Anciennete_Mois]]/12</f>
        <v>5.5</v>
      </c>
      <c r="U200" s="1">
        <f>Master8[[#This Row],[Duree_Cumule_Panne_Min]]/60</f>
        <v>4.5</v>
      </c>
      <c r="V20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0" s="6">
        <f>Master8[[#This Row],[Facture_Mensuelle]]*Master8[[#This Row],[Remise]]</f>
        <v>34.146000000000001</v>
      </c>
    </row>
    <row r="201" spans="1:24" x14ac:dyDescent="0.25">
      <c r="A201" s="1" t="s">
        <v>1404</v>
      </c>
      <c r="B201" t="str">
        <f>IFERROR(VLOOKUP(Master8[[#This Row],[Cell_ID]],Registre_Maintenance[],2,FALSE),"")</f>
        <v>Mai-Ndombe</v>
      </c>
      <c r="C201" s="1" t="s">
        <v>917</v>
      </c>
      <c r="D201" s="2">
        <v>45223.570138888892</v>
      </c>
      <c r="E201" s="3">
        <v>45223.570138888892</v>
      </c>
      <c r="F201">
        <v>10</v>
      </c>
      <c r="G201">
        <f>Master8[[#This Row],[Duree_Panne_Min]]/60</f>
        <v>0.16666666666666666</v>
      </c>
      <c r="H201" s="1" t="s">
        <v>735</v>
      </c>
      <c r="I201">
        <f>IFERROR(VLOOKUP(Master8[[#This Row],[Cell_ID]],Registre_Maintenance[],3,FALSE),"")</f>
        <v>-9.3652280000000001</v>
      </c>
      <c r="J201">
        <f>IFERROR(VLOOKUP(Master8[[#This Row],[Cell_ID]],Registre_Maintenance[],4,FALSE),"")</f>
        <v>18.674116000000001</v>
      </c>
      <c r="K201" t="str">
        <f>IFERROR(VLOOKUP(Master8[[#This Row],[Cell_ID]],Registre_Maintenance[],5,FALSE),"")</f>
        <v>4G</v>
      </c>
      <c r="L201" t="str">
        <f>IFERROR(VLOOKUP(Master8[[#This Row],[Cell_ID]],Registre_Maintenance[],6,FALSE),"")</f>
        <v>Huawei</v>
      </c>
      <c r="M201" s="1" t="str">
        <f>VLOOKUP(Master8[[#This Row],[Province_RDC]],Client[],2,FALSE)</f>
        <v>CLI-00361</v>
      </c>
      <c r="N201" s="1">
        <f>VLOOKUP(Master8[[#This Row],[Province_RDC]],Client[],3,FALSE)</f>
        <v>66</v>
      </c>
      <c r="O201" s="1" t="str">
        <f>VLOOKUP(Master8[[#This Row],[Province_RDC]],Client[],4,FALSE)</f>
        <v>Illimité 50Go</v>
      </c>
      <c r="P201" s="1">
        <f>VLOOKUP(Master8[[#This Row],[Province_RDC]],Client[],5,FALSE)</f>
        <v>270</v>
      </c>
      <c r="Q201" s="1">
        <f>VLOOKUP(Master8[[#This Row],[Province_RDC]],Client[],6,FALSE)</f>
        <v>75.88</v>
      </c>
      <c r="R201" s="1">
        <f>VLOOKUP(Master8[[#This Row],[Province_RDC]],Client[],7,FALSE)</f>
        <v>3</v>
      </c>
      <c r="S201" s="1" t="str">
        <f>IF(Master8[[#This Row],[Type_Forfait]]="Pro Monde","B2B","B2C")</f>
        <v>B2C</v>
      </c>
      <c r="T201" s="1">
        <f>Master8[[#This Row],[Anciennete_Mois]]/12</f>
        <v>5.5</v>
      </c>
      <c r="U201" s="1">
        <f>Master8[[#This Row],[Duree_Cumule_Panne_Min]]/60</f>
        <v>4.5</v>
      </c>
      <c r="V20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1" s="6">
        <f>Master8[[#This Row],[Facture_Mensuelle]]*Master8[[#This Row],[Remise]]</f>
        <v>34.146000000000001</v>
      </c>
    </row>
    <row r="202" spans="1:24" x14ac:dyDescent="0.25">
      <c r="A202" s="1" t="s">
        <v>1138</v>
      </c>
      <c r="B202" t="str">
        <f>IFERROR(VLOOKUP(Master8[[#This Row],[Cell_ID]],Registre_Maintenance[],2,FALSE),"")</f>
        <v>Mai-Ndombe</v>
      </c>
      <c r="C202" s="1" t="s">
        <v>1154</v>
      </c>
      <c r="D202" s="2">
        <v>45214.697916666657</v>
      </c>
      <c r="E202" s="3">
        <v>45214.697916666657</v>
      </c>
      <c r="F202">
        <v>98</v>
      </c>
      <c r="G202">
        <f>Master8[[#This Row],[Duree_Panne_Min]]/60</f>
        <v>1.6333333333333333</v>
      </c>
      <c r="H202" s="1" t="s">
        <v>737</v>
      </c>
      <c r="I202">
        <f>IFERROR(VLOOKUP(Master8[[#This Row],[Cell_ID]],Registre_Maintenance[],3,FALSE),"")</f>
        <v>-12.192204</v>
      </c>
      <c r="J202">
        <f>IFERROR(VLOOKUP(Master8[[#This Row],[Cell_ID]],Registre_Maintenance[],4,FALSE),"")</f>
        <v>28.468682000000001</v>
      </c>
      <c r="K202" t="str">
        <f>IFERROR(VLOOKUP(Master8[[#This Row],[Cell_ID]],Registre_Maintenance[],5,FALSE),"")</f>
        <v>3G</v>
      </c>
      <c r="L202" t="str">
        <f>IFERROR(VLOOKUP(Master8[[#This Row],[Cell_ID]],Registre_Maintenance[],6,FALSE),"")</f>
        <v>ZTE</v>
      </c>
      <c r="M202" s="1" t="str">
        <f>VLOOKUP(Master8[[#This Row],[Province_RDC]],Client[],2,FALSE)</f>
        <v>CLI-00361</v>
      </c>
      <c r="N202" s="1">
        <f>VLOOKUP(Master8[[#This Row],[Province_RDC]],Client[],3,FALSE)</f>
        <v>66</v>
      </c>
      <c r="O202" s="1" t="str">
        <f>VLOOKUP(Master8[[#This Row],[Province_RDC]],Client[],4,FALSE)</f>
        <v>Illimité 50Go</v>
      </c>
      <c r="P202" s="1">
        <f>VLOOKUP(Master8[[#This Row],[Province_RDC]],Client[],5,FALSE)</f>
        <v>270</v>
      </c>
      <c r="Q202" s="1">
        <f>VLOOKUP(Master8[[#This Row],[Province_RDC]],Client[],6,FALSE)</f>
        <v>75.88</v>
      </c>
      <c r="R202" s="1">
        <f>VLOOKUP(Master8[[#This Row],[Province_RDC]],Client[],7,FALSE)</f>
        <v>3</v>
      </c>
      <c r="S202" s="1" t="str">
        <f>IF(Master8[[#This Row],[Type_Forfait]]="Pro Monde","B2B","B2C")</f>
        <v>B2C</v>
      </c>
      <c r="T202" s="1">
        <f>Master8[[#This Row],[Anciennete_Mois]]/12</f>
        <v>5.5</v>
      </c>
      <c r="U202" s="1">
        <f>Master8[[#This Row],[Duree_Cumule_Panne_Min]]/60</f>
        <v>4.5</v>
      </c>
      <c r="V20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2" s="6">
        <f>Master8[[#This Row],[Facture_Mensuelle]]*Master8[[#This Row],[Remise]]</f>
        <v>34.146000000000001</v>
      </c>
    </row>
    <row r="203" spans="1:24" x14ac:dyDescent="0.25">
      <c r="A203" s="1" t="s">
        <v>1241</v>
      </c>
      <c r="B203" t="str">
        <f>IFERROR(VLOOKUP(Master8[[#This Row],[Cell_ID]],Registre_Maintenance[],2,FALSE),"")</f>
        <v>Mai-Ndombe</v>
      </c>
      <c r="C203" s="1" t="s">
        <v>917</v>
      </c>
      <c r="D203" s="2">
        <v>45206.956944444442</v>
      </c>
      <c r="E203" s="3">
        <v>45206.956944444442</v>
      </c>
      <c r="F203">
        <v>32</v>
      </c>
      <c r="G203">
        <f>Master8[[#This Row],[Duree_Panne_Min]]/60</f>
        <v>0.53333333333333333</v>
      </c>
      <c r="H203" s="1" t="s">
        <v>735</v>
      </c>
      <c r="I203">
        <f>IFERROR(VLOOKUP(Master8[[#This Row],[Cell_ID]],Registre_Maintenance[],3,FALSE),"")</f>
        <v>-9.3652280000000001</v>
      </c>
      <c r="J203">
        <f>IFERROR(VLOOKUP(Master8[[#This Row],[Cell_ID]],Registre_Maintenance[],4,FALSE),"")</f>
        <v>18.674116000000001</v>
      </c>
      <c r="K203" t="str">
        <f>IFERROR(VLOOKUP(Master8[[#This Row],[Cell_ID]],Registre_Maintenance[],5,FALSE),"")</f>
        <v>4G</v>
      </c>
      <c r="L203" t="str">
        <f>IFERROR(VLOOKUP(Master8[[#This Row],[Cell_ID]],Registre_Maintenance[],6,FALSE),"")</f>
        <v>Huawei</v>
      </c>
      <c r="M203" s="1" t="str">
        <f>VLOOKUP(Master8[[#This Row],[Province_RDC]],Client[],2,FALSE)</f>
        <v>CLI-00361</v>
      </c>
      <c r="N203" s="1">
        <f>VLOOKUP(Master8[[#This Row],[Province_RDC]],Client[],3,FALSE)</f>
        <v>66</v>
      </c>
      <c r="O203" s="1" t="str">
        <f>VLOOKUP(Master8[[#This Row],[Province_RDC]],Client[],4,FALSE)</f>
        <v>Illimité 50Go</v>
      </c>
      <c r="P203" s="1">
        <f>VLOOKUP(Master8[[#This Row],[Province_RDC]],Client[],5,FALSE)</f>
        <v>270</v>
      </c>
      <c r="Q203" s="1">
        <f>VLOOKUP(Master8[[#This Row],[Province_RDC]],Client[],6,FALSE)</f>
        <v>75.88</v>
      </c>
      <c r="R203" s="1">
        <f>VLOOKUP(Master8[[#This Row],[Province_RDC]],Client[],7,FALSE)</f>
        <v>3</v>
      </c>
      <c r="S203" s="1" t="str">
        <f>IF(Master8[[#This Row],[Type_Forfait]]="Pro Monde","B2B","B2C")</f>
        <v>B2C</v>
      </c>
      <c r="T203" s="1">
        <f>Master8[[#This Row],[Anciennete_Mois]]/12</f>
        <v>5.5</v>
      </c>
      <c r="U203" s="1">
        <f>Master8[[#This Row],[Duree_Cumule_Panne_Min]]/60</f>
        <v>4.5</v>
      </c>
      <c r="V20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3" s="6">
        <f>Master8[[#This Row],[Facture_Mensuelle]]*Master8[[#This Row],[Remise]]</f>
        <v>34.146000000000001</v>
      </c>
    </row>
    <row r="204" spans="1:24" x14ac:dyDescent="0.25">
      <c r="A204" s="1" t="s">
        <v>1345</v>
      </c>
      <c r="B204" t="str">
        <f>IFERROR(VLOOKUP(Master8[[#This Row],[Cell_ID]],Registre_Maintenance[],2,FALSE),"")</f>
        <v>Mai-Ndombe</v>
      </c>
      <c r="C204" s="1" t="s">
        <v>1354</v>
      </c>
      <c r="D204" s="2">
        <v>45206.23333333333</v>
      </c>
      <c r="E204" s="3">
        <v>45206.23333333333</v>
      </c>
      <c r="F204">
        <v>26</v>
      </c>
      <c r="G204">
        <f>Master8[[#This Row],[Duree_Panne_Min]]/60</f>
        <v>0.43333333333333335</v>
      </c>
      <c r="H204" s="1" t="s">
        <v>737</v>
      </c>
      <c r="I204">
        <f>IFERROR(VLOOKUP(Master8[[#This Row],[Cell_ID]],Registre_Maintenance[],3,FALSE),"")</f>
        <v>-4.6311460000000002</v>
      </c>
      <c r="J204">
        <f>IFERROR(VLOOKUP(Master8[[#This Row],[Cell_ID]],Registre_Maintenance[],4,FALSE),"")</f>
        <v>25.314723000000001</v>
      </c>
      <c r="K204" t="str">
        <f>IFERROR(VLOOKUP(Master8[[#This Row],[Cell_ID]],Registre_Maintenance[],5,FALSE),"")</f>
        <v>4G</v>
      </c>
      <c r="L204" t="str">
        <f>IFERROR(VLOOKUP(Master8[[#This Row],[Cell_ID]],Registre_Maintenance[],6,FALSE),"")</f>
        <v>Huawei</v>
      </c>
      <c r="M204" s="1" t="str">
        <f>VLOOKUP(Master8[[#This Row],[Province_RDC]],Client[],2,FALSE)</f>
        <v>CLI-00361</v>
      </c>
      <c r="N204" s="1">
        <f>VLOOKUP(Master8[[#This Row],[Province_RDC]],Client[],3,FALSE)</f>
        <v>66</v>
      </c>
      <c r="O204" s="1" t="str">
        <f>VLOOKUP(Master8[[#This Row],[Province_RDC]],Client[],4,FALSE)</f>
        <v>Illimité 50Go</v>
      </c>
      <c r="P204" s="1">
        <f>VLOOKUP(Master8[[#This Row],[Province_RDC]],Client[],5,FALSE)</f>
        <v>270</v>
      </c>
      <c r="Q204" s="1">
        <f>VLOOKUP(Master8[[#This Row],[Province_RDC]],Client[],6,FALSE)</f>
        <v>75.88</v>
      </c>
      <c r="R204" s="1">
        <f>VLOOKUP(Master8[[#This Row],[Province_RDC]],Client[],7,FALSE)</f>
        <v>3</v>
      </c>
      <c r="S204" s="1" t="str">
        <f>IF(Master8[[#This Row],[Type_Forfait]]="Pro Monde","B2B","B2C")</f>
        <v>B2C</v>
      </c>
      <c r="T204" s="1">
        <f>Master8[[#This Row],[Anciennete_Mois]]/12</f>
        <v>5.5</v>
      </c>
      <c r="U204" s="1">
        <f>Master8[[#This Row],[Duree_Cumule_Panne_Min]]/60</f>
        <v>4.5</v>
      </c>
      <c r="V20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4" s="6">
        <f>Master8[[#This Row],[Facture_Mensuelle]]*Master8[[#This Row],[Remise]]</f>
        <v>34.146000000000001</v>
      </c>
    </row>
    <row r="205" spans="1:24" x14ac:dyDescent="0.25">
      <c r="A205" s="1" t="s">
        <v>861</v>
      </c>
      <c r="B205" t="str">
        <f>IFERROR(VLOOKUP(Master8[[#This Row],[Cell_ID]],Registre_Maintenance[],2,FALSE),"")</f>
        <v>Mai-Ndombe</v>
      </c>
      <c r="C205" s="1" t="s">
        <v>868</v>
      </c>
      <c r="D205" s="2">
        <v>45202.852083333331</v>
      </c>
      <c r="E205" s="3">
        <v>45202.852083333331</v>
      </c>
      <c r="F205">
        <v>83</v>
      </c>
      <c r="G205">
        <f>Master8[[#This Row],[Duree_Panne_Min]]/60</f>
        <v>1.3833333333333333</v>
      </c>
      <c r="H205" s="1" t="s">
        <v>732</v>
      </c>
      <c r="I205">
        <f>IFERROR(VLOOKUP(Master8[[#This Row],[Cell_ID]],Registre_Maintenance[],3,FALSE),"")</f>
        <v>-1.607639</v>
      </c>
      <c r="J205">
        <f>IFERROR(VLOOKUP(Master8[[#This Row],[Cell_ID]],Registre_Maintenance[],4,FALSE),"")</f>
        <v>17.003636</v>
      </c>
      <c r="K205" t="str">
        <f>IFERROR(VLOOKUP(Master8[[#This Row],[Cell_ID]],Registre_Maintenance[],5,FALSE),"")</f>
        <v>4G</v>
      </c>
      <c r="L205" t="str">
        <f>IFERROR(VLOOKUP(Master8[[#This Row],[Cell_ID]],Registre_Maintenance[],6,FALSE),"")</f>
        <v>Ericsson</v>
      </c>
      <c r="M205" s="1" t="str">
        <f>VLOOKUP(Master8[[#This Row],[Province_RDC]],Client[],2,FALSE)</f>
        <v>CLI-00361</v>
      </c>
      <c r="N205" s="1">
        <f>VLOOKUP(Master8[[#This Row],[Province_RDC]],Client[],3,FALSE)</f>
        <v>66</v>
      </c>
      <c r="O205" s="1" t="str">
        <f>VLOOKUP(Master8[[#This Row],[Province_RDC]],Client[],4,FALSE)</f>
        <v>Illimité 50Go</v>
      </c>
      <c r="P205" s="1">
        <f>VLOOKUP(Master8[[#This Row],[Province_RDC]],Client[],5,FALSE)</f>
        <v>270</v>
      </c>
      <c r="Q205" s="1">
        <f>VLOOKUP(Master8[[#This Row],[Province_RDC]],Client[],6,FALSE)</f>
        <v>75.88</v>
      </c>
      <c r="R205" s="1">
        <f>VLOOKUP(Master8[[#This Row],[Province_RDC]],Client[],7,FALSE)</f>
        <v>3</v>
      </c>
      <c r="S205" s="1" t="str">
        <f>IF(Master8[[#This Row],[Type_Forfait]]="Pro Monde","B2B","B2C")</f>
        <v>B2C</v>
      </c>
      <c r="T205" s="1">
        <f>Master8[[#This Row],[Anciennete_Mois]]/12</f>
        <v>5.5</v>
      </c>
      <c r="U205" s="1">
        <f>Master8[[#This Row],[Duree_Cumule_Panne_Min]]/60</f>
        <v>4.5</v>
      </c>
      <c r="V20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5" s="6">
        <f>Master8[[#This Row],[Facture_Mensuelle]]*Master8[[#This Row],[Remise]]</f>
        <v>34.146000000000001</v>
      </c>
    </row>
    <row r="206" spans="1:24" x14ac:dyDescent="0.25">
      <c r="A206" s="1" t="s">
        <v>902</v>
      </c>
      <c r="B206" t="str">
        <f>IFERROR(VLOOKUP(Master8[[#This Row],[Cell_ID]],Registre_Maintenance[],2,FALSE),"")</f>
        <v>Mai-Ndombe</v>
      </c>
      <c r="C206" s="1" t="s">
        <v>917</v>
      </c>
      <c r="D206" s="2">
        <v>45201.824305555558</v>
      </c>
      <c r="E206" s="3">
        <v>45201.824305555558</v>
      </c>
      <c r="F206">
        <v>28</v>
      </c>
      <c r="G206">
        <f>Master8[[#This Row],[Duree_Panne_Min]]/60</f>
        <v>0.46666666666666667</v>
      </c>
      <c r="H206" s="1" t="s">
        <v>735</v>
      </c>
      <c r="I206">
        <f>IFERROR(VLOOKUP(Master8[[#This Row],[Cell_ID]],Registre_Maintenance[],3,FALSE),"")</f>
        <v>-9.3652280000000001</v>
      </c>
      <c r="J206">
        <f>IFERROR(VLOOKUP(Master8[[#This Row],[Cell_ID]],Registre_Maintenance[],4,FALSE),"")</f>
        <v>18.674116000000001</v>
      </c>
      <c r="K206" t="str">
        <f>IFERROR(VLOOKUP(Master8[[#This Row],[Cell_ID]],Registre_Maintenance[],5,FALSE),"")</f>
        <v>4G</v>
      </c>
      <c r="L206" t="str">
        <f>IFERROR(VLOOKUP(Master8[[#This Row],[Cell_ID]],Registre_Maintenance[],6,FALSE),"")</f>
        <v>Huawei</v>
      </c>
      <c r="M206" s="1" t="str">
        <f>VLOOKUP(Master8[[#This Row],[Province_RDC]],Client[],2,FALSE)</f>
        <v>CLI-00361</v>
      </c>
      <c r="N206" s="1">
        <f>VLOOKUP(Master8[[#This Row],[Province_RDC]],Client[],3,FALSE)</f>
        <v>66</v>
      </c>
      <c r="O206" s="1" t="str">
        <f>VLOOKUP(Master8[[#This Row],[Province_RDC]],Client[],4,FALSE)</f>
        <v>Illimité 50Go</v>
      </c>
      <c r="P206" s="1">
        <f>VLOOKUP(Master8[[#This Row],[Province_RDC]],Client[],5,FALSE)</f>
        <v>270</v>
      </c>
      <c r="Q206" s="1">
        <f>VLOOKUP(Master8[[#This Row],[Province_RDC]],Client[],6,FALSE)</f>
        <v>75.88</v>
      </c>
      <c r="R206" s="1">
        <f>VLOOKUP(Master8[[#This Row],[Province_RDC]],Client[],7,FALSE)</f>
        <v>3</v>
      </c>
      <c r="S206" s="1" t="str">
        <f>IF(Master8[[#This Row],[Type_Forfait]]="Pro Monde","B2B","B2C")</f>
        <v>B2C</v>
      </c>
      <c r="T206" s="1">
        <f>Master8[[#This Row],[Anciennete_Mois]]/12</f>
        <v>5.5</v>
      </c>
      <c r="U206" s="1">
        <f>Master8[[#This Row],[Duree_Cumule_Panne_Min]]/60</f>
        <v>4.5</v>
      </c>
      <c r="V20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0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06" s="6">
        <f>Master8[[#This Row],[Facture_Mensuelle]]*Master8[[#This Row],[Remise]]</f>
        <v>34.146000000000001</v>
      </c>
    </row>
    <row r="207" spans="1:24" x14ac:dyDescent="0.25">
      <c r="A207" s="1" t="s">
        <v>1308</v>
      </c>
      <c r="B207" t="str">
        <f>IFERROR(VLOOKUP(Master8[[#This Row],[Cell_ID]],Registre_Maintenance[],2,FALSE),"")</f>
        <v>Lualaba</v>
      </c>
      <c r="C207" s="1" t="s">
        <v>916</v>
      </c>
      <c r="D207" s="2">
        <v>45230.119444444441</v>
      </c>
      <c r="E207" s="3">
        <v>45230.119444444441</v>
      </c>
      <c r="F207">
        <v>8</v>
      </c>
      <c r="G207">
        <f>Master8[[#This Row],[Duree_Panne_Min]]/60</f>
        <v>0.13333333333333333</v>
      </c>
      <c r="H207" s="1" t="s">
        <v>735</v>
      </c>
      <c r="I207">
        <f>IFERROR(VLOOKUP(Master8[[#This Row],[Cell_ID]],Registre_Maintenance[],3,FALSE),"")</f>
        <v>-9.5243310000000001</v>
      </c>
      <c r="J207">
        <f>IFERROR(VLOOKUP(Master8[[#This Row],[Cell_ID]],Registre_Maintenance[],4,FALSE),"")</f>
        <v>30.541212000000002</v>
      </c>
      <c r="K207" t="str">
        <f>IFERROR(VLOOKUP(Master8[[#This Row],[Cell_ID]],Registre_Maintenance[],5,FALSE),"")</f>
        <v>3G</v>
      </c>
      <c r="L207" t="str">
        <f>IFERROR(VLOOKUP(Master8[[#This Row],[Cell_ID]],Registre_Maintenance[],6,FALSE),"")</f>
        <v>Ericsson</v>
      </c>
      <c r="M207" s="1" t="str">
        <f>VLOOKUP(Master8[[#This Row],[Province_RDC]],Client[],2,FALSE)</f>
        <v>CLI-01005</v>
      </c>
      <c r="N207" s="1">
        <f>VLOOKUP(Master8[[#This Row],[Province_RDC]],Client[],3,FALSE)</f>
        <v>80</v>
      </c>
      <c r="O207" s="1" t="str">
        <f>VLOOKUP(Master8[[#This Row],[Province_RDC]],Client[],4,FALSE)</f>
        <v>Illimité 50Go</v>
      </c>
      <c r="P207" s="1">
        <f>VLOOKUP(Master8[[#This Row],[Province_RDC]],Client[],5,FALSE)</f>
        <v>155</v>
      </c>
      <c r="Q207" s="1">
        <f>VLOOKUP(Master8[[#This Row],[Province_RDC]],Client[],6,FALSE)</f>
        <v>28.96</v>
      </c>
      <c r="R207" s="1">
        <f>VLOOKUP(Master8[[#This Row],[Province_RDC]],Client[],7,FALSE)</f>
        <v>2</v>
      </c>
      <c r="S207" s="1" t="str">
        <f>IF(Master8[[#This Row],[Type_Forfait]]="Pro Monde","B2B","B2C")</f>
        <v>B2C</v>
      </c>
      <c r="T207" s="1">
        <f>Master8[[#This Row],[Anciennete_Mois]]/12</f>
        <v>6.666666666666667</v>
      </c>
      <c r="U207" s="1">
        <f>Master8[[#This Row],[Duree_Cumule_Panne_Min]]/60</f>
        <v>2.5833333333333335</v>
      </c>
      <c r="V20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0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07" s="6">
        <f>Master8[[#This Row],[Facture_Mensuelle]]*Master8[[#This Row],[Remise]]</f>
        <v>0</v>
      </c>
    </row>
    <row r="208" spans="1:24" x14ac:dyDescent="0.25">
      <c r="A208" s="1" t="s">
        <v>1024</v>
      </c>
      <c r="B208" t="str">
        <f>IFERROR(VLOOKUP(Master8[[#This Row],[Cell_ID]],Registre_Maintenance[],2,FALSE),"")</f>
        <v>Lualaba</v>
      </c>
      <c r="C208" s="1" t="s">
        <v>1038</v>
      </c>
      <c r="D208" s="2">
        <v>45229.39166666667</v>
      </c>
      <c r="E208" s="3">
        <v>45229.39166666667</v>
      </c>
      <c r="F208">
        <v>28</v>
      </c>
      <c r="G208">
        <f>Master8[[#This Row],[Duree_Panne_Min]]/60</f>
        <v>0.46666666666666667</v>
      </c>
      <c r="H208" s="1" t="s">
        <v>737</v>
      </c>
      <c r="I208">
        <f>IFERROR(VLOOKUP(Master8[[#This Row],[Cell_ID]],Registre_Maintenance[],3,FALSE),"")</f>
        <v>-10.967288</v>
      </c>
      <c r="J208">
        <f>IFERROR(VLOOKUP(Master8[[#This Row],[Cell_ID]],Registre_Maintenance[],4,FALSE),"")</f>
        <v>17.617781000000001</v>
      </c>
      <c r="K208" t="str">
        <f>IFERROR(VLOOKUP(Master8[[#This Row],[Cell_ID]],Registre_Maintenance[],5,FALSE),"")</f>
        <v>4G</v>
      </c>
      <c r="L208" t="str">
        <f>IFERROR(VLOOKUP(Master8[[#This Row],[Cell_ID]],Registre_Maintenance[],6,FALSE),"")</f>
        <v>Ericsson</v>
      </c>
      <c r="M208" s="1" t="str">
        <f>VLOOKUP(Master8[[#This Row],[Province_RDC]],Client[],2,FALSE)</f>
        <v>CLI-01005</v>
      </c>
      <c r="N208" s="1">
        <f>VLOOKUP(Master8[[#This Row],[Province_RDC]],Client[],3,FALSE)</f>
        <v>80</v>
      </c>
      <c r="O208" s="1" t="str">
        <f>VLOOKUP(Master8[[#This Row],[Province_RDC]],Client[],4,FALSE)</f>
        <v>Illimité 50Go</v>
      </c>
      <c r="P208" s="1">
        <f>VLOOKUP(Master8[[#This Row],[Province_RDC]],Client[],5,FALSE)</f>
        <v>155</v>
      </c>
      <c r="Q208" s="1">
        <f>VLOOKUP(Master8[[#This Row],[Province_RDC]],Client[],6,FALSE)</f>
        <v>28.96</v>
      </c>
      <c r="R208" s="1">
        <f>VLOOKUP(Master8[[#This Row],[Province_RDC]],Client[],7,FALSE)</f>
        <v>2</v>
      </c>
      <c r="S208" s="1" t="str">
        <f>IF(Master8[[#This Row],[Type_Forfait]]="Pro Monde","B2B","B2C")</f>
        <v>B2C</v>
      </c>
      <c r="T208" s="1">
        <f>Master8[[#This Row],[Anciennete_Mois]]/12</f>
        <v>6.666666666666667</v>
      </c>
      <c r="U208" s="1">
        <f>Master8[[#This Row],[Duree_Cumule_Panne_Min]]/60</f>
        <v>2.5833333333333335</v>
      </c>
      <c r="V20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0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08" s="6">
        <f>Master8[[#This Row],[Facture_Mensuelle]]*Master8[[#This Row],[Remise]]</f>
        <v>0</v>
      </c>
    </row>
    <row r="209" spans="1:24" x14ac:dyDescent="0.25">
      <c r="A209" s="1" t="s">
        <v>1193</v>
      </c>
      <c r="B209" t="str">
        <f>IFERROR(VLOOKUP(Master8[[#This Row],[Cell_ID]],Registre_Maintenance[],2,FALSE),"")</f>
        <v>Lualaba</v>
      </c>
      <c r="C209" s="1" t="s">
        <v>1192</v>
      </c>
      <c r="D209" s="2">
        <v>45228.747916666667</v>
      </c>
      <c r="E209" s="3">
        <v>45228.747916666667</v>
      </c>
      <c r="F209">
        <v>27</v>
      </c>
      <c r="G209">
        <f>Master8[[#This Row],[Duree_Panne_Min]]/60</f>
        <v>0.45</v>
      </c>
      <c r="H209" s="1" t="s">
        <v>732</v>
      </c>
      <c r="I209">
        <f>IFERROR(VLOOKUP(Master8[[#This Row],[Cell_ID]],Registre_Maintenance[],3,FALSE),"")</f>
        <v>-8.0301989999999996</v>
      </c>
      <c r="J209">
        <f>IFERROR(VLOOKUP(Master8[[#This Row],[Cell_ID]],Registre_Maintenance[],4,FALSE),"")</f>
        <v>24.122495000000001</v>
      </c>
      <c r="K209" t="str">
        <f>IFERROR(VLOOKUP(Master8[[#This Row],[Cell_ID]],Registre_Maintenance[],5,FALSE),"")</f>
        <v>5G</v>
      </c>
      <c r="L209" t="str">
        <f>IFERROR(VLOOKUP(Master8[[#This Row],[Cell_ID]],Registre_Maintenance[],6,FALSE),"")</f>
        <v>ZTE</v>
      </c>
      <c r="M209" s="1" t="str">
        <f>VLOOKUP(Master8[[#This Row],[Province_RDC]],Client[],2,FALSE)</f>
        <v>CLI-01005</v>
      </c>
      <c r="N209" s="1">
        <f>VLOOKUP(Master8[[#This Row],[Province_RDC]],Client[],3,FALSE)</f>
        <v>80</v>
      </c>
      <c r="O209" s="1" t="str">
        <f>VLOOKUP(Master8[[#This Row],[Province_RDC]],Client[],4,FALSE)</f>
        <v>Illimité 50Go</v>
      </c>
      <c r="P209" s="1">
        <f>VLOOKUP(Master8[[#This Row],[Province_RDC]],Client[],5,FALSE)</f>
        <v>155</v>
      </c>
      <c r="Q209" s="1">
        <f>VLOOKUP(Master8[[#This Row],[Province_RDC]],Client[],6,FALSE)</f>
        <v>28.96</v>
      </c>
      <c r="R209" s="1">
        <f>VLOOKUP(Master8[[#This Row],[Province_RDC]],Client[],7,FALSE)</f>
        <v>2</v>
      </c>
      <c r="S209" s="1" t="str">
        <f>IF(Master8[[#This Row],[Type_Forfait]]="Pro Monde","B2B","B2C")</f>
        <v>B2C</v>
      </c>
      <c r="T209" s="1">
        <f>Master8[[#This Row],[Anciennete_Mois]]/12</f>
        <v>6.666666666666667</v>
      </c>
      <c r="U209" s="1">
        <f>Master8[[#This Row],[Duree_Cumule_Panne_Min]]/60</f>
        <v>2.5833333333333335</v>
      </c>
      <c r="V20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0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09" s="6">
        <f>Master8[[#This Row],[Facture_Mensuelle]]*Master8[[#This Row],[Remise]]</f>
        <v>0</v>
      </c>
    </row>
    <row r="210" spans="1:24" x14ac:dyDescent="0.25">
      <c r="A210" s="1" t="s">
        <v>1114</v>
      </c>
      <c r="B210" t="str">
        <f>IFERROR(VLOOKUP(Master8[[#This Row],[Cell_ID]],Registre_Maintenance[],2,FALSE),"")</f>
        <v>Lualaba</v>
      </c>
      <c r="C210" s="1" t="s">
        <v>1117</v>
      </c>
      <c r="D210" s="2">
        <v>45228.672222222223</v>
      </c>
      <c r="E210" s="3">
        <v>45228.672222222223</v>
      </c>
      <c r="F210">
        <v>106</v>
      </c>
      <c r="G210">
        <f>Master8[[#This Row],[Duree_Panne_Min]]/60</f>
        <v>1.7666666666666666</v>
      </c>
      <c r="H210" s="1" t="s">
        <v>732</v>
      </c>
      <c r="I210">
        <f>IFERROR(VLOOKUP(Master8[[#This Row],[Cell_ID]],Registre_Maintenance[],3,FALSE),"")</f>
        <v>2.0392079999999999</v>
      </c>
      <c r="J210">
        <f>IFERROR(VLOOKUP(Master8[[#This Row],[Cell_ID]],Registre_Maintenance[],4,FALSE),"")</f>
        <v>19.090841999999999</v>
      </c>
      <c r="K210" t="str">
        <f>IFERROR(VLOOKUP(Master8[[#This Row],[Cell_ID]],Registre_Maintenance[],5,FALSE),"")</f>
        <v>4G</v>
      </c>
      <c r="L210" t="str">
        <f>IFERROR(VLOOKUP(Master8[[#This Row],[Cell_ID]],Registre_Maintenance[],6,FALSE),"")</f>
        <v>Nokia</v>
      </c>
      <c r="M210" s="1" t="str">
        <f>VLOOKUP(Master8[[#This Row],[Province_RDC]],Client[],2,FALSE)</f>
        <v>CLI-01005</v>
      </c>
      <c r="N210" s="1">
        <f>VLOOKUP(Master8[[#This Row],[Province_RDC]],Client[],3,FALSE)</f>
        <v>80</v>
      </c>
      <c r="O210" s="1" t="str">
        <f>VLOOKUP(Master8[[#This Row],[Province_RDC]],Client[],4,FALSE)</f>
        <v>Illimité 50Go</v>
      </c>
      <c r="P210" s="1">
        <f>VLOOKUP(Master8[[#This Row],[Province_RDC]],Client[],5,FALSE)</f>
        <v>155</v>
      </c>
      <c r="Q210" s="1">
        <f>VLOOKUP(Master8[[#This Row],[Province_RDC]],Client[],6,FALSE)</f>
        <v>28.96</v>
      </c>
      <c r="R210" s="1">
        <f>VLOOKUP(Master8[[#This Row],[Province_RDC]],Client[],7,FALSE)</f>
        <v>2</v>
      </c>
      <c r="S210" s="1" t="str">
        <f>IF(Master8[[#This Row],[Type_Forfait]]="Pro Monde","B2B","B2C")</f>
        <v>B2C</v>
      </c>
      <c r="T210" s="1">
        <f>Master8[[#This Row],[Anciennete_Mois]]/12</f>
        <v>6.666666666666667</v>
      </c>
      <c r="U210" s="1">
        <f>Master8[[#This Row],[Duree_Cumule_Panne_Min]]/60</f>
        <v>2.5833333333333335</v>
      </c>
      <c r="V21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0" s="6">
        <f>Master8[[#This Row],[Facture_Mensuelle]]*Master8[[#This Row],[Remise]]</f>
        <v>0</v>
      </c>
    </row>
    <row r="211" spans="1:24" x14ac:dyDescent="0.25">
      <c r="A211" s="1" t="s">
        <v>1219</v>
      </c>
      <c r="B211" t="str">
        <f>IFERROR(VLOOKUP(Master8[[#This Row],[Cell_ID]],Registre_Maintenance[],2,FALSE),"")</f>
        <v>Lualaba</v>
      </c>
      <c r="C211" s="1" t="s">
        <v>1223</v>
      </c>
      <c r="D211" s="2">
        <v>45226.964583333327</v>
      </c>
      <c r="E211" s="3">
        <v>45226.964583333327</v>
      </c>
      <c r="F211">
        <v>27</v>
      </c>
      <c r="G211">
        <f>Master8[[#This Row],[Duree_Panne_Min]]/60</f>
        <v>0.45</v>
      </c>
      <c r="H211" s="1" t="s">
        <v>735</v>
      </c>
      <c r="I211">
        <f>IFERROR(VLOOKUP(Master8[[#This Row],[Cell_ID]],Registre_Maintenance[],3,FALSE),"")</f>
        <v>-11.354772000000001</v>
      </c>
      <c r="J211">
        <f>IFERROR(VLOOKUP(Master8[[#This Row],[Cell_ID]],Registre_Maintenance[],4,FALSE),"")</f>
        <v>21.957325999999998</v>
      </c>
      <c r="K211" t="str">
        <f>IFERROR(VLOOKUP(Master8[[#This Row],[Cell_ID]],Registre_Maintenance[],5,FALSE),"")</f>
        <v>3G</v>
      </c>
      <c r="L211" t="str">
        <f>IFERROR(VLOOKUP(Master8[[#This Row],[Cell_ID]],Registre_Maintenance[],6,FALSE),"")</f>
        <v>Nokia</v>
      </c>
      <c r="M211" s="1" t="str">
        <f>VLOOKUP(Master8[[#This Row],[Province_RDC]],Client[],2,FALSE)</f>
        <v>CLI-01005</v>
      </c>
      <c r="N211" s="1">
        <f>VLOOKUP(Master8[[#This Row],[Province_RDC]],Client[],3,FALSE)</f>
        <v>80</v>
      </c>
      <c r="O211" s="1" t="str">
        <f>VLOOKUP(Master8[[#This Row],[Province_RDC]],Client[],4,FALSE)</f>
        <v>Illimité 50Go</v>
      </c>
      <c r="P211" s="1">
        <f>VLOOKUP(Master8[[#This Row],[Province_RDC]],Client[],5,FALSE)</f>
        <v>155</v>
      </c>
      <c r="Q211" s="1">
        <f>VLOOKUP(Master8[[#This Row],[Province_RDC]],Client[],6,FALSE)</f>
        <v>28.96</v>
      </c>
      <c r="R211" s="1">
        <f>VLOOKUP(Master8[[#This Row],[Province_RDC]],Client[],7,FALSE)</f>
        <v>2</v>
      </c>
      <c r="S211" s="1" t="str">
        <f>IF(Master8[[#This Row],[Type_Forfait]]="Pro Monde","B2B","B2C")</f>
        <v>B2C</v>
      </c>
      <c r="T211" s="1">
        <f>Master8[[#This Row],[Anciennete_Mois]]/12</f>
        <v>6.666666666666667</v>
      </c>
      <c r="U211" s="1">
        <f>Master8[[#This Row],[Duree_Cumule_Panne_Min]]/60</f>
        <v>2.5833333333333335</v>
      </c>
      <c r="V21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1" s="6">
        <f>Master8[[#This Row],[Facture_Mensuelle]]*Master8[[#This Row],[Remise]]</f>
        <v>0</v>
      </c>
    </row>
    <row r="212" spans="1:24" x14ac:dyDescent="0.25">
      <c r="A212" s="1" t="s">
        <v>1241</v>
      </c>
      <c r="B212" t="str">
        <f>IFERROR(VLOOKUP(Master8[[#This Row],[Cell_ID]],Registre_Maintenance[],2,FALSE),"")</f>
        <v>Lualaba</v>
      </c>
      <c r="C212" s="1" t="s">
        <v>1192</v>
      </c>
      <c r="D212" s="2">
        <v>45223.611111111109</v>
      </c>
      <c r="E212" s="3">
        <v>45223.611111111109</v>
      </c>
      <c r="F212">
        <v>88</v>
      </c>
      <c r="G212">
        <f>Master8[[#This Row],[Duree_Panne_Min]]/60</f>
        <v>1.4666666666666666</v>
      </c>
      <c r="H212" s="1" t="s">
        <v>732</v>
      </c>
      <c r="I212">
        <f>IFERROR(VLOOKUP(Master8[[#This Row],[Cell_ID]],Registre_Maintenance[],3,FALSE),"")</f>
        <v>-8.0301989999999996</v>
      </c>
      <c r="J212">
        <f>IFERROR(VLOOKUP(Master8[[#This Row],[Cell_ID]],Registre_Maintenance[],4,FALSE),"")</f>
        <v>24.122495000000001</v>
      </c>
      <c r="K212" t="str">
        <f>IFERROR(VLOOKUP(Master8[[#This Row],[Cell_ID]],Registre_Maintenance[],5,FALSE),"")</f>
        <v>5G</v>
      </c>
      <c r="L212" t="str">
        <f>IFERROR(VLOOKUP(Master8[[#This Row],[Cell_ID]],Registre_Maintenance[],6,FALSE),"")</f>
        <v>ZTE</v>
      </c>
      <c r="M212" s="1" t="str">
        <f>VLOOKUP(Master8[[#This Row],[Province_RDC]],Client[],2,FALSE)</f>
        <v>CLI-01005</v>
      </c>
      <c r="N212" s="1">
        <f>VLOOKUP(Master8[[#This Row],[Province_RDC]],Client[],3,FALSE)</f>
        <v>80</v>
      </c>
      <c r="O212" s="1" t="str">
        <f>VLOOKUP(Master8[[#This Row],[Province_RDC]],Client[],4,FALSE)</f>
        <v>Illimité 50Go</v>
      </c>
      <c r="P212" s="1">
        <f>VLOOKUP(Master8[[#This Row],[Province_RDC]],Client[],5,FALSE)</f>
        <v>155</v>
      </c>
      <c r="Q212" s="1">
        <f>VLOOKUP(Master8[[#This Row],[Province_RDC]],Client[],6,FALSE)</f>
        <v>28.96</v>
      </c>
      <c r="R212" s="1">
        <f>VLOOKUP(Master8[[#This Row],[Province_RDC]],Client[],7,FALSE)</f>
        <v>2</v>
      </c>
      <c r="S212" s="1" t="str">
        <f>IF(Master8[[#This Row],[Type_Forfait]]="Pro Monde","B2B","B2C")</f>
        <v>B2C</v>
      </c>
      <c r="T212" s="1">
        <f>Master8[[#This Row],[Anciennete_Mois]]/12</f>
        <v>6.666666666666667</v>
      </c>
      <c r="U212" s="1">
        <f>Master8[[#This Row],[Duree_Cumule_Panne_Min]]/60</f>
        <v>2.5833333333333335</v>
      </c>
      <c r="V21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2" s="6">
        <f>Master8[[#This Row],[Facture_Mensuelle]]*Master8[[#This Row],[Remise]]</f>
        <v>0</v>
      </c>
    </row>
    <row r="213" spans="1:24" x14ac:dyDescent="0.25">
      <c r="A213" s="1" t="s">
        <v>1261</v>
      </c>
      <c r="B213" t="str">
        <f>IFERROR(VLOOKUP(Master8[[#This Row],[Cell_ID]],Registre_Maintenance[],2,FALSE),"")</f>
        <v>Lualaba</v>
      </c>
      <c r="C213" s="1" t="s">
        <v>1066</v>
      </c>
      <c r="D213" s="2">
        <v>45221.049305555563</v>
      </c>
      <c r="E213" s="3">
        <v>45221.049305555563</v>
      </c>
      <c r="F213">
        <v>53</v>
      </c>
      <c r="G213">
        <f>Master8[[#This Row],[Duree_Panne_Min]]/60</f>
        <v>0.8833333333333333</v>
      </c>
      <c r="H213" s="1" t="s">
        <v>735</v>
      </c>
      <c r="I213">
        <f>IFERROR(VLOOKUP(Master8[[#This Row],[Cell_ID]],Registre_Maintenance[],3,FALSE),"")</f>
        <v>1.286548</v>
      </c>
      <c r="J213">
        <f>IFERROR(VLOOKUP(Master8[[#This Row],[Cell_ID]],Registre_Maintenance[],4,FALSE),"")</f>
        <v>29.823702999999998</v>
      </c>
      <c r="K213" t="str">
        <f>IFERROR(VLOOKUP(Master8[[#This Row],[Cell_ID]],Registre_Maintenance[],5,FALSE),"")</f>
        <v>4G</v>
      </c>
      <c r="L213" t="str">
        <f>IFERROR(VLOOKUP(Master8[[#This Row],[Cell_ID]],Registre_Maintenance[],6,FALSE),"")</f>
        <v>ZTE</v>
      </c>
      <c r="M213" s="1" t="str">
        <f>VLOOKUP(Master8[[#This Row],[Province_RDC]],Client[],2,FALSE)</f>
        <v>CLI-01005</v>
      </c>
      <c r="N213" s="1">
        <f>VLOOKUP(Master8[[#This Row],[Province_RDC]],Client[],3,FALSE)</f>
        <v>80</v>
      </c>
      <c r="O213" s="1" t="str">
        <f>VLOOKUP(Master8[[#This Row],[Province_RDC]],Client[],4,FALSE)</f>
        <v>Illimité 50Go</v>
      </c>
      <c r="P213" s="1">
        <f>VLOOKUP(Master8[[#This Row],[Province_RDC]],Client[],5,FALSE)</f>
        <v>155</v>
      </c>
      <c r="Q213" s="1">
        <f>VLOOKUP(Master8[[#This Row],[Province_RDC]],Client[],6,FALSE)</f>
        <v>28.96</v>
      </c>
      <c r="R213" s="1">
        <f>VLOOKUP(Master8[[#This Row],[Province_RDC]],Client[],7,FALSE)</f>
        <v>2</v>
      </c>
      <c r="S213" s="1" t="str">
        <f>IF(Master8[[#This Row],[Type_Forfait]]="Pro Monde","B2B","B2C")</f>
        <v>B2C</v>
      </c>
      <c r="T213" s="1">
        <f>Master8[[#This Row],[Anciennete_Mois]]/12</f>
        <v>6.666666666666667</v>
      </c>
      <c r="U213" s="1">
        <f>Master8[[#This Row],[Duree_Cumule_Panne_Min]]/60</f>
        <v>2.5833333333333335</v>
      </c>
      <c r="V21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3" s="6">
        <f>Master8[[#This Row],[Facture_Mensuelle]]*Master8[[#This Row],[Remise]]</f>
        <v>0</v>
      </c>
    </row>
    <row r="214" spans="1:24" x14ac:dyDescent="0.25">
      <c r="A214" s="1" t="s">
        <v>1308</v>
      </c>
      <c r="B214" t="str">
        <f>IFERROR(VLOOKUP(Master8[[#This Row],[Cell_ID]],Registre_Maintenance[],2,FALSE),"")</f>
        <v>Lualaba</v>
      </c>
      <c r="C214" s="1" t="s">
        <v>872</v>
      </c>
      <c r="D214" s="2">
        <v>45220.754166666673</v>
      </c>
      <c r="E214" s="3">
        <v>45220.754166666673</v>
      </c>
      <c r="F214">
        <v>85</v>
      </c>
      <c r="G214">
        <f>Master8[[#This Row],[Duree_Panne_Min]]/60</f>
        <v>1.4166666666666667</v>
      </c>
      <c r="H214" s="1" t="s">
        <v>732</v>
      </c>
      <c r="I214">
        <f>IFERROR(VLOOKUP(Master8[[#This Row],[Cell_ID]],Registre_Maintenance[],3,FALSE),"")</f>
        <v>-9.7803979999999999</v>
      </c>
      <c r="J214">
        <f>IFERROR(VLOOKUP(Master8[[#This Row],[Cell_ID]],Registre_Maintenance[],4,FALSE),"")</f>
        <v>17.686595000000001</v>
      </c>
      <c r="K214" t="str">
        <f>IFERROR(VLOOKUP(Master8[[#This Row],[Cell_ID]],Registre_Maintenance[],5,FALSE),"")</f>
        <v>4G</v>
      </c>
      <c r="L214" t="str">
        <f>IFERROR(VLOOKUP(Master8[[#This Row],[Cell_ID]],Registre_Maintenance[],6,FALSE),"")</f>
        <v>Ericsson</v>
      </c>
      <c r="M214" s="1" t="str">
        <f>VLOOKUP(Master8[[#This Row],[Province_RDC]],Client[],2,FALSE)</f>
        <v>CLI-01005</v>
      </c>
      <c r="N214" s="1">
        <f>VLOOKUP(Master8[[#This Row],[Province_RDC]],Client[],3,FALSE)</f>
        <v>80</v>
      </c>
      <c r="O214" s="1" t="str">
        <f>VLOOKUP(Master8[[#This Row],[Province_RDC]],Client[],4,FALSE)</f>
        <v>Illimité 50Go</v>
      </c>
      <c r="P214" s="1">
        <f>VLOOKUP(Master8[[#This Row],[Province_RDC]],Client[],5,FALSE)</f>
        <v>155</v>
      </c>
      <c r="Q214" s="1">
        <f>VLOOKUP(Master8[[#This Row],[Province_RDC]],Client[],6,FALSE)</f>
        <v>28.96</v>
      </c>
      <c r="R214" s="1">
        <f>VLOOKUP(Master8[[#This Row],[Province_RDC]],Client[],7,FALSE)</f>
        <v>2</v>
      </c>
      <c r="S214" s="1" t="str">
        <f>IF(Master8[[#This Row],[Type_Forfait]]="Pro Monde","B2B","B2C")</f>
        <v>B2C</v>
      </c>
      <c r="T214" s="1">
        <f>Master8[[#This Row],[Anciennete_Mois]]/12</f>
        <v>6.666666666666667</v>
      </c>
      <c r="U214" s="1">
        <f>Master8[[#This Row],[Duree_Cumule_Panne_Min]]/60</f>
        <v>2.5833333333333335</v>
      </c>
      <c r="V21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4" s="6">
        <f>Master8[[#This Row],[Facture_Mensuelle]]*Master8[[#This Row],[Remise]]</f>
        <v>0</v>
      </c>
    </row>
    <row r="215" spans="1:24" x14ac:dyDescent="0.25">
      <c r="A215" s="1" t="s">
        <v>1308</v>
      </c>
      <c r="B215" t="str">
        <f>IFERROR(VLOOKUP(Master8[[#This Row],[Cell_ID]],Registre_Maintenance[],2,FALSE),"")</f>
        <v>Lualaba</v>
      </c>
      <c r="C215" s="1" t="s">
        <v>1038</v>
      </c>
      <c r="D215" s="2">
        <v>45217.999305555553</v>
      </c>
      <c r="E215" s="3">
        <v>45217.999305555553</v>
      </c>
      <c r="F215">
        <v>38</v>
      </c>
      <c r="G215">
        <f>Master8[[#This Row],[Duree_Panne_Min]]/60</f>
        <v>0.6333333333333333</v>
      </c>
      <c r="H215" s="1" t="s">
        <v>735</v>
      </c>
      <c r="I215">
        <f>IFERROR(VLOOKUP(Master8[[#This Row],[Cell_ID]],Registre_Maintenance[],3,FALSE),"")</f>
        <v>-10.967288</v>
      </c>
      <c r="J215">
        <f>IFERROR(VLOOKUP(Master8[[#This Row],[Cell_ID]],Registre_Maintenance[],4,FALSE),"")</f>
        <v>17.617781000000001</v>
      </c>
      <c r="K215" t="str">
        <f>IFERROR(VLOOKUP(Master8[[#This Row],[Cell_ID]],Registre_Maintenance[],5,FALSE),"")</f>
        <v>4G</v>
      </c>
      <c r="L215" t="str">
        <f>IFERROR(VLOOKUP(Master8[[#This Row],[Cell_ID]],Registre_Maintenance[],6,FALSE),"")</f>
        <v>Ericsson</v>
      </c>
      <c r="M215" s="1" t="str">
        <f>VLOOKUP(Master8[[#This Row],[Province_RDC]],Client[],2,FALSE)</f>
        <v>CLI-01005</v>
      </c>
      <c r="N215" s="1">
        <f>VLOOKUP(Master8[[#This Row],[Province_RDC]],Client[],3,FALSE)</f>
        <v>80</v>
      </c>
      <c r="O215" s="1" t="str">
        <f>VLOOKUP(Master8[[#This Row],[Province_RDC]],Client[],4,FALSE)</f>
        <v>Illimité 50Go</v>
      </c>
      <c r="P215" s="1">
        <f>VLOOKUP(Master8[[#This Row],[Province_RDC]],Client[],5,FALSE)</f>
        <v>155</v>
      </c>
      <c r="Q215" s="1">
        <f>VLOOKUP(Master8[[#This Row],[Province_RDC]],Client[],6,FALSE)</f>
        <v>28.96</v>
      </c>
      <c r="R215" s="1">
        <f>VLOOKUP(Master8[[#This Row],[Province_RDC]],Client[],7,FALSE)</f>
        <v>2</v>
      </c>
      <c r="S215" s="1" t="str">
        <f>IF(Master8[[#This Row],[Type_Forfait]]="Pro Monde","B2B","B2C")</f>
        <v>B2C</v>
      </c>
      <c r="T215" s="1">
        <f>Master8[[#This Row],[Anciennete_Mois]]/12</f>
        <v>6.666666666666667</v>
      </c>
      <c r="U215" s="1">
        <f>Master8[[#This Row],[Duree_Cumule_Panne_Min]]/60</f>
        <v>2.5833333333333335</v>
      </c>
      <c r="V21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5" s="6">
        <f>Master8[[#This Row],[Facture_Mensuelle]]*Master8[[#This Row],[Remise]]</f>
        <v>0</v>
      </c>
    </row>
    <row r="216" spans="1:24" x14ac:dyDescent="0.25">
      <c r="A216" s="1" t="s">
        <v>1114</v>
      </c>
      <c r="B216" t="str">
        <f>IFERROR(VLOOKUP(Master8[[#This Row],[Cell_ID]],Registre_Maintenance[],2,FALSE),"")</f>
        <v>Lualaba</v>
      </c>
      <c r="C216" s="1" t="s">
        <v>916</v>
      </c>
      <c r="D216" s="2">
        <v>45216.729861111111</v>
      </c>
      <c r="E216" s="3">
        <v>45216.729861111111</v>
      </c>
      <c r="F216">
        <v>78</v>
      </c>
      <c r="G216">
        <f>Master8[[#This Row],[Duree_Panne_Min]]/60</f>
        <v>1.3</v>
      </c>
      <c r="H216" s="1" t="s">
        <v>735</v>
      </c>
      <c r="I216">
        <f>IFERROR(VLOOKUP(Master8[[#This Row],[Cell_ID]],Registre_Maintenance[],3,FALSE),"")</f>
        <v>-9.5243310000000001</v>
      </c>
      <c r="J216">
        <f>IFERROR(VLOOKUP(Master8[[#This Row],[Cell_ID]],Registre_Maintenance[],4,FALSE),"")</f>
        <v>30.541212000000002</v>
      </c>
      <c r="K216" t="str">
        <f>IFERROR(VLOOKUP(Master8[[#This Row],[Cell_ID]],Registre_Maintenance[],5,FALSE),"")</f>
        <v>3G</v>
      </c>
      <c r="L216" t="str">
        <f>IFERROR(VLOOKUP(Master8[[#This Row],[Cell_ID]],Registre_Maintenance[],6,FALSE),"")</f>
        <v>Ericsson</v>
      </c>
      <c r="M216" s="1" t="str">
        <f>VLOOKUP(Master8[[#This Row],[Province_RDC]],Client[],2,FALSE)</f>
        <v>CLI-01005</v>
      </c>
      <c r="N216" s="1">
        <f>VLOOKUP(Master8[[#This Row],[Province_RDC]],Client[],3,FALSE)</f>
        <v>80</v>
      </c>
      <c r="O216" s="1" t="str">
        <f>VLOOKUP(Master8[[#This Row],[Province_RDC]],Client[],4,FALSE)</f>
        <v>Illimité 50Go</v>
      </c>
      <c r="P216" s="1">
        <f>VLOOKUP(Master8[[#This Row],[Province_RDC]],Client[],5,FALSE)</f>
        <v>155</v>
      </c>
      <c r="Q216" s="1">
        <f>VLOOKUP(Master8[[#This Row],[Province_RDC]],Client[],6,FALSE)</f>
        <v>28.96</v>
      </c>
      <c r="R216" s="1">
        <f>VLOOKUP(Master8[[#This Row],[Province_RDC]],Client[],7,FALSE)</f>
        <v>2</v>
      </c>
      <c r="S216" s="1" t="str">
        <f>IF(Master8[[#This Row],[Type_Forfait]]="Pro Monde","B2B","B2C")</f>
        <v>B2C</v>
      </c>
      <c r="T216" s="1">
        <f>Master8[[#This Row],[Anciennete_Mois]]/12</f>
        <v>6.666666666666667</v>
      </c>
      <c r="U216" s="1">
        <f>Master8[[#This Row],[Duree_Cumule_Panne_Min]]/60</f>
        <v>2.5833333333333335</v>
      </c>
      <c r="V21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6" s="6">
        <f>Master8[[#This Row],[Facture_Mensuelle]]*Master8[[#This Row],[Remise]]</f>
        <v>0</v>
      </c>
    </row>
    <row r="217" spans="1:24" x14ac:dyDescent="0.25">
      <c r="A217" s="1" t="s">
        <v>1165</v>
      </c>
      <c r="B217" t="str">
        <f>IFERROR(VLOOKUP(Master8[[#This Row],[Cell_ID]],Registre_Maintenance[],2,FALSE),"")</f>
        <v>Lualaba</v>
      </c>
      <c r="C217" s="1" t="s">
        <v>1038</v>
      </c>
      <c r="D217" s="2">
        <v>45216.183333333327</v>
      </c>
      <c r="E217" s="3">
        <v>45216.183333333327</v>
      </c>
      <c r="F217">
        <v>67</v>
      </c>
      <c r="G217">
        <f>Master8[[#This Row],[Duree_Panne_Min]]/60</f>
        <v>1.1166666666666667</v>
      </c>
      <c r="H217" s="1" t="s">
        <v>735</v>
      </c>
      <c r="I217">
        <f>IFERROR(VLOOKUP(Master8[[#This Row],[Cell_ID]],Registre_Maintenance[],3,FALSE),"")</f>
        <v>-10.967288</v>
      </c>
      <c r="J217">
        <f>IFERROR(VLOOKUP(Master8[[#This Row],[Cell_ID]],Registre_Maintenance[],4,FALSE),"")</f>
        <v>17.617781000000001</v>
      </c>
      <c r="K217" t="str">
        <f>IFERROR(VLOOKUP(Master8[[#This Row],[Cell_ID]],Registre_Maintenance[],5,FALSE),"")</f>
        <v>4G</v>
      </c>
      <c r="L217" t="str">
        <f>IFERROR(VLOOKUP(Master8[[#This Row],[Cell_ID]],Registre_Maintenance[],6,FALSE),"")</f>
        <v>Ericsson</v>
      </c>
      <c r="M217" s="1" t="str">
        <f>VLOOKUP(Master8[[#This Row],[Province_RDC]],Client[],2,FALSE)</f>
        <v>CLI-01005</v>
      </c>
      <c r="N217" s="1">
        <f>VLOOKUP(Master8[[#This Row],[Province_RDC]],Client[],3,FALSE)</f>
        <v>80</v>
      </c>
      <c r="O217" s="1" t="str">
        <f>VLOOKUP(Master8[[#This Row],[Province_RDC]],Client[],4,FALSE)</f>
        <v>Illimité 50Go</v>
      </c>
      <c r="P217" s="1">
        <f>VLOOKUP(Master8[[#This Row],[Province_RDC]],Client[],5,FALSE)</f>
        <v>155</v>
      </c>
      <c r="Q217" s="1">
        <f>VLOOKUP(Master8[[#This Row],[Province_RDC]],Client[],6,FALSE)</f>
        <v>28.96</v>
      </c>
      <c r="R217" s="1">
        <f>VLOOKUP(Master8[[#This Row],[Province_RDC]],Client[],7,FALSE)</f>
        <v>2</v>
      </c>
      <c r="S217" s="1" t="str">
        <f>IF(Master8[[#This Row],[Type_Forfait]]="Pro Monde","B2B","B2C")</f>
        <v>B2C</v>
      </c>
      <c r="T217" s="1">
        <f>Master8[[#This Row],[Anciennete_Mois]]/12</f>
        <v>6.666666666666667</v>
      </c>
      <c r="U217" s="1">
        <f>Master8[[#This Row],[Duree_Cumule_Panne_Min]]/60</f>
        <v>2.5833333333333335</v>
      </c>
      <c r="V21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7" s="6">
        <f>Master8[[#This Row],[Facture_Mensuelle]]*Master8[[#This Row],[Remise]]</f>
        <v>0</v>
      </c>
    </row>
    <row r="218" spans="1:24" x14ac:dyDescent="0.25">
      <c r="A218" s="1" t="s">
        <v>779</v>
      </c>
      <c r="B218" t="str">
        <f>IFERROR(VLOOKUP(Master8[[#This Row],[Cell_ID]],Registre_Maintenance[],2,FALSE),"")</f>
        <v>Lualaba</v>
      </c>
      <c r="C218" s="1" t="s">
        <v>784</v>
      </c>
      <c r="D218" s="2">
        <v>45214.960416666669</v>
      </c>
      <c r="E218" s="3">
        <v>45214.960416666669</v>
      </c>
      <c r="F218">
        <v>38</v>
      </c>
      <c r="G218">
        <f>Master8[[#This Row],[Duree_Panne_Min]]/60</f>
        <v>0.6333333333333333</v>
      </c>
      <c r="H218" s="1" t="s">
        <v>732</v>
      </c>
      <c r="I218">
        <f>IFERROR(VLOOKUP(Master8[[#This Row],[Cell_ID]],Registre_Maintenance[],3,FALSE),"")</f>
        <v>-11.710407999999999</v>
      </c>
      <c r="J218">
        <f>IFERROR(VLOOKUP(Master8[[#This Row],[Cell_ID]],Registre_Maintenance[],4,FALSE),"")</f>
        <v>23.741330999999999</v>
      </c>
      <c r="K218" t="str">
        <f>IFERROR(VLOOKUP(Master8[[#This Row],[Cell_ID]],Registre_Maintenance[],5,FALSE),"")</f>
        <v>3G</v>
      </c>
      <c r="L218" t="str">
        <f>IFERROR(VLOOKUP(Master8[[#This Row],[Cell_ID]],Registre_Maintenance[],6,FALSE),"")</f>
        <v>Huawei</v>
      </c>
      <c r="M218" s="1" t="str">
        <f>VLOOKUP(Master8[[#This Row],[Province_RDC]],Client[],2,FALSE)</f>
        <v>CLI-01005</v>
      </c>
      <c r="N218" s="1">
        <f>VLOOKUP(Master8[[#This Row],[Province_RDC]],Client[],3,FALSE)</f>
        <v>80</v>
      </c>
      <c r="O218" s="1" t="str">
        <f>VLOOKUP(Master8[[#This Row],[Province_RDC]],Client[],4,FALSE)</f>
        <v>Illimité 50Go</v>
      </c>
      <c r="P218" s="1">
        <f>VLOOKUP(Master8[[#This Row],[Province_RDC]],Client[],5,FALSE)</f>
        <v>155</v>
      </c>
      <c r="Q218" s="1">
        <f>VLOOKUP(Master8[[#This Row],[Province_RDC]],Client[],6,FALSE)</f>
        <v>28.96</v>
      </c>
      <c r="R218" s="1">
        <f>VLOOKUP(Master8[[#This Row],[Province_RDC]],Client[],7,FALSE)</f>
        <v>2</v>
      </c>
      <c r="S218" s="1" t="str">
        <f>IF(Master8[[#This Row],[Type_Forfait]]="Pro Monde","B2B","B2C")</f>
        <v>B2C</v>
      </c>
      <c r="T218" s="1">
        <f>Master8[[#This Row],[Anciennete_Mois]]/12</f>
        <v>6.666666666666667</v>
      </c>
      <c r="U218" s="1">
        <f>Master8[[#This Row],[Duree_Cumule_Panne_Min]]/60</f>
        <v>2.5833333333333335</v>
      </c>
      <c r="V21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8" s="6">
        <f>Master8[[#This Row],[Facture_Mensuelle]]*Master8[[#This Row],[Remise]]</f>
        <v>0</v>
      </c>
    </row>
    <row r="219" spans="1:24" x14ac:dyDescent="0.25">
      <c r="A219" s="1" t="s">
        <v>1059</v>
      </c>
      <c r="B219" t="str">
        <f>IFERROR(VLOOKUP(Master8[[#This Row],[Cell_ID]],Registre_Maintenance[],2,FALSE),"")</f>
        <v>Lualaba</v>
      </c>
      <c r="C219" s="1" t="s">
        <v>1066</v>
      </c>
      <c r="D219" s="2">
        <v>45211.316666666673</v>
      </c>
      <c r="E219" s="3">
        <v>45211.316666666673</v>
      </c>
      <c r="F219">
        <v>93</v>
      </c>
      <c r="G219">
        <f>Master8[[#This Row],[Duree_Panne_Min]]/60</f>
        <v>1.55</v>
      </c>
      <c r="H219" s="1" t="s">
        <v>737</v>
      </c>
      <c r="I219">
        <f>IFERROR(VLOOKUP(Master8[[#This Row],[Cell_ID]],Registre_Maintenance[],3,FALSE),"")</f>
        <v>1.286548</v>
      </c>
      <c r="J219">
        <f>IFERROR(VLOOKUP(Master8[[#This Row],[Cell_ID]],Registre_Maintenance[],4,FALSE),"")</f>
        <v>29.823702999999998</v>
      </c>
      <c r="K219" t="str">
        <f>IFERROR(VLOOKUP(Master8[[#This Row],[Cell_ID]],Registre_Maintenance[],5,FALSE),"")</f>
        <v>4G</v>
      </c>
      <c r="L219" t="str">
        <f>IFERROR(VLOOKUP(Master8[[#This Row],[Cell_ID]],Registre_Maintenance[],6,FALSE),"")</f>
        <v>ZTE</v>
      </c>
      <c r="M219" s="1" t="str">
        <f>VLOOKUP(Master8[[#This Row],[Province_RDC]],Client[],2,FALSE)</f>
        <v>CLI-01005</v>
      </c>
      <c r="N219" s="1">
        <f>VLOOKUP(Master8[[#This Row],[Province_RDC]],Client[],3,FALSE)</f>
        <v>80</v>
      </c>
      <c r="O219" s="1" t="str">
        <f>VLOOKUP(Master8[[#This Row],[Province_RDC]],Client[],4,FALSE)</f>
        <v>Illimité 50Go</v>
      </c>
      <c r="P219" s="1">
        <f>VLOOKUP(Master8[[#This Row],[Province_RDC]],Client[],5,FALSE)</f>
        <v>155</v>
      </c>
      <c r="Q219" s="1">
        <f>VLOOKUP(Master8[[#This Row],[Province_RDC]],Client[],6,FALSE)</f>
        <v>28.96</v>
      </c>
      <c r="R219" s="1">
        <f>VLOOKUP(Master8[[#This Row],[Province_RDC]],Client[],7,FALSE)</f>
        <v>2</v>
      </c>
      <c r="S219" s="1" t="str">
        <f>IF(Master8[[#This Row],[Type_Forfait]]="Pro Monde","B2B","B2C")</f>
        <v>B2C</v>
      </c>
      <c r="T219" s="1">
        <f>Master8[[#This Row],[Anciennete_Mois]]/12</f>
        <v>6.666666666666667</v>
      </c>
      <c r="U219" s="1">
        <f>Master8[[#This Row],[Duree_Cumule_Panne_Min]]/60</f>
        <v>2.5833333333333335</v>
      </c>
      <c r="V21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1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19" s="6">
        <f>Master8[[#This Row],[Facture_Mensuelle]]*Master8[[#This Row],[Remise]]</f>
        <v>0</v>
      </c>
    </row>
    <row r="220" spans="1:24" x14ac:dyDescent="0.25">
      <c r="A220" s="1" t="s">
        <v>861</v>
      </c>
      <c r="B220" t="str">
        <f>IFERROR(VLOOKUP(Master8[[#This Row],[Cell_ID]],Registre_Maintenance[],2,FALSE),"")</f>
        <v>Lualaba</v>
      </c>
      <c r="C220" s="1" t="s">
        <v>872</v>
      </c>
      <c r="D220" s="2">
        <v>45210.45</v>
      </c>
      <c r="E220" s="3">
        <v>45210.45</v>
      </c>
      <c r="F220">
        <v>66</v>
      </c>
      <c r="G220">
        <f>Master8[[#This Row],[Duree_Panne_Min]]/60</f>
        <v>1.1000000000000001</v>
      </c>
      <c r="H220" s="1" t="s">
        <v>732</v>
      </c>
      <c r="I220">
        <f>IFERROR(VLOOKUP(Master8[[#This Row],[Cell_ID]],Registre_Maintenance[],3,FALSE),"")</f>
        <v>-9.7803979999999999</v>
      </c>
      <c r="J220">
        <f>IFERROR(VLOOKUP(Master8[[#This Row],[Cell_ID]],Registre_Maintenance[],4,FALSE),"")</f>
        <v>17.686595000000001</v>
      </c>
      <c r="K220" t="str">
        <f>IFERROR(VLOOKUP(Master8[[#This Row],[Cell_ID]],Registre_Maintenance[],5,FALSE),"")</f>
        <v>4G</v>
      </c>
      <c r="L220" t="str">
        <f>IFERROR(VLOOKUP(Master8[[#This Row],[Cell_ID]],Registre_Maintenance[],6,FALSE),"")</f>
        <v>Ericsson</v>
      </c>
      <c r="M220" s="1" t="str">
        <f>VLOOKUP(Master8[[#This Row],[Province_RDC]],Client[],2,FALSE)</f>
        <v>CLI-01005</v>
      </c>
      <c r="N220" s="1">
        <f>VLOOKUP(Master8[[#This Row],[Province_RDC]],Client[],3,FALSE)</f>
        <v>80</v>
      </c>
      <c r="O220" s="1" t="str">
        <f>VLOOKUP(Master8[[#This Row],[Province_RDC]],Client[],4,FALSE)</f>
        <v>Illimité 50Go</v>
      </c>
      <c r="P220" s="1">
        <f>VLOOKUP(Master8[[#This Row],[Province_RDC]],Client[],5,FALSE)</f>
        <v>155</v>
      </c>
      <c r="Q220" s="1">
        <f>VLOOKUP(Master8[[#This Row],[Province_RDC]],Client[],6,FALSE)</f>
        <v>28.96</v>
      </c>
      <c r="R220" s="1">
        <f>VLOOKUP(Master8[[#This Row],[Province_RDC]],Client[],7,FALSE)</f>
        <v>2</v>
      </c>
      <c r="S220" s="1" t="str">
        <f>IF(Master8[[#This Row],[Type_Forfait]]="Pro Monde","B2B","B2C")</f>
        <v>B2C</v>
      </c>
      <c r="T220" s="1">
        <f>Master8[[#This Row],[Anciennete_Mois]]/12</f>
        <v>6.666666666666667</v>
      </c>
      <c r="U220" s="1">
        <f>Master8[[#This Row],[Duree_Cumule_Panne_Min]]/60</f>
        <v>2.5833333333333335</v>
      </c>
      <c r="V22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0" s="6">
        <f>Master8[[#This Row],[Facture_Mensuelle]]*Master8[[#This Row],[Remise]]</f>
        <v>0</v>
      </c>
    </row>
    <row r="221" spans="1:24" x14ac:dyDescent="0.25">
      <c r="A221" s="1" t="s">
        <v>1165</v>
      </c>
      <c r="B221" t="str">
        <f>IFERROR(VLOOKUP(Master8[[#This Row],[Cell_ID]],Registre_Maintenance[],2,FALSE),"")</f>
        <v>Lualaba</v>
      </c>
      <c r="C221" s="1" t="s">
        <v>1192</v>
      </c>
      <c r="D221" s="2">
        <v>45210.366666666669</v>
      </c>
      <c r="E221" s="3">
        <v>45210.366666666669</v>
      </c>
      <c r="F221">
        <v>67</v>
      </c>
      <c r="G221">
        <f>Master8[[#This Row],[Duree_Panne_Min]]/60</f>
        <v>1.1166666666666667</v>
      </c>
      <c r="H221" s="1" t="s">
        <v>735</v>
      </c>
      <c r="I221">
        <f>IFERROR(VLOOKUP(Master8[[#This Row],[Cell_ID]],Registre_Maintenance[],3,FALSE),"")</f>
        <v>-8.0301989999999996</v>
      </c>
      <c r="J221">
        <f>IFERROR(VLOOKUP(Master8[[#This Row],[Cell_ID]],Registre_Maintenance[],4,FALSE),"")</f>
        <v>24.122495000000001</v>
      </c>
      <c r="K221" t="str">
        <f>IFERROR(VLOOKUP(Master8[[#This Row],[Cell_ID]],Registre_Maintenance[],5,FALSE),"")</f>
        <v>5G</v>
      </c>
      <c r="L221" t="str">
        <f>IFERROR(VLOOKUP(Master8[[#This Row],[Cell_ID]],Registre_Maintenance[],6,FALSE),"")</f>
        <v>ZTE</v>
      </c>
      <c r="M221" s="1" t="str">
        <f>VLOOKUP(Master8[[#This Row],[Province_RDC]],Client[],2,FALSE)</f>
        <v>CLI-01005</v>
      </c>
      <c r="N221" s="1">
        <f>VLOOKUP(Master8[[#This Row],[Province_RDC]],Client[],3,FALSE)</f>
        <v>80</v>
      </c>
      <c r="O221" s="1" t="str">
        <f>VLOOKUP(Master8[[#This Row],[Province_RDC]],Client[],4,FALSE)</f>
        <v>Illimité 50Go</v>
      </c>
      <c r="P221" s="1">
        <f>VLOOKUP(Master8[[#This Row],[Province_RDC]],Client[],5,FALSE)</f>
        <v>155</v>
      </c>
      <c r="Q221" s="1">
        <f>VLOOKUP(Master8[[#This Row],[Province_RDC]],Client[],6,FALSE)</f>
        <v>28.96</v>
      </c>
      <c r="R221" s="1">
        <f>VLOOKUP(Master8[[#This Row],[Province_RDC]],Client[],7,FALSE)</f>
        <v>2</v>
      </c>
      <c r="S221" s="1" t="str">
        <f>IF(Master8[[#This Row],[Type_Forfait]]="Pro Monde","B2B","B2C")</f>
        <v>B2C</v>
      </c>
      <c r="T221" s="1">
        <f>Master8[[#This Row],[Anciennete_Mois]]/12</f>
        <v>6.666666666666667</v>
      </c>
      <c r="U221" s="1">
        <f>Master8[[#This Row],[Duree_Cumule_Panne_Min]]/60</f>
        <v>2.5833333333333335</v>
      </c>
      <c r="V22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1" s="6">
        <f>Master8[[#This Row],[Facture_Mensuelle]]*Master8[[#This Row],[Remise]]</f>
        <v>0</v>
      </c>
    </row>
    <row r="222" spans="1:24" x14ac:dyDescent="0.25">
      <c r="A222" s="1" t="s">
        <v>939</v>
      </c>
      <c r="B222" t="str">
        <f>IFERROR(VLOOKUP(Master8[[#This Row],[Cell_ID]],Registre_Maintenance[],2,FALSE),"")</f>
        <v>Lualaba</v>
      </c>
      <c r="C222" s="1" t="s">
        <v>910</v>
      </c>
      <c r="D222" s="2">
        <v>45209.898611111108</v>
      </c>
      <c r="E222" s="3">
        <v>45209.898611111108</v>
      </c>
      <c r="F222">
        <v>29</v>
      </c>
      <c r="G222">
        <f>Master8[[#This Row],[Duree_Panne_Min]]/60</f>
        <v>0.48333333333333334</v>
      </c>
      <c r="H222" s="1" t="s">
        <v>735</v>
      </c>
      <c r="I222">
        <f>IFERROR(VLOOKUP(Master8[[#This Row],[Cell_ID]],Registre_Maintenance[],3,FALSE),"")</f>
        <v>-10.872631999999999</v>
      </c>
      <c r="J222">
        <f>IFERROR(VLOOKUP(Master8[[#This Row],[Cell_ID]],Registre_Maintenance[],4,FALSE),"")</f>
        <v>12.773279</v>
      </c>
      <c r="K222" t="str">
        <f>IFERROR(VLOOKUP(Master8[[#This Row],[Cell_ID]],Registre_Maintenance[],5,FALSE),"")</f>
        <v>3G</v>
      </c>
      <c r="L222" t="str">
        <f>IFERROR(VLOOKUP(Master8[[#This Row],[Cell_ID]],Registre_Maintenance[],6,FALSE),"")</f>
        <v>ZTE</v>
      </c>
      <c r="M222" s="1" t="str">
        <f>VLOOKUP(Master8[[#This Row],[Province_RDC]],Client[],2,FALSE)</f>
        <v>CLI-01005</v>
      </c>
      <c r="N222" s="1">
        <f>VLOOKUP(Master8[[#This Row],[Province_RDC]],Client[],3,FALSE)</f>
        <v>80</v>
      </c>
      <c r="O222" s="1" t="str">
        <f>VLOOKUP(Master8[[#This Row],[Province_RDC]],Client[],4,FALSE)</f>
        <v>Illimité 50Go</v>
      </c>
      <c r="P222" s="1">
        <f>VLOOKUP(Master8[[#This Row],[Province_RDC]],Client[],5,FALSE)</f>
        <v>155</v>
      </c>
      <c r="Q222" s="1">
        <f>VLOOKUP(Master8[[#This Row],[Province_RDC]],Client[],6,FALSE)</f>
        <v>28.96</v>
      </c>
      <c r="R222" s="1">
        <f>VLOOKUP(Master8[[#This Row],[Province_RDC]],Client[],7,FALSE)</f>
        <v>2</v>
      </c>
      <c r="S222" s="1" t="str">
        <f>IF(Master8[[#This Row],[Type_Forfait]]="Pro Monde","B2B","B2C")</f>
        <v>B2C</v>
      </c>
      <c r="T222" s="1">
        <f>Master8[[#This Row],[Anciennete_Mois]]/12</f>
        <v>6.666666666666667</v>
      </c>
      <c r="U222" s="1">
        <f>Master8[[#This Row],[Duree_Cumule_Panne_Min]]/60</f>
        <v>2.5833333333333335</v>
      </c>
      <c r="V22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2" s="6">
        <f>Master8[[#This Row],[Facture_Mensuelle]]*Master8[[#This Row],[Remise]]</f>
        <v>0</v>
      </c>
    </row>
    <row r="223" spans="1:24" x14ac:dyDescent="0.25">
      <c r="A223" s="1" t="s">
        <v>902</v>
      </c>
      <c r="B223" t="str">
        <f>IFERROR(VLOOKUP(Master8[[#This Row],[Cell_ID]],Registre_Maintenance[],2,FALSE),"")</f>
        <v>Lualaba</v>
      </c>
      <c r="C223" s="1" t="s">
        <v>916</v>
      </c>
      <c r="D223" s="2">
        <v>45209.777083333327</v>
      </c>
      <c r="E223" s="3">
        <v>45209.777083333327</v>
      </c>
      <c r="F223">
        <v>40</v>
      </c>
      <c r="G223">
        <f>Master8[[#This Row],[Duree_Panne_Min]]/60</f>
        <v>0.66666666666666663</v>
      </c>
      <c r="H223" s="1" t="s">
        <v>737</v>
      </c>
      <c r="I223">
        <f>IFERROR(VLOOKUP(Master8[[#This Row],[Cell_ID]],Registre_Maintenance[],3,FALSE),"")</f>
        <v>-9.5243310000000001</v>
      </c>
      <c r="J223">
        <f>IFERROR(VLOOKUP(Master8[[#This Row],[Cell_ID]],Registre_Maintenance[],4,FALSE),"")</f>
        <v>30.541212000000002</v>
      </c>
      <c r="K223" t="str">
        <f>IFERROR(VLOOKUP(Master8[[#This Row],[Cell_ID]],Registre_Maintenance[],5,FALSE),"")</f>
        <v>3G</v>
      </c>
      <c r="L223" t="str">
        <f>IFERROR(VLOOKUP(Master8[[#This Row],[Cell_ID]],Registre_Maintenance[],6,FALSE),"")</f>
        <v>Ericsson</v>
      </c>
      <c r="M223" s="1" t="str">
        <f>VLOOKUP(Master8[[#This Row],[Province_RDC]],Client[],2,FALSE)</f>
        <v>CLI-01005</v>
      </c>
      <c r="N223" s="1">
        <f>VLOOKUP(Master8[[#This Row],[Province_RDC]],Client[],3,FALSE)</f>
        <v>80</v>
      </c>
      <c r="O223" s="1" t="str">
        <f>VLOOKUP(Master8[[#This Row],[Province_RDC]],Client[],4,FALSE)</f>
        <v>Illimité 50Go</v>
      </c>
      <c r="P223" s="1">
        <f>VLOOKUP(Master8[[#This Row],[Province_RDC]],Client[],5,FALSE)</f>
        <v>155</v>
      </c>
      <c r="Q223" s="1">
        <f>VLOOKUP(Master8[[#This Row],[Province_RDC]],Client[],6,FALSE)</f>
        <v>28.96</v>
      </c>
      <c r="R223" s="1">
        <f>VLOOKUP(Master8[[#This Row],[Province_RDC]],Client[],7,FALSE)</f>
        <v>2</v>
      </c>
      <c r="S223" s="1" t="str">
        <f>IF(Master8[[#This Row],[Type_Forfait]]="Pro Monde","B2B","B2C")</f>
        <v>B2C</v>
      </c>
      <c r="T223" s="1">
        <f>Master8[[#This Row],[Anciennete_Mois]]/12</f>
        <v>6.666666666666667</v>
      </c>
      <c r="U223" s="1">
        <f>Master8[[#This Row],[Duree_Cumule_Panne_Min]]/60</f>
        <v>2.5833333333333335</v>
      </c>
      <c r="V22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3" s="6">
        <f>Master8[[#This Row],[Facture_Mensuelle]]*Master8[[#This Row],[Remise]]</f>
        <v>0</v>
      </c>
    </row>
    <row r="224" spans="1:24" x14ac:dyDescent="0.25">
      <c r="A224" s="1" t="s">
        <v>1330</v>
      </c>
      <c r="B224" t="str">
        <f>IFERROR(VLOOKUP(Master8[[#This Row],[Cell_ID]],Registre_Maintenance[],2,FALSE),"")</f>
        <v>Lualaba</v>
      </c>
      <c r="C224" s="1" t="s">
        <v>910</v>
      </c>
      <c r="D224" s="2">
        <v>45208.52847222222</v>
      </c>
      <c r="E224" s="3">
        <v>45208.52847222222</v>
      </c>
      <c r="F224">
        <v>33</v>
      </c>
      <c r="G224">
        <f>Master8[[#This Row],[Duree_Panne_Min]]/60</f>
        <v>0.55000000000000004</v>
      </c>
      <c r="H224" s="1" t="s">
        <v>735</v>
      </c>
      <c r="I224">
        <f>IFERROR(VLOOKUP(Master8[[#This Row],[Cell_ID]],Registre_Maintenance[],3,FALSE),"")</f>
        <v>-10.872631999999999</v>
      </c>
      <c r="J224">
        <f>IFERROR(VLOOKUP(Master8[[#This Row],[Cell_ID]],Registre_Maintenance[],4,FALSE),"")</f>
        <v>12.773279</v>
      </c>
      <c r="K224" t="str">
        <f>IFERROR(VLOOKUP(Master8[[#This Row],[Cell_ID]],Registre_Maintenance[],5,FALSE),"")</f>
        <v>3G</v>
      </c>
      <c r="L224" t="str">
        <f>IFERROR(VLOOKUP(Master8[[#This Row],[Cell_ID]],Registre_Maintenance[],6,FALSE),"")</f>
        <v>ZTE</v>
      </c>
      <c r="M224" s="1" t="str">
        <f>VLOOKUP(Master8[[#This Row],[Province_RDC]],Client[],2,FALSE)</f>
        <v>CLI-01005</v>
      </c>
      <c r="N224" s="1">
        <f>VLOOKUP(Master8[[#This Row],[Province_RDC]],Client[],3,FALSE)</f>
        <v>80</v>
      </c>
      <c r="O224" s="1" t="str">
        <f>VLOOKUP(Master8[[#This Row],[Province_RDC]],Client[],4,FALSE)</f>
        <v>Illimité 50Go</v>
      </c>
      <c r="P224" s="1">
        <f>VLOOKUP(Master8[[#This Row],[Province_RDC]],Client[],5,FALSE)</f>
        <v>155</v>
      </c>
      <c r="Q224" s="1">
        <f>VLOOKUP(Master8[[#This Row],[Province_RDC]],Client[],6,FALSE)</f>
        <v>28.96</v>
      </c>
      <c r="R224" s="1">
        <f>VLOOKUP(Master8[[#This Row],[Province_RDC]],Client[],7,FALSE)</f>
        <v>2</v>
      </c>
      <c r="S224" s="1" t="str">
        <f>IF(Master8[[#This Row],[Type_Forfait]]="Pro Monde","B2B","B2C")</f>
        <v>B2C</v>
      </c>
      <c r="T224" s="1">
        <f>Master8[[#This Row],[Anciennete_Mois]]/12</f>
        <v>6.666666666666667</v>
      </c>
      <c r="U224" s="1">
        <f>Master8[[#This Row],[Duree_Cumule_Panne_Min]]/60</f>
        <v>2.5833333333333335</v>
      </c>
      <c r="V22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4" s="6">
        <f>Master8[[#This Row],[Facture_Mensuelle]]*Master8[[#This Row],[Remise]]</f>
        <v>0</v>
      </c>
    </row>
    <row r="225" spans="1:24" x14ac:dyDescent="0.25">
      <c r="A225" s="1" t="s">
        <v>902</v>
      </c>
      <c r="B225" t="str">
        <f>IFERROR(VLOOKUP(Master8[[#This Row],[Cell_ID]],Registre_Maintenance[],2,FALSE),"")</f>
        <v>Lualaba</v>
      </c>
      <c r="C225" s="1" t="s">
        <v>910</v>
      </c>
      <c r="D225" s="2">
        <v>45207.149305555547</v>
      </c>
      <c r="E225" s="3">
        <v>45207.149305555547</v>
      </c>
      <c r="F225">
        <v>101</v>
      </c>
      <c r="G225">
        <f>Master8[[#This Row],[Duree_Panne_Min]]/60</f>
        <v>1.6833333333333333</v>
      </c>
      <c r="H225" s="1" t="s">
        <v>737</v>
      </c>
      <c r="I225">
        <f>IFERROR(VLOOKUP(Master8[[#This Row],[Cell_ID]],Registre_Maintenance[],3,FALSE),"")</f>
        <v>-10.872631999999999</v>
      </c>
      <c r="J225">
        <f>IFERROR(VLOOKUP(Master8[[#This Row],[Cell_ID]],Registre_Maintenance[],4,FALSE),"")</f>
        <v>12.773279</v>
      </c>
      <c r="K225" t="str">
        <f>IFERROR(VLOOKUP(Master8[[#This Row],[Cell_ID]],Registre_Maintenance[],5,FALSE),"")</f>
        <v>3G</v>
      </c>
      <c r="L225" t="str">
        <f>IFERROR(VLOOKUP(Master8[[#This Row],[Cell_ID]],Registre_Maintenance[],6,FALSE),"")</f>
        <v>ZTE</v>
      </c>
      <c r="M225" s="1" t="str">
        <f>VLOOKUP(Master8[[#This Row],[Province_RDC]],Client[],2,FALSE)</f>
        <v>CLI-01005</v>
      </c>
      <c r="N225" s="1">
        <f>VLOOKUP(Master8[[#This Row],[Province_RDC]],Client[],3,FALSE)</f>
        <v>80</v>
      </c>
      <c r="O225" s="1" t="str">
        <f>VLOOKUP(Master8[[#This Row],[Province_RDC]],Client[],4,FALSE)</f>
        <v>Illimité 50Go</v>
      </c>
      <c r="P225" s="1">
        <f>VLOOKUP(Master8[[#This Row],[Province_RDC]],Client[],5,FALSE)</f>
        <v>155</v>
      </c>
      <c r="Q225" s="1">
        <f>VLOOKUP(Master8[[#This Row],[Province_RDC]],Client[],6,FALSE)</f>
        <v>28.96</v>
      </c>
      <c r="R225" s="1">
        <f>VLOOKUP(Master8[[#This Row],[Province_RDC]],Client[],7,FALSE)</f>
        <v>2</v>
      </c>
      <c r="S225" s="1" t="str">
        <f>IF(Master8[[#This Row],[Type_Forfait]]="Pro Monde","B2B","B2C")</f>
        <v>B2C</v>
      </c>
      <c r="T225" s="1">
        <f>Master8[[#This Row],[Anciennete_Mois]]/12</f>
        <v>6.666666666666667</v>
      </c>
      <c r="U225" s="1">
        <f>Master8[[#This Row],[Duree_Cumule_Panne_Min]]/60</f>
        <v>2.5833333333333335</v>
      </c>
      <c r="V22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5" s="6">
        <f>Master8[[#This Row],[Facture_Mensuelle]]*Master8[[#This Row],[Remise]]</f>
        <v>0</v>
      </c>
    </row>
    <row r="226" spans="1:24" x14ac:dyDescent="0.25">
      <c r="A226" s="1" t="s">
        <v>1165</v>
      </c>
      <c r="B226" t="str">
        <f>IFERROR(VLOOKUP(Master8[[#This Row],[Cell_ID]],Registre_Maintenance[],2,FALSE),"")</f>
        <v>Lualaba</v>
      </c>
      <c r="C226" s="1" t="s">
        <v>1117</v>
      </c>
      <c r="D226" s="2">
        <v>45204.26458333333</v>
      </c>
      <c r="E226" s="3">
        <v>45204.26458333333</v>
      </c>
      <c r="F226">
        <v>90</v>
      </c>
      <c r="G226">
        <f>Master8[[#This Row],[Duree_Panne_Min]]/60</f>
        <v>1.5</v>
      </c>
      <c r="H226" s="1" t="s">
        <v>737</v>
      </c>
      <c r="I226">
        <f>IFERROR(VLOOKUP(Master8[[#This Row],[Cell_ID]],Registre_Maintenance[],3,FALSE),"")</f>
        <v>2.0392079999999999</v>
      </c>
      <c r="J226">
        <f>IFERROR(VLOOKUP(Master8[[#This Row],[Cell_ID]],Registre_Maintenance[],4,FALSE),"")</f>
        <v>19.090841999999999</v>
      </c>
      <c r="K226" t="str">
        <f>IFERROR(VLOOKUP(Master8[[#This Row],[Cell_ID]],Registre_Maintenance[],5,FALSE),"")</f>
        <v>4G</v>
      </c>
      <c r="L226" t="str">
        <f>IFERROR(VLOOKUP(Master8[[#This Row],[Cell_ID]],Registre_Maintenance[],6,FALSE),"")</f>
        <v>Nokia</v>
      </c>
      <c r="M226" s="1" t="str">
        <f>VLOOKUP(Master8[[#This Row],[Province_RDC]],Client[],2,FALSE)</f>
        <v>CLI-01005</v>
      </c>
      <c r="N226" s="1">
        <f>VLOOKUP(Master8[[#This Row],[Province_RDC]],Client[],3,FALSE)</f>
        <v>80</v>
      </c>
      <c r="O226" s="1" t="str">
        <f>VLOOKUP(Master8[[#This Row],[Province_RDC]],Client[],4,FALSE)</f>
        <v>Illimité 50Go</v>
      </c>
      <c r="P226" s="1">
        <f>VLOOKUP(Master8[[#This Row],[Province_RDC]],Client[],5,FALSE)</f>
        <v>155</v>
      </c>
      <c r="Q226" s="1">
        <f>VLOOKUP(Master8[[#This Row],[Province_RDC]],Client[],6,FALSE)</f>
        <v>28.96</v>
      </c>
      <c r="R226" s="1">
        <f>VLOOKUP(Master8[[#This Row],[Province_RDC]],Client[],7,FALSE)</f>
        <v>2</v>
      </c>
      <c r="S226" s="1" t="str">
        <f>IF(Master8[[#This Row],[Type_Forfait]]="Pro Monde","B2B","B2C")</f>
        <v>B2C</v>
      </c>
      <c r="T226" s="1">
        <f>Master8[[#This Row],[Anciennete_Mois]]/12</f>
        <v>6.666666666666667</v>
      </c>
      <c r="U226" s="1">
        <f>Master8[[#This Row],[Duree_Cumule_Panne_Min]]/60</f>
        <v>2.5833333333333335</v>
      </c>
      <c r="V22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6" s="6">
        <f>Master8[[#This Row],[Facture_Mensuelle]]*Master8[[#This Row],[Remise]]</f>
        <v>0</v>
      </c>
    </row>
    <row r="227" spans="1:24" x14ac:dyDescent="0.25">
      <c r="A227" s="1" t="s">
        <v>1114</v>
      </c>
      <c r="B227" t="str">
        <f>IFERROR(VLOOKUP(Master8[[#This Row],[Cell_ID]],Registre_Maintenance[],2,FALSE),"")</f>
        <v>Lomami</v>
      </c>
      <c r="C227" s="1" t="s">
        <v>860</v>
      </c>
      <c r="D227" s="2">
        <v>45230.228472222218</v>
      </c>
      <c r="E227" s="3">
        <v>45230.228472222218</v>
      </c>
      <c r="F227">
        <v>39</v>
      </c>
      <c r="G227">
        <f>Master8[[#This Row],[Duree_Panne_Min]]/60</f>
        <v>0.65</v>
      </c>
      <c r="H227" s="1" t="s">
        <v>737</v>
      </c>
      <c r="I227">
        <f>IFERROR(VLOOKUP(Master8[[#This Row],[Cell_ID]],Registre_Maintenance[],3,FALSE),"")</f>
        <v>-5.7035130000000001</v>
      </c>
      <c r="J227">
        <f>IFERROR(VLOOKUP(Master8[[#This Row],[Cell_ID]],Registre_Maintenance[],4,FALSE),"")</f>
        <v>14.331479</v>
      </c>
      <c r="K227" t="str">
        <f>IFERROR(VLOOKUP(Master8[[#This Row],[Cell_ID]],Registre_Maintenance[],5,FALSE),"")</f>
        <v>5G</v>
      </c>
      <c r="L227" t="str">
        <f>IFERROR(VLOOKUP(Master8[[#This Row],[Cell_ID]],Registre_Maintenance[],6,FALSE),"")</f>
        <v>Nokia</v>
      </c>
      <c r="M227" s="1" t="str">
        <f>VLOOKUP(Master8[[#This Row],[Province_RDC]],Client[],2,FALSE)</f>
        <v>CLI-00505</v>
      </c>
      <c r="N227" s="1">
        <f>VLOOKUP(Master8[[#This Row],[Province_RDC]],Client[],3,FALSE)</f>
        <v>59</v>
      </c>
      <c r="O227" s="1" t="str">
        <f>VLOOKUP(Master8[[#This Row],[Province_RDC]],Client[],4,FALSE)</f>
        <v>Bloqué 5Go</v>
      </c>
      <c r="P227" s="1">
        <f>VLOOKUP(Master8[[#This Row],[Province_RDC]],Client[],5,FALSE)</f>
        <v>196</v>
      </c>
      <c r="Q227" s="1">
        <f>VLOOKUP(Master8[[#This Row],[Province_RDC]],Client[],6,FALSE)</f>
        <v>62.53</v>
      </c>
      <c r="R227" s="1">
        <f>VLOOKUP(Master8[[#This Row],[Province_RDC]],Client[],7,FALSE)</f>
        <v>0</v>
      </c>
      <c r="S227" s="1" t="str">
        <f>IF(Master8[[#This Row],[Type_Forfait]]="Pro Monde","B2B","B2C")</f>
        <v>B2C</v>
      </c>
      <c r="T227" s="1">
        <f>Master8[[#This Row],[Anciennete_Mois]]/12</f>
        <v>4.916666666666667</v>
      </c>
      <c r="U227" s="1">
        <f>Master8[[#This Row],[Duree_Cumule_Panne_Min]]/60</f>
        <v>3.2666666666666666</v>
      </c>
      <c r="V22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7" s="6">
        <f>Master8[[#This Row],[Facture_Mensuelle]]*Master8[[#This Row],[Remise]]</f>
        <v>0</v>
      </c>
    </row>
    <row r="228" spans="1:24" x14ac:dyDescent="0.25">
      <c r="A228" s="1" t="s">
        <v>823</v>
      </c>
      <c r="B228" t="str">
        <f>IFERROR(VLOOKUP(Master8[[#This Row],[Cell_ID]],Registre_Maintenance[],2,FALSE),"")</f>
        <v>Lomami</v>
      </c>
      <c r="C228" s="1" t="s">
        <v>833</v>
      </c>
      <c r="D228" s="2">
        <v>45229.738194444442</v>
      </c>
      <c r="E228" s="3">
        <v>45229.738194444442</v>
      </c>
      <c r="F228">
        <v>36</v>
      </c>
      <c r="G228">
        <f>Master8[[#This Row],[Duree_Panne_Min]]/60</f>
        <v>0.6</v>
      </c>
      <c r="H228" s="1" t="s">
        <v>735</v>
      </c>
      <c r="I228">
        <f>IFERROR(VLOOKUP(Master8[[#This Row],[Cell_ID]],Registre_Maintenance[],3,FALSE),"")</f>
        <v>-11.218453999999999</v>
      </c>
      <c r="J228">
        <f>IFERROR(VLOOKUP(Master8[[#This Row],[Cell_ID]],Registre_Maintenance[],4,FALSE),"")</f>
        <v>28.230025000000001</v>
      </c>
      <c r="K228" t="str">
        <f>IFERROR(VLOOKUP(Master8[[#This Row],[Cell_ID]],Registre_Maintenance[],5,FALSE),"")</f>
        <v>5G</v>
      </c>
      <c r="L228" t="str">
        <f>IFERROR(VLOOKUP(Master8[[#This Row],[Cell_ID]],Registre_Maintenance[],6,FALSE),"")</f>
        <v>ZTE</v>
      </c>
      <c r="M228" s="1" t="str">
        <f>VLOOKUP(Master8[[#This Row],[Province_RDC]],Client[],2,FALSE)</f>
        <v>CLI-00505</v>
      </c>
      <c r="N228" s="1">
        <f>VLOOKUP(Master8[[#This Row],[Province_RDC]],Client[],3,FALSE)</f>
        <v>59</v>
      </c>
      <c r="O228" s="1" t="str">
        <f>VLOOKUP(Master8[[#This Row],[Province_RDC]],Client[],4,FALSE)</f>
        <v>Bloqué 5Go</v>
      </c>
      <c r="P228" s="1">
        <f>VLOOKUP(Master8[[#This Row],[Province_RDC]],Client[],5,FALSE)</f>
        <v>196</v>
      </c>
      <c r="Q228" s="1">
        <f>VLOOKUP(Master8[[#This Row],[Province_RDC]],Client[],6,FALSE)</f>
        <v>62.53</v>
      </c>
      <c r="R228" s="1">
        <f>VLOOKUP(Master8[[#This Row],[Province_RDC]],Client[],7,FALSE)</f>
        <v>0</v>
      </c>
      <c r="S228" s="1" t="str">
        <f>IF(Master8[[#This Row],[Type_Forfait]]="Pro Monde","B2B","B2C")</f>
        <v>B2C</v>
      </c>
      <c r="T228" s="1">
        <f>Master8[[#This Row],[Anciennete_Mois]]/12</f>
        <v>4.916666666666667</v>
      </c>
      <c r="U228" s="1">
        <f>Master8[[#This Row],[Duree_Cumule_Panne_Min]]/60</f>
        <v>3.2666666666666666</v>
      </c>
      <c r="V22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8" s="6">
        <f>Master8[[#This Row],[Facture_Mensuelle]]*Master8[[#This Row],[Remise]]</f>
        <v>0</v>
      </c>
    </row>
    <row r="229" spans="1:24" x14ac:dyDescent="0.25">
      <c r="A229" s="1" t="s">
        <v>902</v>
      </c>
      <c r="B229" t="str">
        <f>IFERROR(VLOOKUP(Master8[[#This Row],[Cell_ID]],Registre_Maintenance[],2,FALSE),"")</f>
        <v>Lomami</v>
      </c>
      <c r="C229" s="1" t="s">
        <v>905</v>
      </c>
      <c r="D229" s="2">
        <v>45226.100694444453</v>
      </c>
      <c r="E229" s="3">
        <v>45226.100694444453</v>
      </c>
      <c r="F229">
        <v>110</v>
      </c>
      <c r="G229">
        <f>Master8[[#This Row],[Duree_Panne_Min]]/60</f>
        <v>1.8333333333333333</v>
      </c>
      <c r="H229" s="1" t="s">
        <v>735</v>
      </c>
      <c r="I229">
        <f>IFERROR(VLOOKUP(Master8[[#This Row],[Cell_ID]],Registre_Maintenance[],3,FALSE),"")</f>
        <v>-2.2681789999999999</v>
      </c>
      <c r="J229">
        <f>IFERROR(VLOOKUP(Master8[[#This Row],[Cell_ID]],Registre_Maintenance[],4,FALSE),"")</f>
        <v>25.699068</v>
      </c>
      <c r="K229" t="str">
        <f>IFERROR(VLOOKUP(Master8[[#This Row],[Cell_ID]],Registre_Maintenance[],5,FALSE),"")</f>
        <v>3G</v>
      </c>
      <c r="L229" t="str">
        <f>IFERROR(VLOOKUP(Master8[[#This Row],[Cell_ID]],Registre_Maintenance[],6,FALSE),"")</f>
        <v>ZTE</v>
      </c>
      <c r="M229" s="1" t="str">
        <f>VLOOKUP(Master8[[#This Row],[Province_RDC]],Client[],2,FALSE)</f>
        <v>CLI-00505</v>
      </c>
      <c r="N229" s="1">
        <f>VLOOKUP(Master8[[#This Row],[Province_RDC]],Client[],3,FALSE)</f>
        <v>59</v>
      </c>
      <c r="O229" s="1" t="str">
        <f>VLOOKUP(Master8[[#This Row],[Province_RDC]],Client[],4,FALSE)</f>
        <v>Bloqué 5Go</v>
      </c>
      <c r="P229" s="1">
        <f>VLOOKUP(Master8[[#This Row],[Province_RDC]],Client[],5,FALSE)</f>
        <v>196</v>
      </c>
      <c r="Q229" s="1">
        <f>VLOOKUP(Master8[[#This Row],[Province_RDC]],Client[],6,FALSE)</f>
        <v>62.53</v>
      </c>
      <c r="R229" s="1">
        <f>VLOOKUP(Master8[[#This Row],[Province_RDC]],Client[],7,FALSE)</f>
        <v>0</v>
      </c>
      <c r="S229" s="1" t="str">
        <f>IF(Master8[[#This Row],[Type_Forfait]]="Pro Monde","B2B","B2C")</f>
        <v>B2C</v>
      </c>
      <c r="T229" s="1">
        <f>Master8[[#This Row],[Anciennete_Mois]]/12</f>
        <v>4.916666666666667</v>
      </c>
      <c r="U229" s="1">
        <f>Master8[[#This Row],[Duree_Cumule_Panne_Min]]/60</f>
        <v>3.2666666666666666</v>
      </c>
      <c r="V22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2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29" s="6">
        <f>Master8[[#This Row],[Facture_Mensuelle]]*Master8[[#This Row],[Remise]]</f>
        <v>0</v>
      </c>
    </row>
    <row r="230" spans="1:24" x14ac:dyDescent="0.25">
      <c r="A230" s="1" t="s">
        <v>1382</v>
      </c>
      <c r="B230" t="str">
        <f>IFERROR(VLOOKUP(Master8[[#This Row],[Cell_ID]],Registre_Maintenance[],2,FALSE),"")</f>
        <v>Lomami</v>
      </c>
      <c r="C230" s="1" t="s">
        <v>749</v>
      </c>
      <c r="D230" s="2">
        <v>45224.482638888891</v>
      </c>
      <c r="E230" s="3">
        <v>45224.482638888891</v>
      </c>
      <c r="F230">
        <v>95</v>
      </c>
      <c r="G230">
        <f>Master8[[#This Row],[Duree_Panne_Min]]/60</f>
        <v>1.5833333333333333</v>
      </c>
      <c r="H230" s="1" t="s">
        <v>735</v>
      </c>
      <c r="I230">
        <f>IFERROR(VLOOKUP(Master8[[#This Row],[Cell_ID]],Registre_Maintenance[],3,FALSE),"")</f>
        <v>-2.2371569999999998</v>
      </c>
      <c r="J230">
        <f>IFERROR(VLOOKUP(Master8[[#This Row],[Cell_ID]],Registre_Maintenance[],4,FALSE),"")</f>
        <v>25.926188</v>
      </c>
      <c r="K230" t="str">
        <f>IFERROR(VLOOKUP(Master8[[#This Row],[Cell_ID]],Registre_Maintenance[],5,FALSE),"")</f>
        <v>3G</v>
      </c>
      <c r="L230" t="str">
        <f>IFERROR(VLOOKUP(Master8[[#This Row],[Cell_ID]],Registre_Maintenance[],6,FALSE),"")</f>
        <v>Nokia</v>
      </c>
      <c r="M230" s="1" t="str">
        <f>VLOOKUP(Master8[[#This Row],[Province_RDC]],Client[],2,FALSE)</f>
        <v>CLI-00505</v>
      </c>
      <c r="N230" s="1">
        <f>VLOOKUP(Master8[[#This Row],[Province_RDC]],Client[],3,FALSE)</f>
        <v>59</v>
      </c>
      <c r="O230" s="1" t="str">
        <f>VLOOKUP(Master8[[#This Row],[Province_RDC]],Client[],4,FALSE)</f>
        <v>Bloqué 5Go</v>
      </c>
      <c r="P230" s="1">
        <f>VLOOKUP(Master8[[#This Row],[Province_RDC]],Client[],5,FALSE)</f>
        <v>196</v>
      </c>
      <c r="Q230" s="1">
        <f>VLOOKUP(Master8[[#This Row],[Province_RDC]],Client[],6,FALSE)</f>
        <v>62.53</v>
      </c>
      <c r="R230" s="1">
        <f>VLOOKUP(Master8[[#This Row],[Province_RDC]],Client[],7,FALSE)</f>
        <v>0</v>
      </c>
      <c r="S230" s="1" t="str">
        <f>IF(Master8[[#This Row],[Type_Forfait]]="Pro Monde","B2B","B2C")</f>
        <v>B2C</v>
      </c>
      <c r="T230" s="1">
        <f>Master8[[#This Row],[Anciennete_Mois]]/12</f>
        <v>4.916666666666667</v>
      </c>
      <c r="U230" s="1">
        <f>Master8[[#This Row],[Duree_Cumule_Panne_Min]]/60</f>
        <v>3.2666666666666666</v>
      </c>
      <c r="V23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0" s="6">
        <f>Master8[[#This Row],[Facture_Mensuelle]]*Master8[[#This Row],[Remise]]</f>
        <v>0</v>
      </c>
    </row>
    <row r="231" spans="1:24" x14ac:dyDescent="0.25">
      <c r="A231" s="1" t="s">
        <v>1059</v>
      </c>
      <c r="B231" t="str">
        <f>IFERROR(VLOOKUP(Master8[[#This Row],[Cell_ID]],Registre_Maintenance[],2,FALSE),"")</f>
        <v>Lomami</v>
      </c>
      <c r="C231" s="1" t="s">
        <v>1078</v>
      </c>
      <c r="D231" s="2">
        <v>45222.652777777781</v>
      </c>
      <c r="E231" s="3">
        <v>45222.652777777781</v>
      </c>
      <c r="F231">
        <v>46</v>
      </c>
      <c r="G231">
        <f>Master8[[#This Row],[Duree_Panne_Min]]/60</f>
        <v>0.76666666666666672</v>
      </c>
      <c r="H231" s="1" t="s">
        <v>737</v>
      </c>
      <c r="I231">
        <f>IFERROR(VLOOKUP(Master8[[#This Row],[Cell_ID]],Registre_Maintenance[],3,FALSE),"")</f>
        <v>-11.266565999999999</v>
      </c>
      <c r="J231">
        <f>IFERROR(VLOOKUP(Master8[[#This Row],[Cell_ID]],Registre_Maintenance[],4,FALSE),"")</f>
        <v>26.245055000000001</v>
      </c>
      <c r="K231" t="str">
        <f>IFERROR(VLOOKUP(Master8[[#This Row],[Cell_ID]],Registre_Maintenance[],5,FALSE),"")</f>
        <v>3G</v>
      </c>
      <c r="L231" t="str">
        <f>IFERROR(VLOOKUP(Master8[[#This Row],[Cell_ID]],Registre_Maintenance[],6,FALSE),"")</f>
        <v>Ericsson</v>
      </c>
      <c r="M231" s="1" t="str">
        <f>VLOOKUP(Master8[[#This Row],[Province_RDC]],Client[],2,FALSE)</f>
        <v>CLI-00505</v>
      </c>
      <c r="N231" s="1">
        <f>VLOOKUP(Master8[[#This Row],[Province_RDC]],Client[],3,FALSE)</f>
        <v>59</v>
      </c>
      <c r="O231" s="1" t="str">
        <f>VLOOKUP(Master8[[#This Row],[Province_RDC]],Client[],4,FALSE)</f>
        <v>Bloqué 5Go</v>
      </c>
      <c r="P231" s="1">
        <f>VLOOKUP(Master8[[#This Row],[Province_RDC]],Client[],5,FALSE)</f>
        <v>196</v>
      </c>
      <c r="Q231" s="1">
        <f>VLOOKUP(Master8[[#This Row],[Province_RDC]],Client[],6,FALSE)</f>
        <v>62.53</v>
      </c>
      <c r="R231" s="1">
        <f>VLOOKUP(Master8[[#This Row],[Province_RDC]],Client[],7,FALSE)</f>
        <v>0</v>
      </c>
      <c r="S231" s="1" t="str">
        <f>IF(Master8[[#This Row],[Type_Forfait]]="Pro Monde","B2B","B2C")</f>
        <v>B2C</v>
      </c>
      <c r="T231" s="1">
        <f>Master8[[#This Row],[Anciennete_Mois]]/12</f>
        <v>4.916666666666667</v>
      </c>
      <c r="U231" s="1">
        <f>Master8[[#This Row],[Duree_Cumule_Panne_Min]]/60</f>
        <v>3.2666666666666666</v>
      </c>
      <c r="V23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1" s="6">
        <f>Master8[[#This Row],[Facture_Mensuelle]]*Master8[[#This Row],[Remise]]</f>
        <v>0</v>
      </c>
    </row>
    <row r="232" spans="1:24" x14ac:dyDescent="0.25">
      <c r="A232" s="1" t="s">
        <v>823</v>
      </c>
      <c r="B232" t="str">
        <f>IFERROR(VLOOKUP(Master8[[#This Row],[Cell_ID]],Registre_Maintenance[],2,FALSE),"")</f>
        <v>Lomami</v>
      </c>
      <c r="C232" s="1" t="s">
        <v>855</v>
      </c>
      <c r="D232" s="2">
        <v>45219.420138888891</v>
      </c>
      <c r="E232" s="3">
        <v>45219.420138888891</v>
      </c>
      <c r="F232">
        <v>63</v>
      </c>
      <c r="G232">
        <f>Master8[[#This Row],[Duree_Panne_Min]]/60</f>
        <v>1.05</v>
      </c>
      <c r="H232" s="1" t="s">
        <v>737</v>
      </c>
      <c r="I232">
        <f>IFERROR(VLOOKUP(Master8[[#This Row],[Cell_ID]],Registre_Maintenance[],3,FALSE),"")</f>
        <v>-9.9875139999999991</v>
      </c>
      <c r="J232">
        <f>IFERROR(VLOOKUP(Master8[[#This Row],[Cell_ID]],Registre_Maintenance[],4,FALSE),"")</f>
        <v>12.013676999999999</v>
      </c>
      <c r="K232" t="str">
        <f>IFERROR(VLOOKUP(Master8[[#This Row],[Cell_ID]],Registre_Maintenance[],5,FALSE),"")</f>
        <v>3G</v>
      </c>
      <c r="L232" t="str">
        <f>IFERROR(VLOOKUP(Master8[[#This Row],[Cell_ID]],Registre_Maintenance[],6,FALSE),"")</f>
        <v>ZTE</v>
      </c>
      <c r="M232" s="1" t="str">
        <f>VLOOKUP(Master8[[#This Row],[Province_RDC]],Client[],2,FALSE)</f>
        <v>CLI-00505</v>
      </c>
      <c r="N232" s="1">
        <f>VLOOKUP(Master8[[#This Row],[Province_RDC]],Client[],3,FALSE)</f>
        <v>59</v>
      </c>
      <c r="O232" s="1" t="str">
        <f>VLOOKUP(Master8[[#This Row],[Province_RDC]],Client[],4,FALSE)</f>
        <v>Bloqué 5Go</v>
      </c>
      <c r="P232" s="1">
        <f>VLOOKUP(Master8[[#This Row],[Province_RDC]],Client[],5,FALSE)</f>
        <v>196</v>
      </c>
      <c r="Q232" s="1">
        <f>VLOOKUP(Master8[[#This Row],[Province_RDC]],Client[],6,FALSE)</f>
        <v>62.53</v>
      </c>
      <c r="R232" s="1">
        <f>VLOOKUP(Master8[[#This Row],[Province_RDC]],Client[],7,FALSE)</f>
        <v>0</v>
      </c>
      <c r="S232" s="1" t="str">
        <f>IF(Master8[[#This Row],[Type_Forfait]]="Pro Monde","B2B","B2C")</f>
        <v>B2C</v>
      </c>
      <c r="T232" s="1">
        <f>Master8[[#This Row],[Anciennete_Mois]]/12</f>
        <v>4.916666666666667</v>
      </c>
      <c r="U232" s="1">
        <f>Master8[[#This Row],[Duree_Cumule_Panne_Min]]/60</f>
        <v>3.2666666666666666</v>
      </c>
      <c r="V23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2" s="6">
        <f>Master8[[#This Row],[Facture_Mensuelle]]*Master8[[#This Row],[Remise]]</f>
        <v>0</v>
      </c>
    </row>
    <row r="233" spans="1:24" x14ac:dyDescent="0.25">
      <c r="A233" s="1" t="s">
        <v>823</v>
      </c>
      <c r="B233" t="str">
        <f>IFERROR(VLOOKUP(Master8[[#This Row],[Cell_ID]],Registre_Maintenance[],2,FALSE),"")</f>
        <v>Lomami</v>
      </c>
      <c r="C233" s="1" t="s">
        <v>860</v>
      </c>
      <c r="D233" s="2">
        <v>45219.103472222218</v>
      </c>
      <c r="E233" s="3">
        <v>45219.103472222218</v>
      </c>
      <c r="F233">
        <v>72</v>
      </c>
      <c r="G233">
        <f>Master8[[#This Row],[Duree_Panne_Min]]/60</f>
        <v>1.2</v>
      </c>
      <c r="H233" s="1" t="s">
        <v>735</v>
      </c>
      <c r="I233">
        <f>IFERROR(VLOOKUP(Master8[[#This Row],[Cell_ID]],Registre_Maintenance[],3,FALSE),"")</f>
        <v>-5.7035130000000001</v>
      </c>
      <c r="J233">
        <f>IFERROR(VLOOKUP(Master8[[#This Row],[Cell_ID]],Registre_Maintenance[],4,FALSE),"")</f>
        <v>14.331479</v>
      </c>
      <c r="K233" t="str">
        <f>IFERROR(VLOOKUP(Master8[[#This Row],[Cell_ID]],Registre_Maintenance[],5,FALSE),"")</f>
        <v>5G</v>
      </c>
      <c r="L233" t="str">
        <f>IFERROR(VLOOKUP(Master8[[#This Row],[Cell_ID]],Registre_Maintenance[],6,FALSE),"")</f>
        <v>Nokia</v>
      </c>
      <c r="M233" s="1" t="str">
        <f>VLOOKUP(Master8[[#This Row],[Province_RDC]],Client[],2,FALSE)</f>
        <v>CLI-00505</v>
      </c>
      <c r="N233" s="1">
        <f>VLOOKUP(Master8[[#This Row],[Province_RDC]],Client[],3,FALSE)</f>
        <v>59</v>
      </c>
      <c r="O233" s="1" t="str">
        <f>VLOOKUP(Master8[[#This Row],[Province_RDC]],Client[],4,FALSE)</f>
        <v>Bloqué 5Go</v>
      </c>
      <c r="P233" s="1">
        <f>VLOOKUP(Master8[[#This Row],[Province_RDC]],Client[],5,FALSE)</f>
        <v>196</v>
      </c>
      <c r="Q233" s="1">
        <f>VLOOKUP(Master8[[#This Row],[Province_RDC]],Client[],6,FALSE)</f>
        <v>62.53</v>
      </c>
      <c r="R233" s="1">
        <f>VLOOKUP(Master8[[#This Row],[Province_RDC]],Client[],7,FALSE)</f>
        <v>0</v>
      </c>
      <c r="S233" s="1" t="str">
        <f>IF(Master8[[#This Row],[Type_Forfait]]="Pro Monde","B2B","B2C")</f>
        <v>B2C</v>
      </c>
      <c r="T233" s="1">
        <f>Master8[[#This Row],[Anciennete_Mois]]/12</f>
        <v>4.916666666666667</v>
      </c>
      <c r="U233" s="1">
        <f>Master8[[#This Row],[Duree_Cumule_Panne_Min]]/60</f>
        <v>3.2666666666666666</v>
      </c>
      <c r="V23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3" s="6">
        <f>Master8[[#This Row],[Facture_Mensuelle]]*Master8[[#This Row],[Remise]]</f>
        <v>0</v>
      </c>
    </row>
    <row r="234" spans="1:24" x14ac:dyDescent="0.25">
      <c r="A234" s="1" t="s">
        <v>730</v>
      </c>
      <c r="B234" t="str">
        <f>IFERROR(VLOOKUP(Master8[[#This Row],[Cell_ID]],Registre_Maintenance[],2,FALSE),"")</f>
        <v>Lomami</v>
      </c>
      <c r="C234" s="1" t="s">
        <v>745</v>
      </c>
      <c r="D234" s="2">
        <v>45218.368750000001</v>
      </c>
      <c r="E234" s="3">
        <v>45218.368750000001</v>
      </c>
      <c r="F234">
        <v>70</v>
      </c>
      <c r="G234">
        <f>Master8[[#This Row],[Duree_Panne_Min]]/60</f>
        <v>1.1666666666666667</v>
      </c>
      <c r="H234" s="1" t="s">
        <v>732</v>
      </c>
      <c r="I234">
        <f>IFERROR(VLOOKUP(Master8[[#This Row],[Cell_ID]],Registre_Maintenance[],3,FALSE),"")</f>
        <v>-8.4227860000000003</v>
      </c>
      <c r="J234">
        <f>IFERROR(VLOOKUP(Master8[[#This Row],[Cell_ID]],Registre_Maintenance[],4,FALSE),"")</f>
        <v>16.781293000000002</v>
      </c>
      <c r="K234" t="str">
        <f>IFERROR(VLOOKUP(Master8[[#This Row],[Cell_ID]],Registre_Maintenance[],5,FALSE),"")</f>
        <v>4G</v>
      </c>
      <c r="L234" t="str">
        <f>IFERROR(VLOOKUP(Master8[[#This Row],[Cell_ID]],Registre_Maintenance[],6,FALSE),"")</f>
        <v>Huawei</v>
      </c>
      <c r="M234" s="1" t="str">
        <f>VLOOKUP(Master8[[#This Row],[Province_RDC]],Client[],2,FALSE)</f>
        <v>CLI-00505</v>
      </c>
      <c r="N234" s="1">
        <f>VLOOKUP(Master8[[#This Row],[Province_RDC]],Client[],3,FALSE)</f>
        <v>59</v>
      </c>
      <c r="O234" s="1" t="str">
        <f>VLOOKUP(Master8[[#This Row],[Province_RDC]],Client[],4,FALSE)</f>
        <v>Bloqué 5Go</v>
      </c>
      <c r="P234" s="1">
        <f>VLOOKUP(Master8[[#This Row],[Province_RDC]],Client[],5,FALSE)</f>
        <v>196</v>
      </c>
      <c r="Q234" s="1">
        <f>VLOOKUP(Master8[[#This Row],[Province_RDC]],Client[],6,FALSE)</f>
        <v>62.53</v>
      </c>
      <c r="R234" s="1">
        <f>VLOOKUP(Master8[[#This Row],[Province_RDC]],Client[],7,FALSE)</f>
        <v>0</v>
      </c>
      <c r="S234" s="1" t="str">
        <f>IF(Master8[[#This Row],[Type_Forfait]]="Pro Monde","B2B","B2C")</f>
        <v>B2C</v>
      </c>
      <c r="T234" s="1">
        <f>Master8[[#This Row],[Anciennete_Mois]]/12</f>
        <v>4.916666666666667</v>
      </c>
      <c r="U234" s="1">
        <f>Master8[[#This Row],[Duree_Cumule_Panne_Min]]/60</f>
        <v>3.2666666666666666</v>
      </c>
      <c r="V23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4" s="6">
        <f>Master8[[#This Row],[Facture_Mensuelle]]*Master8[[#This Row],[Remise]]</f>
        <v>0</v>
      </c>
    </row>
    <row r="235" spans="1:24" x14ac:dyDescent="0.25">
      <c r="A235" s="1" t="s">
        <v>1261</v>
      </c>
      <c r="B235" t="str">
        <f>IFERROR(VLOOKUP(Master8[[#This Row],[Cell_ID]],Registre_Maintenance[],2,FALSE),"")</f>
        <v>Lomami</v>
      </c>
      <c r="C235" s="1" t="s">
        <v>1270</v>
      </c>
      <c r="D235" s="2">
        <v>45216.094444444447</v>
      </c>
      <c r="E235" s="3">
        <v>45216.094444444447</v>
      </c>
      <c r="F235">
        <v>74</v>
      </c>
      <c r="G235">
        <f>Master8[[#This Row],[Duree_Panne_Min]]/60</f>
        <v>1.2333333333333334</v>
      </c>
      <c r="H235" s="1" t="s">
        <v>732</v>
      </c>
      <c r="I235">
        <f>IFERROR(VLOOKUP(Master8[[#This Row],[Cell_ID]],Registre_Maintenance[],3,FALSE),"")</f>
        <v>4.8265669999999998</v>
      </c>
      <c r="J235">
        <f>IFERROR(VLOOKUP(Master8[[#This Row],[Cell_ID]],Registre_Maintenance[],4,FALSE),"")</f>
        <v>28.535277000000001</v>
      </c>
      <c r="K235" t="str">
        <f>IFERROR(VLOOKUP(Master8[[#This Row],[Cell_ID]],Registre_Maintenance[],5,FALSE),"")</f>
        <v>3G</v>
      </c>
      <c r="L235" t="str">
        <f>IFERROR(VLOOKUP(Master8[[#This Row],[Cell_ID]],Registre_Maintenance[],6,FALSE),"")</f>
        <v>Huawei</v>
      </c>
      <c r="M235" s="1" t="str">
        <f>VLOOKUP(Master8[[#This Row],[Province_RDC]],Client[],2,FALSE)</f>
        <v>CLI-00505</v>
      </c>
      <c r="N235" s="1">
        <f>VLOOKUP(Master8[[#This Row],[Province_RDC]],Client[],3,FALSE)</f>
        <v>59</v>
      </c>
      <c r="O235" s="1" t="str">
        <f>VLOOKUP(Master8[[#This Row],[Province_RDC]],Client[],4,FALSE)</f>
        <v>Bloqué 5Go</v>
      </c>
      <c r="P235" s="1">
        <f>VLOOKUP(Master8[[#This Row],[Province_RDC]],Client[],5,FALSE)</f>
        <v>196</v>
      </c>
      <c r="Q235" s="1">
        <f>VLOOKUP(Master8[[#This Row],[Province_RDC]],Client[],6,FALSE)</f>
        <v>62.53</v>
      </c>
      <c r="R235" s="1">
        <f>VLOOKUP(Master8[[#This Row],[Province_RDC]],Client[],7,FALSE)</f>
        <v>0</v>
      </c>
      <c r="S235" s="1" t="str">
        <f>IF(Master8[[#This Row],[Type_Forfait]]="Pro Monde","B2B","B2C")</f>
        <v>B2C</v>
      </c>
      <c r="T235" s="1">
        <f>Master8[[#This Row],[Anciennete_Mois]]/12</f>
        <v>4.916666666666667</v>
      </c>
      <c r="U235" s="1">
        <f>Master8[[#This Row],[Duree_Cumule_Panne_Min]]/60</f>
        <v>3.2666666666666666</v>
      </c>
      <c r="V23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5" s="6">
        <f>Master8[[#This Row],[Facture_Mensuelle]]*Master8[[#This Row],[Remise]]</f>
        <v>0</v>
      </c>
    </row>
    <row r="236" spans="1:24" x14ac:dyDescent="0.25">
      <c r="A236" s="1" t="s">
        <v>902</v>
      </c>
      <c r="B236" t="str">
        <f>IFERROR(VLOOKUP(Master8[[#This Row],[Cell_ID]],Registre_Maintenance[],2,FALSE),"")</f>
        <v>Lomami</v>
      </c>
      <c r="C236" s="1" t="s">
        <v>749</v>
      </c>
      <c r="D236" s="2">
        <v>45215.376388888893</v>
      </c>
      <c r="E236" s="3">
        <v>45215.376388888893</v>
      </c>
      <c r="F236">
        <v>65</v>
      </c>
      <c r="G236">
        <f>Master8[[#This Row],[Duree_Panne_Min]]/60</f>
        <v>1.0833333333333333</v>
      </c>
      <c r="H236" s="1" t="s">
        <v>737</v>
      </c>
      <c r="I236">
        <f>IFERROR(VLOOKUP(Master8[[#This Row],[Cell_ID]],Registre_Maintenance[],3,FALSE),"")</f>
        <v>-2.2371569999999998</v>
      </c>
      <c r="J236">
        <f>IFERROR(VLOOKUP(Master8[[#This Row],[Cell_ID]],Registre_Maintenance[],4,FALSE),"")</f>
        <v>25.926188</v>
      </c>
      <c r="K236" t="str">
        <f>IFERROR(VLOOKUP(Master8[[#This Row],[Cell_ID]],Registre_Maintenance[],5,FALSE),"")</f>
        <v>3G</v>
      </c>
      <c r="L236" t="str">
        <f>IFERROR(VLOOKUP(Master8[[#This Row],[Cell_ID]],Registre_Maintenance[],6,FALSE),"")</f>
        <v>Nokia</v>
      </c>
      <c r="M236" s="1" t="str">
        <f>VLOOKUP(Master8[[#This Row],[Province_RDC]],Client[],2,FALSE)</f>
        <v>CLI-00505</v>
      </c>
      <c r="N236" s="1">
        <f>VLOOKUP(Master8[[#This Row],[Province_RDC]],Client[],3,FALSE)</f>
        <v>59</v>
      </c>
      <c r="O236" s="1" t="str">
        <f>VLOOKUP(Master8[[#This Row],[Province_RDC]],Client[],4,FALSE)</f>
        <v>Bloqué 5Go</v>
      </c>
      <c r="P236" s="1">
        <f>VLOOKUP(Master8[[#This Row],[Province_RDC]],Client[],5,FALSE)</f>
        <v>196</v>
      </c>
      <c r="Q236" s="1">
        <f>VLOOKUP(Master8[[#This Row],[Province_RDC]],Client[],6,FALSE)</f>
        <v>62.53</v>
      </c>
      <c r="R236" s="1">
        <f>VLOOKUP(Master8[[#This Row],[Province_RDC]],Client[],7,FALSE)</f>
        <v>0</v>
      </c>
      <c r="S236" s="1" t="str">
        <f>IF(Master8[[#This Row],[Type_Forfait]]="Pro Monde","B2B","B2C")</f>
        <v>B2C</v>
      </c>
      <c r="T236" s="1">
        <f>Master8[[#This Row],[Anciennete_Mois]]/12</f>
        <v>4.916666666666667</v>
      </c>
      <c r="U236" s="1">
        <f>Master8[[#This Row],[Duree_Cumule_Panne_Min]]/60</f>
        <v>3.2666666666666666</v>
      </c>
      <c r="V23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6" s="6">
        <f>Master8[[#This Row],[Facture_Mensuelle]]*Master8[[#This Row],[Remise]]</f>
        <v>0</v>
      </c>
    </row>
    <row r="237" spans="1:24" x14ac:dyDescent="0.25">
      <c r="A237" s="1" t="s">
        <v>1330</v>
      </c>
      <c r="B237" t="str">
        <f>IFERROR(VLOOKUP(Master8[[#This Row],[Cell_ID]],Registre_Maintenance[],2,FALSE),"")</f>
        <v>Lomami</v>
      </c>
      <c r="C237" s="1" t="s">
        <v>833</v>
      </c>
      <c r="D237" s="2">
        <v>45214.684027777781</v>
      </c>
      <c r="E237" s="3">
        <v>45214.684027777781</v>
      </c>
      <c r="F237">
        <v>119</v>
      </c>
      <c r="G237">
        <f>Master8[[#This Row],[Duree_Panne_Min]]/60</f>
        <v>1.9833333333333334</v>
      </c>
      <c r="H237" s="1" t="s">
        <v>737</v>
      </c>
      <c r="I237">
        <f>IFERROR(VLOOKUP(Master8[[#This Row],[Cell_ID]],Registre_Maintenance[],3,FALSE),"")</f>
        <v>-11.218453999999999</v>
      </c>
      <c r="J237">
        <f>IFERROR(VLOOKUP(Master8[[#This Row],[Cell_ID]],Registre_Maintenance[],4,FALSE),"")</f>
        <v>28.230025000000001</v>
      </c>
      <c r="K237" t="str">
        <f>IFERROR(VLOOKUP(Master8[[#This Row],[Cell_ID]],Registre_Maintenance[],5,FALSE),"")</f>
        <v>5G</v>
      </c>
      <c r="L237" t="str">
        <f>IFERROR(VLOOKUP(Master8[[#This Row],[Cell_ID]],Registre_Maintenance[],6,FALSE),"")</f>
        <v>ZTE</v>
      </c>
      <c r="M237" s="1" t="str">
        <f>VLOOKUP(Master8[[#This Row],[Province_RDC]],Client[],2,FALSE)</f>
        <v>CLI-00505</v>
      </c>
      <c r="N237" s="1">
        <f>VLOOKUP(Master8[[#This Row],[Province_RDC]],Client[],3,FALSE)</f>
        <v>59</v>
      </c>
      <c r="O237" s="1" t="str">
        <f>VLOOKUP(Master8[[#This Row],[Province_RDC]],Client[],4,FALSE)</f>
        <v>Bloqué 5Go</v>
      </c>
      <c r="P237" s="1">
        <f>VLOOKUP(Master8[[#This Row],[Province_RDC]],Client[],5,FALSE)</f>
        <v>196</v>
      </c>
      <c r="Q237" s="1">
        <f>VLOOKUP(Master8[[#This Row],[Province_RDC]],Client[],6,FALSE)</f>
        <v>62.53</v>
      </c>
      <c r="R237" s="1">
        <f>VLOOKUP(Master8[[#This Row],[Province_RDC]],Client[],7,FALSE)</f>
        <v>0</v>
      </c>
      <c r="S237" s="1" t="str">
        <f>IF(Master8[[#This Row],[Type_Forfait]]="Pro Monde","B2B","B2C")</f>
        <v>B2C</v>
      </c>
      <c r="T237" s="1">
        <f>Master8[[#This Row],[Anciennete_Mois]]/12</f>
        <v>4.916666666666667</v>
      </c>
      <c r="U237" s="1">
        <f>Master8[[#This Row],[Duree_Cumule_Panne_Min]]/60</f>
        <v>3.2666666666666666</v>
      </c>
      <c r="V23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7" s="6">
        <f>Master8[[#This Row],[Facture_Mensuelle]]*Master8[[#This Row],[Remise]]</f>
        <v>0</v>
      </c>
    </row>
    <row r="238" spans="1:24" x14ac:dyDescent="0.25">
      <c r="A238" s="1" t="s">
        <v>1345</v>
      </c>
      <c r="B238" t="str">
        <f>IFERROR(VLOOKUP(Master8[[#This Row],[Cell_ID]],Registre_Maintenance[],2,FALSE),"")</f>
        <v>Lomami</v>
      </c>
      <c r="C238" s="1" t="s">
        <v>1270</v>
      </c>
      <c r="D238" s="2">
        <v>45213.518750000003</v>
      </c>
      <c r="E238" s="3">
        <v>45213.518750000003</v>
      </c>
      <c r="F238">
        <v>88</v>
      </c>
      <c r="G238">
        <f>Master8[[#This Row],[Duree_Panne_Min]]/60</f>
        <v>1.4666666666666666</v>
      </c>
      <c r="H238" s="1" t="s">
        <v>735</v>
      </c>
      <c r="I238">
        <f>IFERROR(VLOOKUP(Master8[[#This Row],[Cell_ID]],Registre_Maintenance[],3,FALSE),"")</f>
        <v>4.8265669999999998</v>
      </c>
      <c r="J238">
        <f>IFERROR(VLOOKUP(Master8[[#This Row],[Cell_ID]],Registre_Maintenance[],4,FALSE),"")</f>
        <v>28.535277000000001</v>
      </c>
      <c r="K238" t="str">
        <f>IFERROR(VLOOKUP(Master8[[#This Row],[Cell_ID]],Registre_Maintenance[],5,FALSE),"")</f>
        <v>3G</v>
      </c>
      <c r="L238" t="str">
        <f>IFERROR(VLOOKUP(Master8[[#This Row],[Cell_ID]],Registre_Maintenance[],6,FALSE),"")</f>
        <v>Huawei</v>
      </c>
      <c r="M238" s="1" t="str">
        <f>VLOOKUP(Master8[[#This Row],[Province_RDC]],Client[],2,FALSE)</f>
        <v>CLI-00505</v>
      </c>
      <c r="N238" s="1">
        <f>VLOOKUP(Master8[[#This Row],[Province_RDC]],Client[],3,FALSE)</f>
        <v>59</v>
      </c>
      <c r="O238" s="1" t="str">
        <f>VLOOKUP(Master8[[#This Row],[Province_RDC]],Client[],4,FALSE)</f>
        <v>Bloqué 5Go</v>
      </c>
      <c r="P238" s="1">
        <f>VLOOKUP(Master8[[#This Row],[Province_RDC]],Client[],5,FALSE)</f>
        <v>196</v>
      </c>
      <c r="Q238" s="1">
        <f>VLOOKUP(Master8[[#This Row],[Province_RDC]],Client[],6,FALSE)</f>
        <v>62.53</v>
      </c>
      <c r="R238" s="1">
        <f>VLOOKUP(Master8[[#This Row],[Province_RDC]],Client[],7,FALSE)</f>
        <v>0</v>
      </c>
      <c r="S238" s="1" t="str">
        <f>IF(Master8[[#This Row],[Type_Forfait]]="Pro Monde","B2B","B2C")</f>
        <v>B2C</v>
      </c>
      <c r="T238" s="1">
        <f>Master8[[#This Row],[Anciennete_Mois]]/12</f>
        <v>4.916666666666667</v>
      </c>
      <c r="U238" s="1">
        <f>Master8[[#This Row],[Duree_Cumule_Panne_Min]]/60</f>
        <v>3.2666666666666666</v>
      </c>
      <c r="V23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8" s="6">
        <f>Master8[[#This Row],[Facture_Mensuelle]]*Master8[[#This Row],[Remise]]</f>
        <v>0</v>
      </c>
    </row>
    <row r="239" spans="1:24" x14ac:dyDescent="0.25">
      <c r="A239" s="1" t="s">
        <v>1114</v>
      </c>
      <c r="B239" t="str">
        <f>IFERROR(VLOOKUP(Master8[[#This Row],[Cell_ID]],Registre_Maintenance[],2,FALSE),"")</f>
        <v>Lomami</v>
      </c>
      <c r="C239" s="1" t="s">
        <v>1122</v>
      </c>
      <c r="D239" s="2">
        <v>45210.879861111112</v>
      </c>
      <c r="E239" s="3">
        <v>45210.879861111112</v>
      </c>
      <c r="F239">
        <v>53</v>
      </c>
      <c r="G239">
        <f>Master8[[#This Row],[Duree_Panne_Min]]/60</f>
        <v>0.8833333333333333</v>
      </c>
      <c r="H239" s="1" t="s">
        <v>732</v>
      </c>
      <c r="I239">
        <f>IFERROR(VLOOKUP(Master8[[#This Row],[Cell_ID]],Registre_Maintenance[],3,FALSE),"")</f>
        <v>-7.8770429999999996</v>
      </c>
      <c r="J239">
        <f>IFERROR(VLOOKUP(Master8[[#This Row],[Cell_ID]],Registre_Maintenance[],4,FALSE),"")</f>
        <v>16.357762999999998</v>
      </c>
      <c r="K239" t="str">
        <f>IFERROR(VLOOKUP(Master8[[#This Row],[Cell_ID]],Registre_Maintenance[],5,FALSE),"")</f>
        <v>4G</v>
      </c>
      <c r="L239" t="str">
        <f>IFERROR(VLOOKUP(Master8[[#This Row],[Cell_ID]],Registre_Maintenance[],6,FALSE),"")</f>
        <v>Ericsson</v>
      </c>
      <c r="M239" s="1" t="str">
        <f>VLOOKUP(Master8[[#This Row],[Province_RDC]],Client[],2,FALSE)</f>
        <v>CLI-00505</v>
      </c>
      <c r="N239" s="1">
        <f>VLOOKUP(Master8[[#This Row],[Province_RDC]],Client[],3,FALSE)</f>
        <v>59</v>
      </c>
      <c r="O239" s="1" t="str">
        <f>VLOOKUP(Master8[[#This Row],[Province_RDC]],Client[],4,FALSE)</f>
        <v>Bloqué 5Go</v>
      </c>
      <c r="P239" s="1">
        <f>VLOOKUP(Master8[[#This Row],[Province_RDC]],Client[],5,FALSE)</f>
        <v>196</v>
      </c>
      <c r="Q239" s="1">
        <f>VLOOKUP(Master8[[#This Row],[Province_RDC]],Client[],6,FALSE)</f>
        <v>62.53</v>
      </c>
      <c r="R239" s="1">
        <f>VLOOKUP(Master8[[#This Row],[Province_RDC]],Client[],7,FALSE)</f>
        <v>0</v>
      </c>
      <c r="S239" s="1" t="str">
        <f>IF(Master8[[#This Row],[Type_Forfait]]="Pro Monde","B2B","B2C")</f>
        <v>B2C</v>
      </c>
      <c r="T239" s="1">
        <f>Master8[[#This Row],[Anciennete_Mois]]/12</f>
        <v>4.916666666666667</v>
      </c>
      <c r="U239" s="1">
        <f>Master8[[#This Row],[Duree_Cumule_Panne_Min]]/60</f>
        <v>3.2666666666666666</v>
      </c>
      <c r="V23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3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39" s="6">
        <f>Master8[[#This Row],[Facture_Mensuelle]]*Master8[[#This Row],[Remise]]</f>
        <v>0</v>
      </c>
    </row>
    <row r="240" spans="1:24" x14ac:dyDescent="0.25">
      <c r="A240" s="1" t="s">
        <v>730</v>
      </c>
      <c r="B240" t="str">
        <f>IFERROR(VLOOKUP(Master8[[#This Row],[Cell_ID]],Registre_Maintenance[],2,FALSE),"")</f>
        <v>Lomami</v>
      </c>
      <c r="C240" s="1" t="s">
        <v>745</v>
      </c>
      <c r="D240" s="2">
        <v>45208.073611111111</v>
      </c>
      <c r="E240" s="3">
        <v>45208.073611111111</v>
      </c>
      <c r="F240">
        <v>85</v>
      </c>
      <c r="G240">
        <f>Master8[[#This Row],[Duree_Panne_Min]]/60</f>
        <v>1.4166666666666667</v>
      </c>
      <c r="H240" s="1" t="s">
        <v>735</v>
      </c>
      <c r="I240">
        <f>IFERROR(VLOOKUP(Master8[[#This Row],[Cell_ID]],Registre_Maintenance[],3,FALSE),"")</f>
        <v>-8.4227860000000003</v>
      </c>
      <c r="J240">
        <f>IFERROR(VLOOKUP(Master8[[#This Row],[Cell_ID]],Registre_Maintenance[],4,FALSE),"")</f>
        <v>16.781293000000002</v>
      </c>
      <c r="K240" t="str">
        <f>IFERROR(VLOOKUP(Master8[[#This Row],[Cell_ID]],Registre_Maintenance[],5,FALSE),"")</f>
        <v>4G</v>
      </c>
      <c r="L240" t="str">
        <f>IFERROR(VLOOKUP(Master8[[#This Row],[Cell_ID]],Registre_Maintenance[],6,FALSE),"")</f>
        <v>Huawei</v>
      </c>
      <c r="M240" s="1" t="str">
        <f>VLOOKUP(Master8[[#This Row],[Province_RDC]],Client[],2,FALSE)</f>
        <v>CLI-00505</v>
      </c>
      <c r="N240" s="1">
        <f>VLOOKUP(Master8[[#This Row],[Province_RDC]],Client[],3,FALSE)</f>
        <v>59</v>
      </c>
      <c r="O240" s="1" t="str">
        <f>VLOOKUP(Master8[[#This Row],[Province_RDC]],Client[],4,FALSE)</f>
        <v>Bloqué 5Go</v>
      </c>
      <c r="P240" s="1">
        <f>VLOOKUP(Master8[[#This Row],[Province_RDC]],Client[],5,FALSE)</f>
        <v>196</v>
      </c>
      <c r="Q240" s="1">
        <f>VLOOKUP(Master8[[#This Row],[Province_RDC]],Client[],6,FALSE)</f>
        <v>62.53</v>
      </c>
      <c r="R240" s="1">
        <f>VLOOKUP(Master8[[#This Row],[Province_RDC]],Client[],7,FALSE)</f>
        <v>0</v>
      </c>
      <c r="S240" s="1" t="str">
        <f>IF(Master8[[#This Row],[Type_Forfait]]="Pro Monde","B2B","B2C")</f>
        <v>B2C</v>
      </c>
      <c r="T240" s="1">
        <f>Master8[[#This Row],[Anciennete_Mois]]/12</f>
        <v>4.916666666666667</v>
      </c>
      <c r="U240" s="1">
        <f>Master8[[#This Row],[Duree_Cumule_Panne_Min]]/60</f>
        <v>3.2666666666666666</v>
      </c>
      <c r="V24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0" s="6">
        <f>Master8[[#This Row],[Facture_Mensuelle]]*Master8[[#This Row],[Remise]]</f>
        <v>0</v>
      </c>
    </row>
    <row r="241" spans="1:24" x14ac:dyDescent="0.25">
      <c r="A241" s="1" t="s">
        <v>1288</v>
      </c>
      <c r="B241" t="str">
        <f>IFERROR(VLOOKUP(Master8[[#This Row],[Cell_ID]],Registre_Maintenance[],2,FALSE),"")</f>
        <v>Lomami</v>
      </c>
      <c r="C241" s="1" t="s">
        <v>905</v>
      </c>
      <c r="D241" s="2">
        <v>45205.345138888893</v>
      </c>
      <c r="E241" s="3">
        <v>45205.345138888893</v>
      </c>
      <c r="F241">
        <v>109</v>
      </c>
      <c r="G241">
        <f>Master8[[#This Row],[Duree_Panne_Min]]/60</f>
        <v>1.8166666666666667</v>
      </c>
      <c r="H241" s="1" t="s">
        <v>735</v>
      </c>
      <c r="I241">
        <f>IFERROR(VLOOKUP(Master8[[#This Row],[Cell_ID]],Registre_Maintenance[],3,FALSE),"")</f>
        <v>-2.2681789999999999</v>
      </c>
      <c r="J241">
        <f>IFERROR(VLOOKUP(Master8[[#This Row],[Cell_ID]],Registre_Maintenance[],4,FALSE),"")</f>
        <v>25.699068</v>
      </c>
      <c r="K241" t="str">
        <f>IFERROR(VLOOKUP(Master8[[#This Row],[Cell_ID]],Registre_Maintenance[],5,FALSE),"")</f>
        <v>3G</v>
      </c>
      <c r="L241" t="str">
        <f>IFERROR(VLOOKUP(Master8[[#This Row],[Cell_ID]],Registre_Maintenance[],6,FALSE),"")</f>
        <v>ZTE</v>
      </c>
      <c r="M241" s="1" t="str">
        <f>VLOOKUP(Master8[[#This Row],[Province_RDC]],Client[],2,FALSE)</f>
        <v>CLI-00505</v>
      </c>
      <c r="N241" s="1">
        <f>VLOOKUP(Master8[[#This Row],[Province_RDC]],Client[],3,FALSE)</f>
        <v>59</v>
      </c>
      <c r="O241" s="1" t="str">
        <f>VLOOKUP(Master8[[#This Row],[Province_RDC]],Client[],4,FALSE)</f>
        <v>Bloqué 5Go</v>
      </c>
      <c r="P241" s="1">
        <f>VLOOKUP(Master8[[#This Row],[Province_RDC]],Client[],5,FALSE)</f>
        <v>196</v>
      </c>
      <c r="Q241" s="1">
        <f>VLOOKUP(Master8[[#This Row],[Province_RDC]],Client[],6,FALSE)</f>
        <v>62.53</v>
      </c>
      <c r="R241" s="1">
        <f>VLOOKUP(Master8[[#This Row],[Province_RDC]],Client[],7,FALSE)</f>
        <v>0</v>
      </c>
      <c r="S241" s="1" t="str">
        <f>IF(Master8[[#This Row],[Type_Forfait]]="Pro Monde","B2B","B2C")</f>
        <v>B2C</v>
      </c>
      <c r="T241" s="1">
        <f>Master8[[#This Row],[Anciennete_Mois]]/12</f>
        <v>4.916666666666667</v>
      </c>
      <c r="U241" s="1">
        <f>Master8[[#This Row],[Duree_Cumule_Panne_Min]]/60</f>
        <v>3.2666666666666666</v>
      </c>
      <c r="V24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1" s="6">
        <f>Master8[[#This Row],[Facture_Mensuelle]]*Master8[[#This Row],[Remise]]</f>
        <v>0</v>
      </c>
    </row>
    <row r="242" spans="1:24" x14ac:dyDescent="0.25">
      <c r="A242" s="1" t="s">
        <v>730</v>
      </c>
      <c r="B242" t="str">
        <f>IFERROR(VLOOKUP(Master8[[#This Row],[Cell_ID]],Registre_Maintenance[],2,FALSE),"")</f>
        <v>Lomami</v>
      </c>
      <c r="C242" s="1" t="s">
        <v>749</v>
      </c>
      <c r="D242" s="2">
        <v>45204.283333333333</v>
      </c>
      <c r="E242" s="3">
        <v>45204.283333333333</v>
      </c>
      <c r="F242">
        <v>11</v>
      </c>
      <c r="G242">
        <f>Master8[[#This Row],[Duree_Panne_Min]]/60</f>
        <v>0.18333333333333332</v>
      </c>
      <c r="H242" s="1" t="s">
        <v>737</v>
      </c>
      <c r="I242">
        <f>IFERROR(VLOOKUP(Master8[[#This Row],[Cell_ID]],Registre_Maintenance[],3,FALSE),"")</f>
        <v>-2.2371569999999998</v>
      </c>
      <c r="J242">
        <f>IFERROR(VLOOKUP(Master8[[#This Row],[Cell_ID]],Registre_Maintenance[],4,FALSE),"")</f>
        <v>25.926188</v>
      </c>
      <c r="K242" t="str">
        <f>IFERROR(VLOOKUP(Master8[[#This Row],[Cell_ID]],Registre_Maintenance[],5,FALSE),"")</f>
        <v>3G</v>
      </c>
      <c r="L242" t="str">
        <f>IFERROR(VLOOKUP(Master8[[#This Row],[Cell_ID]],Registre_Maintenance[],6,FALSE),"")</f>
        <v>Nokia</v>
      </c>
      <c r="M242" s="1" t="str">
        <f>VLOOKUP(Master8[[#This Row],[Province_RDC]],Client[],2,FALSE)</f>
        <v>CLI-00505</v>
      </c>
      <c r="N242" s="1">
        <f>VLOOKUP(Master8[[#This Row],[Province_RDC]],Client[],3,FALSE)</f>
        <v>59</v>
      </c>
      <c r="O242" s="1" t="str">
        <f>VLOOKUP(Master8[[#This Row],[Province_RDC]],Client[],4,FALSE)</f>
        <v>Bloqué 5Go</v>
      </c>
      <c r="P242" s="1">
        <f>VLOOKUP(Master8[[#This Row],[Province_RDC]],Client[],5,FALSE)</f>
        <v>196</v>
      </c>
      <c r="Q242" s="1">
        <f>VLOOKUP(Master8[[#This Row],[Province_RDC]],Client[],6,FALSE)</f>
        <v>62.53</v>
      </c>
      <c r="R242" s="1">
        <f>VLOOKUP(Master8[[#This Row],[Province_RDC]],Client[],7,FALSE)</f>
        <v>0</v>
      </c>
      <c r="S242" s="1" t="str">
        <f>IF(Master8[[#This Row],[Type_Forfait]]="Pro Monde","B2B","B2C")</f>
        <v>B2C</v>
      </c>
      <c r="T242" s="1">
        <f>Master8[[#This Row],[Anciennete_Mois]]/12</f>
        <v>4.916666666666667</v>
      </c>
      <c r="U242" s="1">
        <f>Master8[[#This Row],[Duree_Cumule_Panne_Min]]/60</f>
        <v>3.2666666666666666</v>
      </c>
      <c r="V24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2" s="6">
        <f>Master8[[#This Row],[Facture_Mensuelle]]*Master8[[#This Row],[Remise]]</f>
        <v>0</v>
      </c>
    </row>
    <row r="243" spans="1:24" x14ac:dyDescent="0.25">
      <c r="A243" s="1" t="s">
        <v>1330</v>
      </c>
      <c r="B243" t="str">
        <f>IFERROR(VLOOKUP(Master8[[#This Row],[Cell_ID]],Registre_Maintenance[],2,FALSE),"")</f>
        <v>Lomami</v>
      </c>
      <c r="C243" s="1" t="s">
        <v>1287</v>
      </c>
      <c r="D243" s="2">
        <v>45201.293055555558</v>
      </c>
      <c r="E243" s="3">
        <v>45201.293055555558</v>
      </c>
      <c r="F243">
        <v>95</v>
      </c>
      <c r="G243">
        <f>Master8[[#This Row],[Duree_Panne_Min]]/60</f>
        <v>1.5833333333333333</v>
      </c>
      <c r="H243" s="1" t="s">
        <v>737</v>
      </c>
      <c r="I243">
        <f>IFERROR(VLOOKUP(Master8[[#This Row],[Cell_ID]],Registre_Maintenance[],3,FALSE),"")</f>
        <v>-9.5619429999999994</v>
      </c>
      <c r="J243">
        <f>IFERROR(VLOOKUP(Master8[[#This Row],[Cell_ID]],Registre_Maintenance[],4,FALSE),"")</f>
        <v>21.445726000000001</v>
      </c>
      <c r="K243" t="str">
        <f>IFERROR(VLOOKUP(Master8[[#This Row],[Cell_ID]],Registre_Maintenance[],5,FALSE),"")</f>
        <v>4G</v>
      </c>
      <c r="L243" t="str">
        <f>IFERROR(VLOOKUP(Master8[[#This Row],[Cell_ID]],Registre_Maintenance[],6,FALSE),"")</f>
        <v>Nokia</v>
      </c>
      <c r="M243" s="1" t="str">
        <f>VLOOKUP(Master8[[#This Row],[Province_RDC]],Client[],2,FALSE)</f>
        <v>CLI-00505</v>
      </c>
      <c r="N243" s="1">
        <f>VLOOKUP(Master8[[#This Row],[Province_RDC]],Client[],3,FALSE)</f>
        <v>59</v>
      </c>
      <c r="O243" s="1" t="str">
        <f>VLOOKUP(Master8[[#This Row],[Province_RDC]],Client[],4,FALSE)</f>
        <v>Bloqué 5Go</v>
      </c>
      <c r="P243" s="1">
        <f>VLOOKUP(Master8[[#This Row],[Province_RDC]],Client[],5,FALSE)</f>
        <v>196</v>
      </c>
      <c r="Q243" s="1">
        <f>VLOOKUP(Master8[[#This Row],[Province_RDC]],Client[],6,FALSE)</f>
        <v>62.53</v>
      </c>
      <c r="R243" s="1">
        <f>VLOOKUP(Master8[[#This Row],[Province_RDC]],Client[],7,FALSE)</f>
        <v>0</v>
      </c>
      <c r="S243" s="1" t="str">
        <f>IF(Master8[[#This Row],[Type_Forfait]]="Pro Monde","B2B","B2C")</f>
        <v>B2C</v>
      </c>
      <c r="T243" s="1">
        <f>Master8[[#This Row],[Anciennete_Mois]]/12</f>
        <v>4.916666666666667</v>
      </c>
      <c r="U243" s="1">
        <f>Master8[[#This Row],[Duree_Cumule_Panne_Min]]/60</f>
        <v>3.2666666666666666</v>
      </c>
      <c r="V24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3" s="6">
        <f>Master8[[#This Row],[Facture_Mensuelle]]*Master8[[#This Row],[Remise]]</f>
        <v>0</v>
      </c>
    </row>
    <row r="244" spans="1:24" x14ac:dyDescent="0.25">
      <c r="A244" s="1" t="s">
        <v>1261</v>
      </c>
      <c r="B244" t="str">
        <f>IFERROR(VLOOKUP(Master8[[#This Row],[Cell_ID]],Registre_Maintenance[],2,FALSE),"")</f>
        <v>Lomami</v>
      </c>
      <c r="C244" s="1" t="s">
        <v>1287</v>
      </c>
      <c r="D244" s="2">
        <v>45200.466666666667</v>
      </c>
      <c r="E244" s="3">
        <v>45200.466666666667</v>
      </c>
      <c r="F244">
        <v>31</v>
      </c>
      <c r="G244">
        <f>Master8[[#This Row],[Duree_Panne_Min]]/60</f>
        <v>0.51666666666666672</v>
      </c>
      <c r="H244" s="1" t="s">
        <v>735</v>
      </c>
      <c r="I244">
        <f>IFERROR(VLOOKUP(Master8[[#This Row],[Cell_ID]],Registre_Maintenance[],3,FALSE),"")</f>
        <v>-9.5619429999999994</v>
      </c>
      <c r="J244">
        <f>IFERROR(VLOOKUP(Master8[[#This Row],[Cell_ID]],Registre_Maintenance[],4,FALSE),"")</f>
        <v>21.445726000000001</v>
      </c>
      <c r="K244" t="str">
        <f>IFERROR(VLOOKUP(Master8[[#This Row],[Cell_ID]],Registre_Maintenance[],5,FALSE),"")</f>
        <v>4G</v>
      </c>
      <c r="L244" t="str">
        <f>IFERROR(VLOOKUP(Master8[[#This Row],[Cell_ID]],Registre_Maintenance[],6,FALSE),"")</f>
        <v>Nokia</v>
      </c>
      <c r="M244" s="1" t="str">
        <f>VLOOKUP(Master8[[#This Row],[Province_RDC]],Client[],2,FALSE)</f>
        <v>CLI-00505</v>
      </c>
      <c r="N244" s="1">
        <f>VLOOKUP(Master8[[#This Row],[Province_RDC]],Client[],3,FALSE)</f>
        <v>59</v>
      </c>
      <c r="O244" s="1" t="str">
        <f>VLOOKUP(Master8[[#This Row],[Province_RDC]],Client[],4,FALSE)</f>
        <v>Bloqué 5Go</v>
      </c>
      <c r="P244" s="1">
        <f>VLOOKUP(Master8[[#This Row],[Province_RDC]],Client[],5,FALSE)</f>
        <v>196</v>
      </c>
      <c r="Q244" s="1">
        <f>VLOOKUP(Master8[[#This Row],[Province_RDC]],Client[],6,FALSE)</f>
        <v>62.53</v>
      </c>
      <c r="R244" s="1">
        <f>VLOOKUP(Master8[[#This Row],[Province_RDC]],Client[],7,FALSE)</f>
        <v>0</v>
      </c>
      <c r="S244" s="1" t="str">
        <f>IF(Master8[[#This Row],[Type_Forfait]]="Pro Monde","B2B","B2C")</f>
        <v>B2C</v>
      </c>
      <c r="T244" s="1">
        <f>Master8[[#This Row],[Anciennete_Mois]]/12</f>
        <v>4.916666666666667</v>
      </c>
      <c r="U244" s="1">
        <f>Master8[[#This Row],[Duree_Cumule_Panne_Min]]/60</f>
        <v>3.2666666666666666</v>
      </c>
      <c r="V24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4" s="6">
        <f>Master8[[#This Row],[Facture_Mensuelle]]*Master8[[#This Row],[Remise]]</f>
        <v>0</v>
      </c>
    </row>
    <row r="245" spans="1:24" x14ac:dyDescent="0.25">
      <c r="A245" s="1" t="s">
        <v>1114</v>
      </c>
      <c r="B245" t="str">
        <f>IFERROR(VLOOKUP(Master8[[#This Row],[Cell_ID]],Registre_Maintenance[],2,FALSE),"")</f>
        <v>Kwilu</v>
      </c>
      <c r="C245" s="1" t="s">
        <v>1135</v>
      </c>
      <c r="D245" s="2">
        <v>45230.40902777778</v>
      </c>
      <c r="E245" s="3">
        <v>45230.40902777778</v>
      </c>
      <c r="F245">
        <v>80</v>
      </c>
      <c r="G245">
        <f>Master8[[#This Row],[Duree_Panne_Min]]/60</f>
        <v>1.3333333333333333</v>
      </c>
      <c r="H245" s="1" t="s">
        <v>735</v>
      </c>
      <c r="I245">
        <f>IFERROR(VLOOKUP(Master8[[#This Row],[Cell_ID]],Registre_Maintenance[],3,FALSE),"")</f>
        <v>0.62055499999999997</v>
      </c>
      <c r="J245">
        <f>IFERROR(VLOOKUP(Master8[[#This Row],[Cell_ID]],Registre_Maintenance[],4,FALSE),"")</f>
        <v>21.222035000000002</v>
      </c>
      <c r="K245" t="str">
        <f>IFERROR(VLOOKUP(Master8[[#This Row],[Cell_ID]],Registre_Maintenance[],5,FALSE),"")</f>
        <v>5G</v>
      </c>
      <c r="L245" t="str">
        <f>IFERROR(VLOOKUP(Master8[[#This Row],[Cell_ID]],Registre_Maintenance[],6,FALSE),"")</f>
        <v>Nokia</v>
      </c>
      <c r="M245" s="1" t="str">
        <f>VLOOKUP(Master8[[#This Row],[Province_RDC]],Client[],2,FALSE)</f>
        <v>CLI-00996</v>
      </c>
      <c r="N245" s="1">
        <f>VLOOKUP(Master8[[#This Row],[Province_RDC]],Client[],3,FALSE)</f>
        <v>119</v>
      </c>
      <c r="O245" s="1" t="str">
        <f>VLOOKUP(Master8[[#This Row],[Province_RDC]],Client[],4,FALSE)</f>
        <v>Illimité 50Go</v>
      </c>
      <c r="P245" s="1">
        <f>VLOOKUP(Master8[[#This Row],[Province_RDC]],Client[],5,FALSE)</f>
        <v>228</v>
      </c>
      <c r="Q245" s="1">
        <f>VLOOKUP(Master8[[#This Row],[Province_RDC]],Client[],6,FALSE)</f>
        <v>94.72</v>
      </c>
      <c r="R245" s="1">
        <f>VLOOKUP(Master8[[#This Row],[Province_RDC]],Client[],7,FALSE)</f>
        <v>3</v>
      </c>
      <c r="S245" s="1" t="str">
        <f>IF(Master8[[#This Row],[Type_Forfait]]="Pro Monde","B2B","B2C")</f>
        <v>B2C</v>
      </c>
      <c r="T245" s="1">
        <f>Master8[[#This Row],[Anciennete_Mois]]/12</f>
        <v>9.9166666666666661</v>
      </c>
      <c r="U245" s="1">
        <f>Master8[[#This Row],[Duree_Cumule_Panne_Min]]/60</f>
        <v>3.8</v>
      </c>
      <c r="V24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5" s="6">
        <f>Master8[[#This Row],[Facture_Mensuelle]]*Master8[[#This Row],[Remise]]</f>
        <v>0</v>
      </c>
    </row>
    <row r="246" spans="1:24" x14ac:dyDescent="0.25">
      <c r="A246" s="1" t="s">
        <v>1261</v>
      </c>
      <c r="B246" t="str">
        <f>IFERROR(VLOOKUP(Master8[[#This Row],[Cell_ID]],Registre_Maintenance[],2,FALSE),"")</f>
        <v>Kwilu</v>
      </c>
      <c r="C246" s="1" t="s">
        <v>1135</v>
      </c>
      <c r="D246" s="2">
        <v>45228.15902777778</v>
      </c>
      <c r="E246" s="3">
        <v>45228.15902777778</v>
      </c>
      <c r="F246">
        <v>30</v>
      </c>
      <c r="G246">
        <f>Master8[[#This Row],[Duree_Panne_Min]]/60</f>
        <v>0.5</v>
      </c>
      <c r="H246" s="1" t="s">
        <v>732</v>
      </c>
      <c r="I246">
        <f>IFERROR(VLOOKUP(Master8[[#This Row],[Cell_ID]],Registre_Maintenance[],3,FALSE),"")</f>
        <v>0.62055499999999997</v>
      </c>
      <c r="J246">
        <f>IFERROR(VLOOKUP(Master8[[#This Row],[Cell_ID]],Registre_Maintenance[],4,FALSE),"")</f>
        <v>21.222035000000002</v>
      </c>
      <c r="K246" t="str">
        <f>IFERROR(VLOOKUP(Master8[[#This Row],[Cell_ID]],Registre_Maintenance[],5,FALSE),"")</f>
        <v>5G</v>
      </c>
      <c r="L246" t="str">
        <f>IFERROR(VLOOKUP(Master8[[#This Row],[Cell_ID]],Registre_Maintenance[],6,FALSE),"")</f>
        <v>Nokia</v>
      </c>
      <c r="M246" s="1" t="str">
        <f>VLOOKUP(Master8[[#This Row],[Province_RDC]],Client[],2,FALSE)</f>
        <v>CLI-00996</v>
      </c>
      <c r="N246" s="1">
        <f>VLOOKUP(Master8[[#This Row],[Province_RDC]],Client[],3,FALSE)</f>
        <v>119</v>
      </c>
      <c r="O246" s="1" t="str">
        <f>VLOOKUP(Master8[[#This Row],[Province_RDC]],Client[],4,FALSE)</f>
        <v>Illimité 50Go</v>
      </c>
      <c r="P246" s="1">
        <f>VLOOKUP(Master8[[#This Row],[Province_RDC]],Client[],5,FALSE)</f>
        <v>228</v>
      </c>
      <c r="Q246" s="1">
        <f>VLOOKUP(Master8[[#This Row],[Province_RDC]],Client[],6,FALSE)</f>
        <v>94.72</v>
      </c>
      <c r="R246" s="1">
        <f>VLOOKUP(Master8[[#This Row],[Province_RDC]],Client[],7,FALSE)</f>
        <v>3</v>
      </c>
      <c r="S246" s="1" t="str">
        <f>IF(Master8[[#This Row],[Type_Forfait]]="Pro Monde","B2B","B2C")</f>
        <v>B2C</v>
      </c>
      <c r="T246" s="1">
        <f>Master8[[#This Row],[Anciennete_Mois]]/12</f>
        <v>9.9166666666666661</v>
      </c>
      <c r="U246" s="1">
        <f>Master8[[#This Row],[Duree_Cumule_Panne_Min]]/60</f>
        <v>3.8</v>
      </c>
      <c r="V24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6" s="6">
        <f>Master8[[#This Row],[Facture_Mensuelle]]*Master8[[#This Row],[Remise]]</f>
        <v>0</v>
      </c>
    </row>
    <row r="247" spans="1:24" x14ac:dyDescent="0.25">
      <c r="A247" s="1" t="s">
        <v>1165</v>
      </c>
      <c r="B247" t="str">
        <f>IFERROR(VLOOKUP(Master8[[#This Row],[Cell_ID]],Registre_Maintenance[],2,FALSE),"")</f>
        <v>Kwilu</v>
      </c>
      <c r="C247" s="1" t="s">
        <v>1176</v>
      </c>
      <c r="D247" s="2">
        <v>45227.091666666667</v>
      </c>
      <c r="E247" s="3">
        <v>45227.091666666667</v>
      </c>
      <c r="F247">
        <v>112</v>
      </c>
      <c r="G247">
        <f>Master8[[#This Row],[Duree_Panne_Min]]/60</f>
        <v>1.8666666666666667</v>
      </c>
      <c r="H247" s="1" t="s">
        <v>732</v>
      </c>
      <c r="I247">
        <f>IFERROR(VLOOKUP(Master8[[#This Row],[Cell_ID]],Registre_Maintenance[],3,FALSE),"")</f>
        <v>-10.161428000000001</v>
      </c>
      <c r="J247">
        <f>IFERROR(VLOOKUP(Master8[[#This Row],[Cell_ID]],Registre_Maintenance[],4,FALSE),"")</f>
        <v>19.362325999999999</v>
      </c>
      <c r="K247" t="str">
        <f>IFERROR(VLOOKUP(Master8[[#This Row],[Cell_ID]],Registre_Maintenance[],5,FALSE),"")</f>
        <v>3G</v>
      </c>
      <c r="L247" t="str">
        <f>IFERROR(VLOOKUP(Master8[[#This Row],[Cell_ID]],Registre_Maintenance[],6,FALSE),"")</f>
        <v>Nokia</v>
      </c>
      <c r="M247" s="1" t="str">
        <f>VLOOKUP(Master8[[#This Row],[Province_RDC]],Client[],2,FALSE)</f>
        <v>CLI-00996</v>
      </c>
      <c r="N247" s="1">
        <f>VLOOKUP(Master8[[#This Row],[Province_RDC]],Client[],3,FALSE)</f>
        <v>119</v>
      </c>
      <c r="O247" s="1" t="str">
        <f>VLOOKUP(Master8[[#This Row],[Province_RDC]],Client[],4,FALSE)</f>
        <v>Illimité 50Go</v>
      </c>
      <c r="P247" s="1">
        <f>VLOOKUP(Master8[[#This Row],[Province_RDC]],Client[],5,FALSE)</f>
        <v>228</v>
      </c>
      <c r="Q247" s="1">
        <f>VLOOKUP(Master8[[#This Row],[Province_RDC]],Client[],6,FALSE)</f>
        <v>94.72</v>
      </c>
      <c r="R247" s="1">
        <f>VLOOKUP(Master8[[#This Row],[Province_RDC]],Client[],7,FALSE)</f>
        <v>3</v>
      </c>
      <c r="S247" s="1" t="str">
        <f>IF(Master8[[#This Row],[Type_Forfait]]="Pro Monde","B2B","B2C")</f>
        <v>B2C</v>
      </c>
      <c r="T247" s="1">
        <f>Master8[[#This Row],[Anciennete_Mois]]/12</f>
        <v>9.9166666666666661</v>
      </c>
      <c r="U247" s="1">
        <f>Master8[[#This Row],[Duree_Cumule_Panne_Min]]/60</f>
        <v>3.8</v>
      </c>
      <c r="V24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7" s="6">
        <f>Master8[[#This Row],[Facture_Mensuelle]]*Master8[[#This Row],[Remise]]</f>
        <v>0</v>
      </c>
    </row>
    <row r="248" spans="1:24" x14ac:dyDescent="0.25">
      <c r="A248" s="1" t="s">
        <v>1404</v>
      </c>
      <c r="B248" t="str">
        <f>IFERROR(VLOOKUP(Master8[[#This Row],[Cell_ID]],Registre_Maintenance[],2,FALSE),"")</f>
        <v>Kwilu</v>
      </c>
      <c r="C248" s="1" t="s">
        <v>847</v>
      </c>
      <c r="D248" s="2">
        <v>45221.167361111111</v>
      </c>
      <c r="E248" s="3">
        <v>45221.167361111111</v>
      </c>
      <c r="F248">
        <v>78</v>
      </c>
      <c r="G248">
        <f>Master8[[#This Row],[Duree_Panne_Min]]/60</f>
        <v>1.3</v>
      </c>
      <c r="H248" s="1" t="s">
        <v>735</v>
      </c>
      <c r="I248">
        <f>IFERROR(VLOOKUP(Master8[[#This Row],[Cell_ID]],Registre_Maintenance[],3,FALSE),"")</f>
        <v>2.4741019999999998</v>
      </c>
      <c r="J248">
        <f>IFERROR(VLOOKUP(Master8[[#This Row],[Cell_ID]],Registre_Maintenance[],4,FALSE),"")</f>
        <v>29.297391000000001</v>
      </c>
      <c r="K248" t="str">
        <f>IFERROR(VLOOKUP(Master8[[#This Row],[Cell_ID]],Registre_Maintenance[],5,FALSE),"")</f>
        <v>4G</v>
      </c>
      <c r="L248" t="str">
        <f>IFERROR(VLOOKUP(Master8[[#This Row],[Cell_ID]],Registre_Maintenance[],6,FALSE),"")</f>
        <v>Ericsson</v>
      </c>
      <c r="M248" s="1" t="str">
        <f>VLOOKUP(Master8[[#This Row],[Province_RDC]],Client[],2,FALSE)</f>
        <v>CLI-00996</v>
      </c>
      <c r="N248" s="1">
        <f>VLOOKUP(Master8[[#This Row],[Province_RDC]],Client[],3,FALSE)</f>
        <v>119</v>
      </c>
      <c r="O248" s="1" t="str">
        <f>VLOOKUP(Master8[[#This Row],[Province_RDC]],Client[],4,FALSE)</f>
        <v>Illimité 50Go</v>
      </c>
      <c r="P248" s="1">
        <f>VLOOKUP(Master8[[#This Row],[Province_RDC]],Client[],5,FALSE)</f>
        <v>228</v>
      </c>
      <c r="Q248" s="1">
        <f>VLOOKUP(Master8[[#This Row],[Province_RDC]],Client[],6,FALSE)</f>
        <v>94.72</v>
      </c>
      <c r="R248" s="1">
        <f>VLOOKUP(Master8[[#This Row],[Province_RDC]],Client[],7,FALSE)</f>
        <v>3</v>
      </c>
      <c r="S248" s="1" t="str">
        <f>IF(Master8[[#This Row],[Type_Forfait]]="Pro Monde","B2B","B2C")</f>
        <v>B2C</v>
      </c>
      <c r="T248" s="1">
        <f>Master8[[#This Row],[Anciennete_Mois]]/12</f>
        <v>9.9166666666666661</v>
      </c>
      <c r="U248" s="1">
        <f>Master8[[#This Row],[Duree_Cumule_Panne_Min]]/60</f>
        <v>3.8</v>
      </c>
      <c r="V24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8" s="6">
        <f>Master8[[#This Row],[Facture_Mensuelle]]*Master8[[#This Row],[Remise]]</f>
        <v>0</v>
      </c>
    </row>
    <row r="249" spans="1:24" x14ac:dyDescent="0.25">
      <c r="A249" s="1" t="s">
        <v>1059</v>
      </c>
      <c r="B249" t="str">
        <f>IFERROR(VLOOKUP(Master8[[#This Row],[Cell_ID]],Registre_Maintenance[],2,FALSE),"")</f>
        <v>Kwilu</v>
      </c>
      <c r="C249" s="1" t="s">
        <v>1061</v>
      </c>
      <c r="D249" s="2">
        <v>45220.811805555553</v>
      </c>
      <c r="E249" s="3">
        <v>45220.811805555553</v>
      </c>
      <c r="F249">
        <v>100</v>
      </c>
      <c r="G249">
        <f>Master8[[#This Row],[Duree_Panne_Min]]/60</f>
        <v>1.6666666666666667</v>
      </c>
      <c r="H249" s="1" t="s">
        <v>737</v>
      </c>
      <c r="I249">
        <f>IFERROR(VLOOKUP(Master8[[#This Row],[Cell_ID]],Registre_Maintenance[],3,FALSE),"")</f>
        <v>-0.98830399999999996</v>
      </c>
      <c r="J249">
        <f>IFERROR(VLOOKUP(Master8[[#This Row],[Cell_ID]],Registre_Maintenance[],4,FALSE),"")</f>
        <v>28.099966999999999</v>
      </c>
      <c r="K249" t="str">
        <f>IFERROR(VLOOKUP(Master8[[#This Row],[Cell_ID]],Registre_Maintenance[],5,FALSE),"")</f>
        <v>3G</v>
      </c>
      <c r="L249" t="str">
        <f>IFERROR(VLOOKUP(Master8[[#This Row],[Cell_ID]],Registre_Maintenance[],6,FALSE),"")</f>
        <v>Huawei</v>
      </c>
      <c r="M249" s="1" t="str">
        <f>VLOOKUP(Master8[[#This Row],[Province_RDC]],Client[],2,FALSE)</f>
        <v>CLI-00996</v>
      </c>
      <c r="N249" s="1">
        <f>VLOOKUP(Master8[[#This Row],[Province_RDC]],Client[],3,FALSE)</f>
        <v>119</v>
      </c>
      <c r="O249" s="1" t="str">
        <f>VLOOKUP(Master8[[#This Row],[Province_RDC]],Client[],4,FALSE)</f>
        <v>Illimité 50Go</v>
      </c>
      <c r="P249" s="1">
        <f>VLOOKUP(Master8[[#This Row],[Province_RDC]],Client[],5,FALSE)</f>
        <v>228</v>
      </c>
      <c r="Q249" s="1">
        <f>VLOOKUP(Master8[[#This Row],[Province_RDC]],Client[],6,FALSE)</f>
        <v>94.72</v>
      </c>
      <c r="R249" s="1">
        <f>VLOOKUP(Master8[[#This Row],[Province_RDC]],Client[],7,FALSE)</f>
        <v>3</v>
      </c>
      <c r="S249" s="1" t="str">
        <f>IF(Master8[[#This Row],[Type_Forfait]]="Pro Monde","B2B","B2C")</f>
        <v>B2C</v>
      </c>
      <c r="T249" s="1">
        <f>Master8[[#This Row],[Anciennete_Mois]]/12</f>
        <v>9.9166666666666661</v>
      </c>
      <c r="U249" s="1">
        <f>Master8[[#This Row],[Duree_Cumule_Panne_Min]]/60</f>
        <v>3.8</v>
      </c>
      <c r="V24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4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49" s="6">
        <f>Master8[[#This Row],[Facture_Mensuelle]]*Master8[[#This Row],[Remise]]</f>
        <v>0</v>
      </c>
    </row>
    <row r="250" spans="1:24" x14ac:dyDescent="0.25">
      <c r="A250" s="1" t="s">
        <v>1114</v>
      </c>
      <c r="B250" t="str">
        <f>IFERROR(VLOOKUP(Master8[[#This Row],[Cell_ID]],Registre_Maintenance[],2,FALSE),"")</f>
        <v>Kwilu</v>
      </c>
      <c r="C250" s="1" t="s">
        <v>769</v>
      </c>
      <c r="D250" s="2">
        <v>45218.631944444453</v>
      </c>
      <c r="E250" s="3">
        <v>45218.631944444453</v>
      </c>
      <c r="F250">
        <v>42</v>
      </c>
      <c r="G250">
        <f>Master8[[#This Row],[Duree_Panne_Min]]/60</f>
        <v>0.7</v>
      </c>
      <c r="H250" s="1" t="s">
        <v>735</v>
      </c>
      <c r="I250">
        <f>IFERROR(VLOOKUP(Master8[[#This Row],[Cell_ID]],Registre_Maintenance[],3,FALSE),"")</f>
        <v>-0.77432100000000004</v>
      </c>
      <c r="J250">
        <f>IFERROR(VLOOKUP(Master8[[#This Row],[Cell_ID]],Registre_Maintenance[],4,FALSE),"")</f>
        <v>18.628658999999999</v>
      </c>
      <c r="K250" t="str">
        <f>IFERROR(VLOOKUP(Master8[[#This Row],[Cell_ID]],Registre_Maintenance[],5,FALSE),"")</f>
        <v>4G</v>
      </c>
      <c r="L250" t="str">
        <f>IFERROR(VLOOKUP(Master8[[#This Row],[Cell_ID]],Registre_Maintenance[],6,FALSE),"")</f>
        <v>Huawei</v>
      </c>
      <c r="M250" s="1" t="str">
        <f>VLOOKUP(Master8[[#This Row],[Province_RDC]],Client[],2,FALSE)</f>
        <v>CLI-00996</v>
      </c>
      <c r="N250" s="1">
        <f>VLOOKUP(Master8[[#This Row],[Province_RDC]],Client[],3,FALSE)</f>
        <v>119</v>
      </c>
      <c r="O250" s="1" t="str">
        <f>VLOOKUP(Master8[[#This Row],[Province_RDC]],Client[],4,FALSE)</f>
        <v>Illimité 50Go</v>
      </c>
      <c r="P250" s="1">
        <f>VLOOKUP(Master8[[#This Row],[Province_RDC]],Client[],5,FALSE)</f>
        <v>228</v>
      </c>
      <c r="Q250" s="1">
        <f>VLOOKUP(Master8[[#This Row],[Province_RDC]],Client[],6,FALSE)</f>
        <v>94.72</v>
      </c>
      <c r="R250" s="1">
        <f>VLOOKUP(Master8[[#This Row],[Province_RDC]],Client[],7,FALSE)</f>
        <v>3</v>
      </c>
      <c r="S250" s="1" t="str">
        <f>IF(Master8[[#This Row],[Type_Forfait]]="Pro Monde","B2B","B2C")</f>
        <v>B2C</v>
      </c>
      <c r="T250" s="1">
        <f>Master8[[#This Row],[Anciennete_Mois]]/12</f>
        <v>9.9166666666666661</v>
      </c>
      <c r="U250" s="1">
        <f>Master8[[#This Row],[Duree_Cumule_Panne_Min]]/60</f>
        <v>3.8</v>
      </c>
      <c r="V25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0" s="6">
        <f>Master8[[#This Row],[Facture_Mensuelle]]*Master8[[#This Row],[Remise]]</f>
        <v>0</v>
      </c>
    </row>
    <row r="251" spans="1:24" x14ac:dyDescent="0.25">
      <c r="A251" s="1" t="s">
        <v>1330</v>
      </c>
      <c r="B251" t="str">
        <f>IFERROR(VLOOKUP(Master8[[#This Row],[Cell_ID]],Registre_Maintenance[],2,FALSE),"")</f>
        <v>Kwilu</v>
      </c>
      <c r="C251" s="1" t="s">
        <v>869</v>
      </c>
      <c r="D251" s="2">
        <v>45217.473611111112</v>
      </c>
      <c r="E251" s="3">
        <v>45217.473611111112</v>
      </c>
      <c r="F251">
        <v>37</v>
      </c>
      <c r="G251">
        <f>Master8[[#This Row],[Duree_Panne_Min]]/60</f>
        <v>0.6166666666666667</v>
      </c>
      <c r="H251" s="1" t="s">
        <v>737</v>
      </c>
      <c r="I251">
        <f>IFERROR(VLOOKUP(Master8[[#This Row],[Cell_ID]],Registre_Maintenance[],3,FALSE),"")</f>
        <v>-8.5675749999999997</v>
      </c>
      <c r="J251">
        <f>IFERROR(VLOOKUP(Master8[[#This Row],[Cell_ID]],Registre_Maintenance[],4,FALSE),"")</f>
        <v>26.994581</v>
      </c>
      <c r="K251" t="str">
        <f>IFERROR(VLOOKUP(Master8[[#This Row],[Cell_ID]],Registre_Maintenance[],5,FALSE),"")</f>
        <v>3G</v>
      </c>
      <c r="L251" t="str">
        <f>IFERROR(VLOOKUP(Master8[[#This Row],[Cell_ID]],Registre_Maintenance[],6,FALSE),"")</f>
        <v>Nokia</v>
      </c>
      <c r="M251" s="1" t="str">
        <f>VLOOKUP(Master8[[#This Row],[Province_RDC]],Client[],2,FALSE)</f>
        <v>CLI-00996</v>
      </c>
      <c r="N251" s="1">
        <f>VLOOKUP(Master8[[#This Row],[Province_RDC]],Client[],3,FALSE)</f>
        <v>119</v>
      </c>
      <c r="O251" s="1" t="str">
        <f>VLOOKUP(Master8[[#This Row],[Province_RDC]],Client[],4,FALSE)</f>
        <v>Illimité 50Go</v>
      </c>
      <c r="P251" s="1">
        <f>VLOOKUP(Master8[[#This Row],[Province_RDC]],Client[],5,FALSE)</f>
        <v>228</v>
      </c>
      <c r="Q251" s="1">
        <f>VLOOKUP(Master8[[#This Row],[Province_RDC]],Client[],6,FALSE)</f>
        <v>94.72</v>
      </c>
      <c r="R251" s="1">
        <f>VLOOKUP(Master8[[#This Row],[Province_RDC]],Client[],7,FALSE)</f>
        <v>3</v>
      </c>
      <c r="S251" s="1" t="str">
        <f>IF(Master8[[#This Row],[Type_Forfait]]="Pro Monde","B2B","B2C")</f>
        <v>B2C</v>
      </c>
      <c r="T251" s="1">
        <f>Master8[[#This Row],[Anciennete_Mois]]/12</f>
        <v>9.9166666666666661</v>
      </c>
      <c r="U251" s="1">
        <f>Master8[[#This Row],[Duree_Cumule_Panne_Min]]/60</f>
        <v>3.8</v>
      </c>
      <c r="V25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1" s="6">
        <f>Master8[[#This Row],[Facture_Mensuelle]]*Master8[[#This Row],[Remise]]</f>
        <v>0</v>
      </c>
    </row>
    <row r="252" spans="1:24" x14ac:dyDescent="0.25">
      <c r="A252" s="1" t="s">
        <v>823</v>
      </c>
      <c r="B252" t="str">
        <f>IFERROR(VLOOKUP(Master8[[#This Row],[Cell_ID]],Registre_Maintenance[],2,FALSE),"")</f>
        <v>Kwilu</v>
      </c>
      <c r="C252" s="1" t="s">
        <v>854</v>
      </c>
      <c r="D252" s="2">
        <v>45216.902777777781</v>
      </c>
      <c r="E252" s="3">
        <v>45216.902777777781</v>
      </c>
      <c r="F252">
        <v>20</v>
      </c>
      <c r="G252">
        <f>Master8[[#This Row],[Duree_Panne_Min]]/60</f>
        <v>0.33333333333333331</v>
      </c>
      <c r="H252" s="1" t="s">
        <v>737</v>
      </c>
      <c r="I252">
        <f>IFERROR(VLOOKUP(Master8[[#This Row],[Cell_ID]],Registre_Maintenance[],3,FALSE),"")</f>
        <v>-4.2408359999999998</v>
      </c>
      <c r="J252">
        <f>IFERROR(VLOOKUP(Master8[[#This Row],[Cell_ID]],Registre_Maintenance[],4,FALSE),"")</f>
        <v>26.210014000000001</v>
      </c>
      <c r="K252" t="str">
        <f>IFERROR(VLOOKUP(Master8[[#This Row],[Cell_ID]],Registre_Maintenance[],5,FALSE),"")</f>
        <v>4G</v>
      </c>
      <c r="L252" t="str">
        <f>IFERROR(VLOOKUP(Master8[[#This Row],[Cell_ID]],Registre_Maintenance[],6,FALSE),"")</f>
        <v>Huawei</v>
      </c>
      <c r="M252" s="1" t="str">
        <f>VLOOKUP(Master8[[#This Row],[Province_RDC]],Client[],2,FALSE)</f>
        <v>CLI-00996</v>
      </c>
      <c r="N252" s="1">
        <f>VLOOKUP(Master8[[#This Row],[Province_RDC]],Client[],3,FALSE)</f>
        <v>119</v>
      </c>
      <c r="O252" s="1" t="str">
        <f>VLOOKUP(Master8[[#This Row],[Province_RDC]],Client[],4,FALSE)</f>
        <v>Illimité 50Go</v>
      </c>
      <c r="P252" s="1">
        <f>VLOOKUP(Master8[[#This Row],[Province_RDC]],Client[],5,FALSE)</f>
        <v>228</v>
      </c>
      <c r="Q252" s="1">
        <f>VLOOKUP(Master8[[#This Row],[Province_RDC]],Client[],6,FALSE)</f>
        <v>94.72</v>
      </c>
      <c r="R252" s="1">
        <f>VLOOKUP(Master8[[#This Row],[Province_RDC]],Client[],7,FALSE)</f>
        <v>3</v>
      </c>
      <c r="S252" s="1" t="str">
        <f>IF(Master8[[#This Row],[Type_Forfait]]="Pro Monde","B2B","B2C")</f>
        <v>B2C</v>
      </c>
      <c r="T252" s="1">
        <f>Master8[[#This Row],[Anciennete_Mois]]/12</f>
        <v>9.9166666666666661</v>
      </c>
      <c r="U252" s="1">
        <f>Master8[[#This Row],[Duree_Cumule_Panne_Min]]/60</f>
        <v>3.8</v>
      </c>
      <c r="V25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2" s="6">
        <f>Master8[[#This Row],[Facture_Mensuelle]]*Master8[[#This Row],[Remise]]</f>
        <v>0</v>
      </c>
    </row>
    <row r="253" spans="1:24" x14ac:dyDescent="0.25">
      <c r="A253" s="1" t="s">
        <v>1165</v>
      </c>
      <c r="B253" t="str">
        <f>IFERROR(VLOOKUP(Master8[[#This Row],[Cell_ID]],Registre_Maintenance[],2,FALSE),"")</f>
        <v>Kwilu</v>
      </c>
      <c r="C253" s="1" t="s">
        <v>1182</v>
      </c>
      <c r="D253" s="2">
        <v>45214.736805555563</v>
      </c>
      <c r="E253" s="3">
        <v>45214.736805555563</v>
      </c>
      <c r="F253">
        <v>34</v>
      </c>
      <c r="G253">
        <f>Master8[[#This Row],[Duree_Panne_Min]]/60</f>
        <v>0.56666666666666665</v>
      </c>
      <c r="H253" s="1" t="s">
        <v>737</v>
      </c>
      <c r="I253">
        <f>IFERROR(VLOOKUP(Master8[[#This Row],[Cell_ID]],Registre_Maintenance[],3,FALSE),"")</f>
        <v>5.3608999999999997E-2</v>
      </c>
      <c r="J253">
        <f>IFERROR(VLOOKUP(Master8[[#This Row],[Cell_ID]],Registre_Maintenance[],4,FALSE),"")</f>
        <v>28.346852999999999</v>
      </c>
      <c r="K253" t="str">
        <f>IFERROR(VLOOKUP(Master8[[#This Row],[Cell_ID]],Registre_Maintenance[],5,FALSE),"")</f>
        <v>3G</v>
      </c>
      <c r="L253" t="str">
        <f>IFERROR(VLOOKUP(Master8[[#This Row],[Cell_ID]],Registre_Maintenance[],6,FALSE),"")</f>
        <v>ZTE</v>
      </c>
      <c r="M253" s="1" t="str">
        <f>VLOOKUP(Master8[[#This Row],[Province_RDC]],Client[],2,FALSE)</f>
        <v>CLI-00996</v>
      </c>
      <c r="N253" s="1">
        <f>VLOOKUP(Master8[[#This Row],[Province_RDC]],Client[],3,FALSE)</f>
        <v>119</v>
      </c>
      <c r="O253" s="1" t="str">
        <f>VLOOKUP(Master8[[#This Row],[Province_RDC]],Client[],4,FALSE)</f>
        <v>Illimité 50Go</v>
      </c>
      <c r="P253" s="1">
        <f>VLOOKUP(Master8[[#This Row],[Province_RDC]],Client[],5,FALSE)</f>
        <v>228</v>
      </c>
      <c r="Q253" s="1">
        <f>VLOOKUP(Master8[[#This Row],[Province_RDC]],Client[],6,FALSE)</f>
        <v>94.72</v>
      </c>
      <c r="R253" s="1">
        <f>VLOOKUP(Master8[[#This Row],[Province_RDC]],Client[],7,FALSE)</f>
        <v>3</v>
      </c>
      <c r="S253" s="1" t="str">
        <f>IF(Master8[[#This Row],[Type_Forfait]]="Pro Monde","B2B","B2C")</f>
        <v>B2C</v>
      </c>
      <c r="T253" s="1">
        <f>Master8[[#This Row],[Anciennete_Mois]]/12</f>
        <v>9.9166666666666661</v>
      </c>
      <c r="U253" s="1">
        <f>Master8[[#This Row],[Duree_Cumule_Panne_Min]]/60</f>
        <v>3.8</v>
      </c>
      <c r="V25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3" s="6">
        <f>Master8[[#This Row],[Facture_Mensuelle]]*Master8[[#This Row],[Remise]]</f>
        <v>0</v>
      </c>
    </row>
    <row r="254" spans="1:24" x14ac:dyDescent="0.25">
      <c r="A254" s="1" t="s">
        <v>1261</v>
      </c>
      <c r="B254" t="str">
        <f>IFERROR(VLOOKUP(Master8[[#This Row],[Cell_ID]],Registre_Maintenance[],2,FALSE),"")</f>
        <v>Kwilu</v>
      </c>
      <c r="C254" s="1" t="s">
        <v>1164</v>
      </c>
      <c r="D254" s="2">
        <v>45213.145138888889</v>
      </c>
      <c r="E254" s="3">
        <v>45213.145138888889</v>
      </c>
      <c r="F254">
        <v>105</v>
      </c>
      <c r="G254">
        <f>Master8[[#This Row],[Duree_Panne_Min]]/60</f>
        <v>1.75</v>
      </c>
      <c r="H254" s="1" t="s">
        <v>735</v>
      </c>
      <c r="I254">
        <f>IFERROR(VLOOKUP(Master8[[#This Row],[Cell_ID]],Registre_Maintenance[],3,FALSE),"")</f>
        <v>-10.939712999999999</v>
      </c>
      <c r="J254">
        <f>IFERROR(VLOOKUP(Master8[[#This Row],[Cell_ID]],Registre_Maintenance[],4,FALSE),"")</f>
        <v>18.276230999999999</v>
      </c>
      <c r="K254" t="str">
        <f>IFERROR(VLOOKUP(Master8[[#This Row],[Cell_ID]],Registre_Maintenance[],5,FALSE),"")</f>
        <v>4G</v>
      </c>
      <c r="L254" t="str">
        <f>IFERROR(VLOOKUP(Master8[[#This Row],[Cell_ID]],Registre_Maintenance[],6,FALSE),"")</f>
        <v>ZTE</v>
      </c>
      <c r="M254" s="1" t="str">
        <f>VLOOKUP(Master8[[#This Row],[Province_RDC]],Client[],2,FALSE)</f>
        <v>CLI-00996</v>
      </c>
      <c r="N254" s="1">
        <f>VLOOKUP(Master8[[#This Row],[Province_RDC]],Client[],3,FALSE)</f>
        <v>119</v>
      </c>
      <c r="O254" s="1" t="str">
        <f>VLOOKUP(Master8[[#This Row],[Province_RDC]],Client[],4,FALSE)</f>
        <v>Illimité 50Go</v>
      </c>
      <c r="P254" s="1">
        <f>VLOOKUP(Master8[[#This Row],[Province_RDC]],Client[],5,FALSE)</f>
        <v>228</v>
      </c>
      <c r="Q254" s="1">
        <f>VLOOKUP(Master8[[#This Row],[Province_RDC]],Client[],6,FALSE)</f>
        <v>94.72</v>
      </c>
      <c r="R254" s="1">
        <f>VLOOKUP(Master8[[#This Row],[Province_RDC]],Client[],7,FALSE)</f>
        <v>3</v>
      </c>
      <c r="S254" s="1" t="str">
        <f>IF(Master8[[#This Row],[Type_Forfait]]="Pro Monde","B2B","B2C")</f>
        <v>B2C</v>
      </c>
      <c r="T254" s="1">
        <f>Master8[[#This Row],[Anciennete_Mois]]/12</f>
        <v>9.9166666666666661</v>
      </c>
      <c r="U254" s="1">
        <f>Master8[[#This Row],[Duree_Cumule_Panne_Min]]/60</f>
        <v>3.8</v>
      </c>
      <c r="V25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4" s="6">
        <f>Master8[[#This Row],[Facture_Mensuelle]]*Master8[[#This Row],[Remise]]</f>
        <v>0</v>
      </c>
    </row>
    <row r="255" spans="1:24" x14ac:dyDescent="0.25">
      <c r="A255" s="1" t="s">
        <v>1404</v>
      </c>
      <c r="B255" t="str">
        <f>IFERROR(VLOOKUP(Master8[[#This Row],[Cell_ID]],Registre_Maintenance[],2,FALSE),"")</f>
        <v>Kwilu</v>
      </c>
      <c r="C255" s="1" t="s">
        <v>1413</v>
      </c>
      <c r="D255" s="2">
        <v>45212.875694444447</v>
      </c>
      <c r="E255" s="3">
        <v>45212.875694444447</v>
      </c>
      <c r="F255">
        <v>23</v>
      </c>
      <c r="G255">
        <f>Master8[[#This Row],[Duree_Panne_Min]]/60</f>
        <v>0.38333333333333336</v>
      </c>
      <c r="H255" s="1" t="s">
        <v>732</v>
      </c>
      <c r="I255">
        <f>IFERROR(VLOOKUP(Master8[[#This Row],[Cell_ID]],Registre_Maintenance[],3,FALSE),"")</f>
        <v>1.2691650000000001</v>
      </c>
      <c r="J255">
        <f>IFERROR(VLOOKUP(Master8[[#This Row],[Cell_ID]],Registre_Maintenance[],4,FALSE),"")</f>
        <v>18.789956</v>
      </c>
      <c r="K255" t="str">
        <f>IFERROR(VLOOKUP(Master8[[#This Row],[Cell_ID]],Registre_Maintenance[],5,FALSE),"")</f>
        <v>3G</v>
      </c>
      <c r="L255" t="str">
        <f>IFERROR(VLOOKUP(Master8[[#This Row],[Cell_ID]],Registre_Maintenance[],6,FALSE),"")</f>
        <v>Nokia</v>
      </c>
      <c r="M255" s="1" t="str">
        <f>VLOOKUP(Master8[[#This Row],[Province_RDC]],Client[],2,FALSE)</f>
        <v>CLI-00996</v>
      </c>
      <c r="N255" s="1">
        <f>VLOOKUP(Master8[[#This Row],[Province_RDC]],Client[],3,FALSE)</f>
        <v>119</v>
      </c>
      <c r="O255" s="1" t="str">
        <f>VLOOKUP(Master8[[#This Row],[Province_RDC]],Client[],4,FALSE)</f>
        <v>Illimité 50Go</v>
      </c>
      <c r="P255" s="1">
        <f>VLOOKUP(Master8[[#This Row],[Province_RDC]],Client[],5,FALSE)</f>
        <v>228</v>
      </c>
      <c r="Q255" s="1">
        <f>VLOOKUP(Master8[[#This Row],[Province_RDC]],Client[],6,FALSE)</f>
        <v>94.72</v>
      </c>
      <c r="R255" s="1">
        <f>VLOOKUP(Master8[[#This Row],[Province_RDC]],Client[],7,FALSE)</f>
        <v>3</v>
      </c>
      <c r="S255" s="1" t="str">
        <f>IF(Master8[[#This Row],[Type_Forfait]]="Pro Monde","B2B","B2C")</f>
        <v>B2C</v>
      </c>
      <c r="T255" s="1">
        <f>Master8[[#This Row],[Anciennete_Mois]]/12</f>
        <v>9.9166666666666661</v>
      </c>
      <c r="U255" s="1">
        <f>Master8[[#This Row],[Duree_Cumule_Panne_Min]]/60</f>
        <v>3.8</v>
      </c>
      <c r="V25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5" s="6">
        <f>Master8[[#This Row],[Facture_Mensuelle]]*Master8[[#This Row],[Remise]]</f>
        <v>0</v>
      </c>
    </row>
    <row r="256" spans="1:24" x14ac:dyDescent="0.25">
      <c r="A256" s="1" t="s">
        <v>1219</v>
      </c>
      <c r="B256" t="str">
        <f>IFERROR(VLOOKUP(Master8[[#This Row],[Cell_ID]],Registre_Maintenance[],2,FALSE),"")</f>
        <v>Kwilu</v>
      </c>
      <c r="C256" s="1" t="s">
        <v>847</v>
      </c>
      <c r="D256" s="2">
        <v>45212.754861111112</v>
      </c>
      <c r="E256" s="3">
        <v>45212.754861111112</v>
      </c>
      <c r="F256">
        <v>112</v>
      </c>
      <c r="G256">
        <f>Master8[[#This Row],[Duree_Panne_Min]]/60</f>
        <v>1.8666666666666667</v>
      </c>
      <c r="H256" s="1" t="s">
        <v>737</v>
      </c>
      <c r="I256">
        <f>IFERROR(VLOOKUP(Master8[[#This Row],[Cell_ID]],Registre_Maintenance[],3,FALSE),"")</f>
        <v>2.4741019999999998</v>
      </c>
      <c r="J256">
        <f>IFERROR(VLOOKUP(Master8[[#This Row],[Cell_ID]],Registre_Maintenance[],4,FALSE),"")</f>
        <v>29.297391000000001</v>
      </c>
      <c r="K256" t="str">
        <f>IFERROR(VLOOKUP(Master8[[#This Row],[Cell_ID]],Registre_Maintenance[],5,FALSE),"")</f>
        <v>4G</v>
      </c>
      <c r="L256" t="str">
        <f>IFERROR(VLOOKUP(Master8[[#This Row],[Cell_ID]],Registre_Maintenance[],6,FALSE),"")</f>
        <v>Ericsson</v>
      </c>
      <c r="M256" s="1" t="str">
        <f>VLOOKUP(Master8[[#This Row],[Province_RDC]],Client[],2,FALSE)</f>
        <v>CLI-00996</v>
      </c>
      <c r="N256" s="1">
        <f>VLOOKUP(Master8[[#This Row],[Province_RDC]],Client[],3,FALSE)</f>
        <v>119</v>
      </c>
      <c r="O256" s="1" t="str">
        <f>VLOOKUP(Master8[[#This Row],[Province_RDC]],Client[],4,FALSE)</f>
        <v>Illimité 50Go</v>
      </c>
      <c r="P256" s="1">
        <f>VLOOKUP(Master8[[#This Row],[Province_RDC]],Client[],5,FALSE)</f>
        <v>228</v>
      </c>
      <c r="Q256" s="1">
        <f>VLOOKUP(Master8[[#This Row],[Province_RDC]],Client[],6,FALSE)</f>
        <v>94.72</v>
      </c>
      <c r="R256" s="1">
        <f>VLOOKUP(Master8[[#This Row],[Province_RDC]],Client[],7,FALSE)</f>
        <v>3</v>
      </c>
      <c r="S256" s="1" t="str">
        <f>IF(Master8[[#This Row],[Type_Forfait]]="Pro Monde","B2B","B2C")</f>
        <v>B2C</v>
      </c>
      <c r="T256" s="1">
        <f>Master8[[#This Row],[Anciennete_Mois]]/12</f>
        <v>9.9166666666666661</v>
      </c>
      <c r="U256" s="1">
        <f>Master8[[#This Row],[Duree_Cumule_Panne_Min]]/60</f>
        <v>3.8</v>
      </c>
      <c r="V25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6" s="6">
        <f>Master8[[#This Row],[Facture_Mensuelle]]*Master8[[#This Row],[Remise]]</f>
        <v>0</v>
      </c>
    </row>
    <row r="257" spans="1:24" x14ac:dyDescent="0.25">
      <c r="A257" s="1" t="s">
        <v>1330</v>
      </c>
      <c r="B257" t="str">
        <f>IFERROR(VLOOKUP(Master8[[#This Row],[Cell_ID]],Registre_Maintenance[],2,FALSE),"")</f>
        <v>Kwilu</v>
      </c>
      <c r="C257" s="1" t="s">
        <v>1226</v>
      </c>
      <c r="D257" s="2">
        <v>45212.447222222218</v>
      </c>
      <c r="E257" s="3">
        <v>45212.447222222218</v>
      </c>
      <c r="F257">
        <v>88</v>
      </c>
      <c r="G257">
        <f>Master8[[#This Row],[Duree_Panne_Min]]/60</f>
        <v>1.4666666666666666</v>
      </c>
      <c r="H257" s="1" t="s">
        <v>735</v>
      </c>
      <c r="I257">
        <f>IFERROR(VLOOKUP(Master8[[#This Row],[Cell_ID]],Registre_Maintenance[],3,FALSE),"")</f>
        <v>-7.402336</v>
      </c>
      <c r="J257">
        <f>IFERROR(VLOOKUP(Master8[[#This Row],[Cell_ID]],Registre_Maintenance[],4,FALSE),"")</f>
        <v>27.376697</v>
      </c>
      <c r="K257" t="str">
        <f>IFERROR(VLOOKUP(Master8[[#This Row],[Cell_ID]],Registre_Maintenance[],5,FALSE),"")</f>
        <v>4G</v>
      </c>
      <c r="L257" t="str">
        <f>IFERROR(VLOOKUP(Master8[[#This Row],[Cell_ID]],Registre_Maintenance[],6,FALSE),"")</f>
        <v>Huawei</v>
      </c>
      <c r="M257" s="1" t="str">
        <f>VLOOKUP(Master8[[#This Row],[Province_RDC]],Client[],2,FALSE)</f>
        <v>CLI-00996</v>
      </c>
      <c r="N257" s="1">
        <f>VLOOKUP(Master8[[#This Row],[Province_RDC]],Client[],3,FALSE)</f>
        <v>119</v>
      </c>
      <c r="O257" s="1" t="str">
        <f>VLOOKUP(Master8[[#This Row],[Province_RDC]],Client[],4,FALSE)</f>
        <v>Illimité 50Go</v>
      </c>
      <c r="P257" s="1">
        <f>VLOOKUP(Master8[[#This Row],[Province_RDC]],Client[],5,FALSE)</f>
        <v>228</v>
      </c>
      <c r="Q257" s="1">
        <f>VLOOKUP(Master8[[#This Row],[Province_RDC]],Client[],6,FALSE)</f>
        <v>94.72</v>
      </c>
      <c r="R257" s="1">
        <f>VLOOKUP(Master8[[#This Row],[Province_RDC]],Client[],7,FALSE)</f>
        <v>3</v>
      </c>
      <c r="S257" s="1" t="str">
        <f>IF(Master8[[#This Row],[Type_Forfait]]="Pro Monde","B2B","B2C")</f>
        <v>B2C</v>
      </c>
      <c r="T257" s="1">
        <f>Master8[[#This Row],[Anciennete_Mois]]/12</f>
        <v>9.9166666666666661</v>
      </c>
      <c r="U257" s="1">
        <f>Master8[[#This Row],[Duree_Cumule_Panne_Min]]/60</f>
        <v>3.8</v>
      </c>
      <c r="V25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7" s="6">
        <f>Master8[[#This Row],[Facture_Mensuelle]]*Master8[[#This Row],[Remise]]</f>
        <v>0</v>
      </c>
    </row>
    <row r="258" spans="1:24" x14ac:dyDescent="0.25">
      <c r="A258" s="1" t="s">
        <v>823</v>
      </c>
      <c r="B258" t="str">
        <f>IFERROR(VLOOKUP(Master8[[#This Row],[Cell_ID]],Registre_Maintenance[],2,FALSE),"")</f>
        <v>Kwilu</v>
      </c>
      <c r="C258" s="1" t="s">
        <v>847</v>
      </c>
      <c r="D258" s="2">
        <v>45209.524305555547</v>
      </c>
      <c r="E258" s="3">
        <v>45209.524305555547</v>
      </c>
      <c r="F258">
        <v>27</v>
      </c>
      <c r="G258">
        <f>Master8[[#This Row],[Duree_Panne_Min]]/60</f>
        <v>0.45</v>
      </c>
      <c r="H258" s="1" t="s">
        <v>737</v>
      </c>
      <c r="I258">
        <f>IFERROR(VLOOKUP(Master8[[#This Row],[Cell_ID]],Registre_Maintenance[],3,FALSE),"")</f>
        <v>2.4741019999999998</v>
      </c>
      <c r="J258">
        <f>IFERROR(VLOOKUP(Master8[[#This Row],[Cell_ID]],Registre_Maintenance[],4,FALSE),"")</f>
        <v>29.297391000000001</v>
      </c>
      <c r="K258" t="str">
        <f>IFERROR(VLOOKUP(Master8[[#This Row],[Cell_ID]],Registre_Maintenance[],5,FALSE),"")</f>
        <v>4G</v>
      </c>
      <c r="L258" t="str">
        <f>IFERROR(VLOOKUP(Master8[[#This Row],[Cell_ID]],Registre_Maintenance[],6,FALSE),"")</f>
        <v>Ericsson</v>
      </c>
      <c r="M258" s="1" t="str">
        <f>VLOOKUP(Master8[[#This Row],[Province_RDC]],Client[],2,FALSE)</f>
        <v>CLI-00996</v>
      </c>
      <c r="N258" s="1">
        <f>VLOOKUP(Master8[[#This Row],[Province_RDC]],Client[],3,FALSE)</f>
        <v>119</v>
      </c>
      <c r="O258" s="1" t="str">
        <f>VLOOKUP(Master8[[#This Row],[Province_RDC]],Client[],4,FALSE)</f>
        <v>Illimité 50Go</v>
      </c>
      <c r="P258" s="1">
        <f>VLOOKUP(Master8[[#This Row],[Province_RDC]],Client[],5,FALSE)</f>
        <v>228</v>
      </c>
      <c r="Q258" s="1">
        <f>VLOOKUP(Master8[[#This Row],[Province_RDC]],Client[],6,FALSE)</f>
        <v>94.72</v>
      </c>
      <c r="R258" s="1">
        <f>VLOOKUP(Master8[[#This Row],[Province_RDC]],Client[],7,FALSE)</f>
        <v>3</v>
      </c>
      <c r="S258" s="1" t="str">
        <f>IF(Master8[[#This Row],[Type_Forfait]]="Pro Monde","B2B","B2C")</f>
        <v>B2C</v>
      </c>
      <c r="T258" s="1">
        <f>Master8[[#This Row],[Anciennete_Mois]]/12</f>
        <v>9.9166666666666661</v>
      </c>
      <c r="U258" s="1">
        <f>Master8[[#This Row],[Duree_Cumule_Panne_Min]]/60</f>
        <v>3.8</v>
      </c>
      <c r="V25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8" s="6">
        <f>Master8[[#This Row],[Facture_Mensuelle]]*Master8[[#This Row],[Remise]]</f>
        <v>0</v>
      </c>
    </row>
    <row r="259" spans="1:24" x14ac:dyDescent="0.25">
      <c r="A259" s="1" t="s">
        <v>730</v>
      </c>
      <c r="B259" t="str">
        <f>IFERROR(VLOOKUP(Master8[[#This Row],[Cell_ID]],Registre_Maintenance[],2,FALSE),"")</f>
        <v>Kwilu</v>
      </c>
      <c r="C259" s="1" t="s">
        <v>769</v>
      </c>
      <c r="D259" s="2">
        <v>45208.863888888889</v>
      </c>
      <c r="E259" s="3">
        <v>45208.863888888889</v>
      </c>
      <c r="F259">
        <v>92</v>
      </c>
      <c r="G259">
        <f>Master8[[#This Row],[Duree_Panne_Min]]/60</f>
        <v>1.5333333333333334</v>
      </c>
      <c r="H259" s="1" t="s">
        <v>732</v>
      </c>
      <c r="I259">
        <f>IFERROR(VLOOKUP(Master8[[#This Row],[Cell_ID]],Registre_Maintenance[],3,FALSE),"")</f>
        <v>-0.77432100000000004</v>
      </c>
      <c r="J259">
        <f>IFERROR(VLOOKUP(Master8[[#This Row],[Cell_ID]],Registre_Maintenance[],4,FALSE),"")</f>
        <v>18.628658999999999</v>
      </c>
      <c r="K259" t="str">
        <f>IFERROR(VLOOKUP(Master8[[#This Row],[Cell_ID]],Registre_Maintenance[],5,FALSE),"")</f>
        <v>4G</v>
      </c>
      <c r="L259" t="str">
        <f>IFERROR(VLOOKUP(Master8[[#This Row],[Cell_ID]],Registre_Maintenance[],6,FALSE),"")</f>
        <v>Huawei</v>
      </c>
      <c r="M259" s="1" t="str">
        <f>VLOOKUP(Master8[[#This Row],[Province_RDC]],Client[],2,FALSE)</f>
        <v>CLI-00996</v>
      </c>
      <c r="N259" s="1">
        <f>VLOOKUP(Master8[[#This Row],[Province_RDC]],Client[],3,FALSE)</f>
        <v>119</v>
      </c>
      <c r="O259" s="1" t="str">
        <f>VLOOKUP(Master8[[#This Row],[Province_RDC]],Client[],4,FALSE)</f>
        <v>Illimité 50Go</v>
      </c>
      <c r="P259" s="1">
        <f>VLOOKUP(Master8[[#This Row],[Province_RDC]],Client[],5,FALSE)</f>
        <v>228</v>
      </c>
      <c r="Q259" s="1">
        <f>VLOOKUP(Master8[[#This Row],[Province_RDC]],Client[],6,FALSE)</f>
        <v>94.72</v>
      </c>
      <c r="R259" s="1">
        <f>VLOOKUP(Master8[[#This Row],[Province_RDC]],Client[],7,FALSE)</f>
        <v>3</v>
      </c>
      <c r="S259" s="1" t="str">
        <f>IF(Master8[[#This Row],[Type_Forfait]]="Pro Monde","B2B","B2C")</f>
        <v>B2C</v>
      </c>
      <c r="T259" s="1">
        <f>Master8[[#This Row],[Anciennete_Mois]]/12</f>
        <v>9.9166666666666661</v>
      </c>
      <c r="U259" s="1">
        <f>Master8[[#This Row],[Duree_Cumule_Panne_Min]]/60</f>
        <v>3.8</v>
      </c>
      <c r="V25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5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59" s="6">
        <f>Master8[[#This Row],[Facture_Mensuelle]]*Master8[[#This Row],[Remise]]</f>
        <v>0</v>
      </c>
    </row>
    <row r="260" spans="1:24" x14ac:dyDescent="0.25">
      <c r="A260" s="1" t="s">
        <v>1308</v>
      </c>
      <c r="B260" t="str">
        <f>IFERROR(VLOOKUP(Master8[[#This Row],[Cell_ID]],Registre_Maintenance[],2,FALSE),"")</f>
        <v>Kwilu</v>
      </c>
      <c r="C260" s="1" t="s">
        <v>869</v>
      </c>
      <c r="D260" s="2">
        <v>45207.127083333333</v>
      </c>
      <c r="E260" s="3">
        <v>45207.127083333333</v>
      </c>
      <c r="F260">
        <v>38</v>
      </c>
      <c r="G260">
        <f>Master8[[#This Row],[Duree_Panne_Min]]/60</f>
        <v>0.6333333333333333</v>
      </c>
      <c r="H260" s="1" t="s">
        <v>732</v>
      </c>
      <c r="I260">
        <f>IFERROR(VLOOKUP(Master8[[#This Row],[Cell_ID]],Registre_Maintenance[],3,FALSE),"")</f>
        <v>-8.5675749999999997</v>
      </c>
      <c r="J260">
        <f>IFERROR(VLOOKUP(Master8[[#This Row],[Cell_ID]],Registre_Maintenance[],4,FALSE),"")</f>
        <v>26.994581</v>
      </c>
      <c r="K260" t="str">
        <f>IFERROR(VLOOKUP(Master8[[#This Row],[Cell_ID]],Registre_Maintenance[],5,FALSE),"")</f>
        <v>3G</v>
      </c>
      <c r="L260" t="str">
        <f>IFERROR(VLOOKUP(Master8[[#This Row],[Cell_ID]],Registre_Maintenance[],6,FALSE),"")</f>
        <v>Nokia</v>
      </c>
      <c r="M260" s="1" t="str">
        <f>VLOOKUP(Master8[[#This Row],[Province_RDC]],Client[],2,FALSE)</f>
        <v>CLI-00996</v>
      </c>
      <c r="N260" s="1">
        <f>VLOOKUP(Master8[[#This Row],[Province_RDC]],Client[],3,FALSE)</f>
        <v>119</v>
      </c>
      <c r="O260" s="1" t="str">
        <f>VLOOKUP(Master8[[#This Row],[Province_RDC]],Client[],4,FALSE)</f>
        <v>Illimité 50Go</v>
      </c>
      <c r="P260" s="1">
        <f>VLOOKUP(Master8[[#This Row],[Province_RDC]],Client[],5,FALSE)</f>
        <v>228</v>
      </c>
      <c r="Q260" s="1">
        <f>VLOOKUP(Master8[[#This Row],[Province_RDC]],Client[],6,FALSE)</f>
        <v>94.72</v>
      </c>
      <c r="R260" s="1">
        <f>VLOOKUP(Master8[[#This Row],[Province_RDC]],Client[],7,FALSE)</f>
        <v>3</v>
      </c>
      <c r="S260" s="1" t="str">
        <f>IF(Master8[[#This Row],[Type_Forfait]]="Pro Monde","B2B","B2C")</f>
        <v>B2C</v>
      </c>
      <c r="T260" s="1">
        <f>Master8[[#This Row],[Anciennete_Mois]]/12</f>
        <v>9.9166666666666661</v>
      </c>
      <c r="U260" s="1">
        <f>Master8[[#This Row],[Duree_Cumule_Panne_Min]]/60</f>
        <v>3.8</v>
      </c>
      <c r="V26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6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0" s="6">
        <f>Master8[[#This Row],[Facture_Mensuelle]]*Master8[[#This Row],[Remise]]</f>
        <v>0</v>
      </c>
    </row>
    <row r="261" spans="1:24" x14ac:dyDescent="0.25">
      <c r="A261" s="1" t="s">
        <v>861</v>
      </c>
      <c r="B261" t="str">
        <f>IFERROR(VLOOKUP(Master8[[#This Row],[Cell_ID]],Registre_Maintenance[],2,FALSE),"")</f>
        <v>Kwilu</v>
      </c>
      <c r="C261" s="1" t="s">
        <v>869</v>
      </c>
      <c r="D261" s="2">
        <v>45204.59097222222</v>
      </c>
      <c r="E261" s="3">
        <v>45204.59097222222</v>
      </c>
      <c r="F261">
        <v>108</v>
      </c>
      <c r="G261">
        <f>Master8[[#This Row],[Duree_Panne_Min]]/60</f>
        <v>1.8</v>
      </c>
      <c r="H261" s="1" t="s">
        <v>735</v>
      </c>
      <c r="I261">
        <f>IFERROR(VLOOKUP(Master8[[#This Row],[Cell_ID]],Registre_Maintenance[],3,FALSE),"")</f>
        <v>-8.5675749999999997</v>
      </c>
      <c r="J261">
        <f>IFERROR(VLOOKUP(Master8[[#This Row],[Cell_ID]],Registre_Maintenance[],4,FALSE),"")</f>
        <v>26.994581</v>
      </c>
      <c r="K261" t="str">
        <f>IFERROR(VLOOKUP(Master8[[#This Row],[Cell_ID]],Registre_Maintenance[],5,FALSE),"")</f>
        <v>3G</v>
      </c>
      <c r="L261" t="str">
        <f>IFERROR(VLOOKUP(Master8[[#This Row],[Cell_ID]],Registre_Maintenance[],6,FALSE),"")</f>
        <v>Nokia</v>
      </c>
      <c r="M261" s="1" t="str">
        <f>VLOOKUP(Master8[[#This Row],[Province_RDC]],Client[],2,FALSE)</f>
        <v>CLI-00996</v>
      </c>
      <c r="N261" s="1">
        <f>VLOOKUP(Master8[[#This Row],[Province_RDC]],Client[],3,FALSE)</f>
        <v>119</v>
      </c>
      <c r="O261" s="1" t="str">
        <f>VLOOKUP(Master8[[#This Row],[Province_RDC]],Client[],4,FALSE)</f>
        <v>Illimité 50Go</v>
      </c>
      <c r="P261" s="1">
        <f>VLOOKUP(Master8[[#This Row],[Province_RDC]],Client[],5,FALSE)</f>
        <v>228</v>
      </c>
      <c r="Q261" s="1">
        <f>VLOOKUP(Master8[[#This Row],[Province_RDC]],Client[],6,FALSE)</f>
        <v>94.72</v>
      </c>
      <c r="R261" s="1">
        <f>VLOOKUP(Master8[[#This Row],[Province_RDC]],Client[],7,FALSE)</f>
        <v>3</v>
      </c>
      <c r="S261" s="1" t="str">
        <f>IF(Master8[[#This Row],[Type_Forfait]]="Pro Monde","B2B","B2C")</f>
        <v>B2C</v>
      </c>
      <c r="T261" s="1">
        <f>Master8[[#This Row],[Anciennete_Mois]]/12</f>
        <v>9.9166666666666661</v>
      </c>
      <c r="U261" s="1">
        <f>Master8[[#This Row],[Duree_Cumule_Panne_Min]]/60</f>
        <v>3.8</v>
      </c>
      <c r="V26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6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1" s="6">
        <f>Master8[[#This Row],[Facture_Mensuelle]]*Master8[[#This Row],[Remise]]</f>
        <v>0</v>
      </c>
    </row>
    <row r="262" spans="1:24" x14ac:dyDescent="0.25">
      <c r="A262" s="1" t="s">
        <v>1345</v>
      </c>
      <c r="B262" t="str">
        <f>IFERROR(VLOOKUP(Master8[[#This Row],[Cell_ID]],Registre_Maintenance[],2,FALSE),"")</f>
        <v>Kwilu</v>
      </c>
      <c r="C262" s="1" t="s">
        <v>1226</v>
      </c>
      <c r="D262" s="2">
        <v>45203.522222222222</v>
      </c>
      <c r="E262" s="3">
        <v>45203.522222222222</v>
      </c>
      <c r="F262">
        <v>11</v>
      </c>
      <c r="G262">
        <f>Master8[[#This Row],[Duree_Panne_Min]]/60</f>
        <v>0.18333333333333332</v>
      </c>
      <c r="H262" s="1" t="s">
        <v>735</v>
      </c>
      <c r="I262">
        <f>IFERROR(VLOOKUP(Master8[[#This Row],[Cell_ID]],Registre_Maintenance[],3,FALSE),"")</f>
        <v>-7.402336</v>
      </c>
      <c r="J262">
        <f>IFERROR(VLOOKUP(Master8[[#This Row],[Cell_ID]],Registre_Maintenance[],4,FALSE),"")</f>
        <v>27.376697</v>
      </c>
      <c r="K262" t="str">
        <f>IFERROR(VLOOKUP(Master8[[#This Row],[Cell_ID]],Registre_Maintenance[],5,FALSE),"")</f>
        <v>4G</v>
      </c>
      <c r="L262" t="str">
        <f>IFERROR(VLOOKUP(Master8[[#This Row],[Cell_ID]],Registre_Maintenance[],6,FALSE),"")</f>
        <v>Huawei</v>
      </c>
      <c r="M262" s="1" t="str">
        <f>VLOOKUP(Master8[[#This Row],[Province_RDC]],Client[],2,FALSE)</f>
        <v>CLI-00996</v>
      </c>
      <c r="N262" s="1">
        <f>VLOOKUP(Master8[[#This Row],[Province_RDC]],Client[],3,FALSE)</f>
        <v>119</v>
      </c>
      <c r="O262" s="1" t="str">
        <f>VLOOKUP(Master8[[#This Row],[Province_RDC]],Client[],4,FALSE)</f>
        <v>Illimité 50Go</v>
      </c>
      <c r="P262" s="1">
        <f>VLOOKUP(Master8[[#This Row],[Province_RDC]],Client[],5,FALSE)</f>
        <v>228</v>
      </c>
      <c r="Q262" s="1">
        <f>VLOOKUP(Master8[[#This Row],[Province_RDC]],Client[],6,FALSE)</f>
        <v>94.72</v>
      </c>
      <c r="R262" s="1">
        <f>VLOOKUP(Master8[[#This Row],[Province_RDC]],Client[],7,FALSE)</f>
        <v>3</v>
      </c>
      <c r="S262" s="1" t="str">
        <f>IF(Master8[[#This Row],[Type_Forfait]]="Pro Monde","B2B","B2C")</f>
        <v>B2C</v>
      </c>
      <c r="T262" s="1">
        <f>Master8[[#This Row],[Anciennete_Mois]]/12</f>
        <v>9.9166666666666661</v>
      </c>
      <c r="U262" s="1">
        <f>Master8[[#This Row],[Duree_Cumule_Panne_Min]]/60</f>
        <v>3.8</v>
      </c>
      <c r="V26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6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2" s="6">
        <f>Master8[[#This Row],[Facture_Mensuelle]]*Master8[[#This Row],[Remise]]</f>
        <v>0</v>
      </c>
    </row>
    <row r="263" spans="1:24" x14ac:dyDescent="0.25">
      <c r="A263" s="1" t="s">
        <v>1219</v>
      </c>
      <c r="B263" t="str">
        <f>IFERROR(VLOOKUP(Master8[[#This Row],[Cell_ID]],Registre_Maintenance[],2,FALSE),"")</f>
        <v>Kwilu</v>
      </c>
      <c r="C263" s="1" t="s">
        <v>1226</v>
      </c>
      <c r="D263" s="2">
        <v>45202.376388888893</v>
      </c>
      <c r="E263" s="3">
        <v>45202.376388888893</v>
      </c>
      <c r="F263">
        <v>28</v>
      </c>
      <c r="G263">
        <f>Master8[[#This Row],[Duree_Panne_Min]]/60</f>
        <v>0.46666666666666667</v>
      </c>
      <c r="H263" s="1" t="s">
        <v>732</v>
      </c>
      <c r="I263">
        <f>IFERROR(VLOOKUP(Master8[[#This Row],[Cell_ID]],Registre_Maintenance[],3,FALSE),"")</f>
        <v>-7.402336</v>
      </c>
      <c r="J263">
        <f>IFERROR(VLOOKUP(Master8[[#This Row],[Cell_ID]],Registre_Maintenance[],4,FALSE),"")</f>
        <v>27.376697</v>
      </c>
      <c r="K263" t="str">
        <f>IFERROR(VLOOKUP(Master8[[#This Row],[Cell_ID]],Registre_Maintenance[],5,FALSE),"")</f>
        <v>4G</v>
      </c>
      <c r="L263" t="str">
        <f>IFERROR(VLOOKUP(Master8[[#This Row],[Cell_ID]],Registre_Maintenance[],6,FALSE),"")</f>
        <v>Huawei</v>
      </c>
      <c r="M263" s="1" t="str">
        <f>VLOOKUP(Master8[[#This Row],[Province_RDC]],Client[],2,FALSE)</f>
        <v>CLI-00996</v>
      </c>
      <c r="N263" s="1">
        <f>VLOOKUP(Master8[[#This Row],[Province_RDC]],Client[],3,FALSE)</f>
        <v>119</v>
      </c>
      <c r="O263" s="1" t="str">
        <f>VLOOKUP(Master8[[#This Row],[Province_RDC]],Client[],4,FALSE)</f>
        <v>Illimité 50Go</v>
      </c>
      <c r="P263" s="1">
        <f>VLOOKUP(Master8[[#This Row],[Province_RDC]],Client[],5,FALSE)</f>
        <v>228</v>
      </c>
      <c r="Q263" s="1">
        <f>VLOOKUP(Master8[[#This Row],[Province_RDC]],Client[],6,FALSE)</f>
        <v>94.72</v>
      </c>
      <c r="R263" s="1">
        <f>VLOOKUP(Master8[[#This Row],[Province_RDC]],Client[],7,FALSE)</f>
        <v>3</v>
      </c>
      <c r="S263" s="1" t="str">
        <f>IF(Master8[[#This Row],[Type_Forfait]]="Pro Monde","B2B","B2C")</f>
        <v>B2C</v>
      </c>
      <c r="T263" s="1">
        <f>Master8[[#This Row],[Anciennete_Mois]]/12</f>
        <v>9.9166666666666661</v>
      </c>
      <c r="U263" s="1">
        <f>Master8[[#This Row],[Duree_Cumule_Panne_Min]]/60</f>
        <v>3.8</v>
      </c>
      <c r="V26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6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3" s="6">
        <f>Master8[[#This Row],[Facture_Mensuelle]]*Master8[[#This Row],[Remise]]</f>
        <v>0</v>
      </c>
    </row>
    <row r="264" spans="1:24" x14ac:dyDescent="0.25">
      <c r="A264" s="1" t="s">
        <v>1138</v>
      </c>
      <c r="B264" t="str">
        <f>IFERROR(VLOOKUP(Master8[[#This Row],[Cell_ID]],Registre_Maintenance[],2,FALSE),"")</f>
        <v>Kwilu</v>
      </c>
      <c r="C264" s="1" t="s">
        <v>1164</v>
      </c>
      <c r="D264" s="2">
        <v>45200.511111111111</v>
      </c>
      <c r="E264" s="3">
        <v>45200.511111111111</v>
      </c>
      <c r="F264">
        <v>22</v>
      </c>
      <c r="G264">
        <f>Master8[[#This Row],[Duree_Panne_Min]]/60</f>
        <v>0.36666666666666664</v>
      </c>
      <c r="H264" s="1" t="s">
        <v>737</v>
      </c>
      <c r="I264">
        <f>IFERROR(VLOOKUP(Master8[[#This Row],[Cell_ID]],Registre_Maintenance[],3,FALSE),"")</f>
        <v>-10.939712999999999</v>
      </c>
      <c r="J264">
        <f>IFERROR(VLOOKUP(Master8[[#This Row],[Cell_ID]],Registre_Maintenance[],4,FALSE),"")</f>
        <v>18.276230999999999</v>
      </c>
      <c r="K264" t="str">
        <f>IFERROR(VLOOKUP(Master8[[#This Row],[Cell_ID]],Registre_Maintenance[],5,FALSE),"")</f>
        <v>4G</v>
      </c>
      <c r="L264" t="str">
        <f>IFERROR(VLOOKUP(Master8[[#This Row],[Cell_ID]],Registre_Maintenance[],6,FALSE),"")</f>
        <v>ZTE</v>
      </c>
      <c r="M264" s="1" t="str">
        <f>VLOOKUP(Master8[[#This Row],[Province_RDC]],Client[],2,FALSE)</f>
        <v>CLI-00996</v>
      </c>
      <c r="N264" s="1">
        <f>VLOOKUP(Master8[[#This Row],[Province_RDC]],Client[],3,FALSE)</f>
        <v>119</v>
      </c>
      <c r="O264" s="1" t="str">
        <f>VLOOKUP(Master8[[#This Row],[Province_RDC]],Client[],4,FALSE)</f>
        <v>Illimité 50Go</v>
      </c>
      <c r="P264" s="1">
        <f>VLOOKUP(Master8[[#This Row],[Province_RDC]],Client[],5,FALSE)</f>
        <v>228</v>
      </c>
      <c r="Q264" s="1">
        <f>VLOOKUP(Master8[[#This Row],[Province_RDC]],Client[],6,FALSE)</f>
        <v>94.72</v>
      </c>
      <c r="R264" s="1">
        <f>VLOOKUP(Master8[[#This Row],[Province_RDC]],Client[],7,FALSE)</f>
        <v>3</v>
      </c>
      <c r="S264" s="1" t="str">
        <f>IF(Master8[[#This Row],[Type_Forfait]]="Pro Monde","B2B","B2C")</f>
        <v>B2C</v>
      </c>
      <c r="T264" s="1">
        <f>Master8[[#This Row],[Anciennete_Mois]]/12</f>
        <v>9.9166666666666661</v>
      </c>
      <c r="U264" s="1">
        <f>Master8[[#This Row],[Duree_Cumule_Panne_Min]]/60</f>
        <v>3.8</v>
      </c>
      <c r="V26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</v>
      </c>
      <c r="W26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264" s="6">
        <f>Master8[[#This Row],[Facture_Mensuelle]]*Master8[[#This Row],[Remise]]</f>
        <v>0</v>
      </c>
    </row>
    <row r="265" spans="1:24" x14ac:dyDescent="0.25">
      <c r="A265" s="1" t="s">
        <v>1261</v>
      </c>
      <c r="B265" t="str">
        <f>IFERROR(VLOOKUP(Master8[[#This Row],[Cell_ID]],Registre_Maintenance[],2,FALSE),"")</f>
        <v>Kwango</v>
      </c>
      <c r="C265" s="1" t="s">
        <v>796</v>
      </c>
      <c r="D265" s="2">
        <v>45228.621527777781</v>
      </c>
      <c r="E265" s="3">
        <v>45228.621527777781</v>
      </c>
      <c r="F265">
        <v>98</v>
      </c>
      <c r="G265">
        <f>Master8[[#This Row],[Duree_Panne_Min]]/60</f>
        <v>1.6333333333333333</v>
      </c>
      <c r="H265" s="1" t="s">
        <v>737</v>
      </c>
      <c r="I265">
        <f>IFERROR(VLOOKUP(Master8[[#This Row],[Cell_ID]],Registre_Maintenance[],3,FALSE),"")</f>
        <v>-10.963041</v>
      </c>
      <c r="J265">
        <f>IFERROR(VLOOKUP(Master8[[#This Row],[Cell_ID]],Registre_Maintenance[],4,FALSE),"")</f>
        <v>12.269857</v>
      </c>
      <c r="K265" t="str">
        <f>IFERROR(VLOOKUP(Master8[[#This Row],[Cell_ID]],Registre_Maintenance[],5,FALSE),"")</f>
        <v>4G</v>
      </c>
      <c r="L265" t="str">
        <f>IFERROR(VLOOKUP(Master8[[#This Row],[Cell_ID]],Registre_Maintenance[],6,FALSE),"")</f>
        <v>Huawei</v>
      </c>
      <c r="M265" s="1" t="str">
        <f>VLOOKUP(Master8[[#This Row],[Province_RDC]],Client[],2,FALSE)</f>
        <v>CLI-00569</v>
      </c>
      <c r="N265" s="1">
        <f>VLOOKUP(Master8[[#This Row],[Province_RDC]],Client[],3,FALSE)</f>
        <v>110</v>
      </c>
      <c r="O265" s="1" t="str">
        <f>VLOOKUP(Master8[[#This Row],[Province_RDC]],Client[],4,FALSE)</f>
        <v>Pro Monde</v>
      </c>
      <c r="P265" s="1">
        <f>VLOOKUP(Master8[[#This Row],[Province_RDC]],Client[],5,FALSE)</f>
        <v>423</v>
      </c>
      <c r="Q265" s="1">
        <f>VLOOKUP(Master8[[#This Row],[Province_RDC]],Client[],6,FALSE)</f>
        <v>37.35</v>
      </c>
      <c r="R265" s="1">
        <f>VLOOKUP(Master8[[#This Row],[Province_RDC]],Client[],7,FALSE)</f>
        <v>4</v>
      </c>
      <c r="S265" s="1" t="str">
        <f>IF(Master8[[#This Row],[Type_Forfait]]="Pro Monde","B2B","B2C")</f>
        <v>B2B</v>
      </c>
      <c r="T265" s="1">
        <f>Master8[[#This Row],[Anciennete_Mois]]/12</f>
        <v>9.1666666666666661</v>
      </c>
      <c r="U265" s="1">
        <f>Master8[[#This Row],[Duree_Cumule_Panne_Min]]/60</f>
        <v>7.05</v>
      </c>
      <c r="V26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65" s="6">
        <f>Master8[[#This Row],[Facture_Mensuelle]]*Master8[[#This Row],[Remise]]</f>
        <v>16.807500000000001</v>
      </c>
    </row>
    <row r="266" spans="1:24" x14ac:dyDescent="0.25">
      <c r="A266" s="1" t="s">
        <v>1193</v>
      </c>
      <c r="B266" t="str">
        <f>IFERROR(VLOOKUP(Master8[[#This Row],[Cell_ID]],Registre_Maintenance[],2,FALSE),"")</f>
        <v>Kwango</v>
      </c>
      <c r="C266" s="1" t="s">
        <v>1195</v>
      </c>
      <c r="D266" s="2">
        <v>45225.948611111111</v>
      </c>
      <c r="E266" s="3">
        <v>45225.948611111111</v>
      </c>
      <c r="F266">
        <v>30</v>
      </c>
      <c r="G266">
        <f>Master8[[#This Row],[Duree_Panne_Min]]/60</f>
        <v>0.5</v>
      </c>
      <c r="H266" s="1" t="s">
        <v>732</v>
      </c>
      <c r="I266">
        <f>IFERROR(VLOOKUP(Master8[[#This Row],[Cell_ID]],Registre_Maintenance[],3,FALSE),"")</f>
        <v>-10.653247</v>
      </c>
      <c r="J266">
        <f>IFERROR(VLOOKUP(Master8[[#This Row],[Cell_ID]],Registre_Maintenance[],4,FALSE),"")</f>
        <v>14.685601</v>
      </c>
      <c r="K266" t="str">
        <f>IFERROR(VLOOKUP(Master8[[#This Row],[Cell_ID]],Registre_Maintenance[],5,FALSE),"")</f>
        <v>4G</v>
      </c>
      <c r="L266" t="str">
        <f>IFERROR(VLOOKUP(Master8[[#This Row],[Cell_ID]],Registre_Maintenance[],6,FALSE),"")</f>
        <v>Ericsson</v>
      </c>
      <c r="M266" s="1" t="str">
        <f>VLOOKUP(Master8[[#This Row],[Province_RDC]],Client[],2,FALSE)</f>
        <v>CLI-00569</v>
      </c>
      <c r="N266" s="1">
        <f>VLOOKUP(Master8[[#This Row],[Province_RDC]],Client[],3,FALSE)</f>
        <v>110</v>
      </c>
      <c r="O266" s="1" t="str">
        <f>VLOOKUP(Master8[[#This Row],[Province_RDC]],Client[],4,FALSE)</f>
        <v>Pro Monde</v>
      </c>
      <c r="P266" s="1">
        <f>VLOOKUP(Master8[[#This Row],[Province_RDC]],Client[],5,FALSE)</f>
        <v>423</v>
      </c>
      <c r="Q266" s="1">
        <f>VLOOKUP(Master8[[#This Row],[Province_RDC]],Client[],6,FALSE)</f>
        <v>37.35</v>
      </c>
      <c r="R266" s="1">
        <f>VLOOKUP(Master8[[#This Row],[Province_RDC]],Client[],7,FALSE)</f>
        <v>4</v>
      </c>
      <c r="S266" s="1" t="str">
        <f>IF(Master8[[#This Row],[Type_Forfait]]="Pro Monde","B2B","B2C")</f>
        <v>B2B</v>
      </c>
      <c r="T266" s="1">
        <f>Master8[[#This Row],[Anciennete_Mois]]/12</f>
        <v>9.1666666666666661</v>
      </c>
      <c r="U266" s="1">
        <f>Master8[[#This Row],[Duree_Cumule_Panne_Min]]/60</f>
        <v>7.05</v>
      </c>
      <c r="V26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66" s="6">
        <f>Master8[[#This Row],[Facture_Mensuelle]]*Master8[[#This Row],[Remise]]</f>
        <v>16.807500000000001</v>
      </c>
    </row>
    <row r="267" spans="1:24" x14ac:dyDescent="0.25">
      <c r="A267" s="1" t="s">
        <v>1138</v>
      </c>
      <c r="B267" t="str">
        <f>IFERROR(VLOOKUP(Master8[[#This Row],[Cell_ID]],Registre_Maintenance[],2,FALSE),"")</f>
        <v>Kwango</v>
      </c>
      <c r="C267" s="1" t="s">
        <v>1163</v>
      </c>
      <c r="D267" s="2">
        <v>45225.406944444447</v>
      </c>
      <c r="E267" s="3">
        <v>45225.406944444447</v>
      </c>
      <c r="F267">
        <v>74</v>
      </c>
      <c r="G267">
        <f>Master8[[#This Row],[Duree_Panne_Min]]/60</f>
        <v>1.2333333333333334</v>
      </c>
      <c r="H267" s="1" t="s">
        <v>732</v>
      </c>
      <c r="I267">
        <f>IFERROR(VLOOKUP(Master8[[#This Row],[Cell_ID]],Registre_Maintenance[],3,FALSE),"")</f>
        <v>-4.6957509999999996</v>
      </c>
      <c r="J267">
        <f>IFERROR(VLOOKUP(Master8[[#This Row],[Cell_ID]],Registre_Maintenance[],4,FALSE),"")</f>
        <v>14.233525999999999</v>
      </c>
      <c r="K267" t="str">
        <f>IFERROR(VLOOKUP(Master8[[#This Row],[Cell_ID]],Registre_Maintenance[],5,FALSE),"")</f>
        <v>4G</v>
      </c>
      <c r="L267" t="str">
        <f>IFERROR(VLOOKUP(Master8[[#This Row],[Cell_ID]],Registre_Maintenance[],6,FALSE),"")</f>
        <v>Nokia</v>
      </c>
      <c r="M267" s="1" t="str">
        <f>VLOOKUP(Master8[[#This Row],[Province_RDC]],Client[],2,FALSE)</f>
        <v>CLI-00569</v>
      </c>
      <c r="N267" s="1">
        <f>VLOOKUP(Master8[[#This Row],[Province_RDC]],Client[],3,FALSE)</f>
        <v>110</v>
      </c>
      <c r="O267" s="1" t="str">
        <f>VLOOKUP(Master8[[#This Row],[Province_RDC]],Client[],4,FALSE)</f>
        <v>Pro Monde</v>
      </c>
      <c r="P267" s="1">
        <f>VLOOKUP(Master8[[#This Row],[Province_RDC]],Client[],5,FALSE)</f>
        <v>423</v>
      </c>
      <c r="Q267" s="1">
        <f>VLOOKUP(Master8[[#This Row],[Province_RDC]],Client[],6,FALSE)</f>
        <v>37.35</v>
      </c>
      <c r="R267" s="1">
        <f>VLOOKUP(Master8[[#This Row],[Province_RDC]],Client[],7,FALSE)</f>
        <v>4</v>
      </c>
      <c r="S267" s="1" t="str">
        <f>IF(Master8[[#This Row],[Type_Forfait]]="Pro Monde","B2B","B2C")</f>
        <v>B2B</v>
      </c>
      <c r="T267" s="1">
        <f>Master8[[#This Row],[Anciennete_Mois]]/12</f>
        <v>9.1666666666666661</v>
      </c>
      <c r="U267" s="1">
        <f>Master8[[#This Row],[Duree_Cumule_Panne_Min]]/60</f>
        <v>7.05</v>
      </c>
      <c r="V26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67" s="6">
        <f>Master8[[#This Row],[Facture_Mensuelle]]*Master8[[#This Row],[Remise]]</f>
        <v>16.807500000000001</v>
      </c>
    </row>
    <row r="268" spans="1:24" x14ac:dyDescent="0.25">
      <c r="A268" s="1" t="s">
        <v>861</v>
      </c>
      <c r="B268" t="str">
        <f>IFERROR(VLOOKUP(Master8[[#This Row],[Cell_ID]],Registre_Maintenance[],2,FALSE),"")</f>
        <v>Kwango</v>
      </c>
      <c r="C268" s="1" t="s">
        <v>809</v>
      </c>
      <c r="D268" s="2">
        <v>45224.010416666657</v>
      </c>
      <c r="E268" s="3">
        <v>45224.010416666657</v>
      </c>
      <c r="F268">
        <v>114</v>
      </c>
      <c r="G268">
        <f>Master8[[#This Row],[Duree_Panne_Min]]/60</f>
        <v>1.9</v>
      </c>
      <c r="H268" s="1" t="s">
        <v>737</v>
      </c>
      <c r="I268">
        <f>IFERROR(VLOOKUP(Master8[[#This Row],[Cell_ID]],Registre_Maintenance[],3,FALSE),"")</f>
        <v>-9.7712979999999998</v>
      </c>
      <c r="J268">
        <f>IFERROR(VLOOKUP(Master8[[#This Row],[Cell_ID]],Registre_Maintenance[],4,FALSE),"")</f>
        <v>19.827895999999999</v>
      </c>
      <c r="K268" t="str">
        <f>IFERROR(VLOOKUP(Master8[[#This Row],[Cell_ID]],Registre_Maintenance[],5,FALSE),"")</f>
        <v>3G</v>
      </c>
      <c r="L268" t="str">
        <f>IFERROR(VLOOKUP(Master8[[#This Row],[Cell_ID]],Registre_Maintenance[],6,FALSE),"")</f>
        <v>ZTE</v>
      </c>
      <c r="M268" s="1" t="str">
        <f>VLOOKUP(Master8[[#This Row],[Province_RDC]],Client[],2,FALSE)</f>
        <v>CLI-00569</v>
      </c>
      <c r="N268" s="1">
        <f>VLOOKUP(Master8[[#This Row],[Province_RDC]],Client[],3,FALSE)</f>
        <v>110</v>
      </c>
      <c r="O268" s="1" t="str">
        <f>VLOOKUP(Master8[[#This Row],[Province_RDC]],Client[],4,FALSE)</f>
        <v>Pro Monde</v>
      </c>
      <c r="P268" s="1">
        <f>VLOOKUP(Master8[[#This Row],[Province_RDC]],Client[],5,FALSE)</f>
        <v>423</v>
      </c>
      <c r="Q268" s="1">
        <f>VLOOKUP(Master8[[#This Row],[Province_RDC]],Client[],6,FALSE)</f>
        <v>37.35</v>
      </c>
      <c r="R268" s="1">
        <f>VLOOKUP(Master8[[#This Row],[Province_RDC]],Client[],7,FALSE)</f>
        <v>4</v>
      </c>
      <c r="S268" s="1" t="str">
        <f>IF(Master8[[#This Row],[Type_Forfait]]="Pro Monde","B2B","B2C")</f>
        <v>B2B</v>
      </c>
      <c r="T268" s="1">
        <f>Master8[[#This Row],[Anciennete_Mois]]/12</f>
        <v>9.1666666666666661</v>
      </c>
      <c r="U268" s="1">
        <f>Master8[[#This Row],[Duree_Cumule_Panne_Min]]/60</f>
        <v>7.05</v>
      </c>
      <c r="V26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68" s="6">
        <f>Master8[[#This Row],[Facture_Mensuelle]]*Master8[[#This Row],[Remise]]</f>
        <v>16.807500000000001</v>
      </c>
    </row>
    <row r="269" spans="1:24" x14ac:dyDescent="0.25">
      <c r="A269" s="1" t="s">
        <v>1219</v>
      </c>
      <c r="B269" t="str">
        <f>IFERROR(VLOOKUP(Master8[[#This Row],[Cell_ID]],Registre_Maintenance[],2,FALSE),"")</f>
        <v>Kwango</v>
      </c>
      <c r="C269" s="1" t="s">
        <v>1232</v>
      </c>
      <c r="D269" s="2">
        <v>45221.559027777781</v>
      </c>
      <c r="E269" s="3">
        <v>45221.559027777781</v>
      </c>
      <c r="F269">
        <v>22</v>
      </c>
      <c r="G269">
        <f>Master8[[#This Row],[Duree_Panne_Min]]/60</f>
        <v>0.36666666666666664</v>
      </c>
      <c r="H269" s="1" t="s">
        <v>732</v>
      </c>
      <c r="I269">
        <f>IFERROR(VLOOKUP(Master8[[#This Row],[Cell_ID]],Registre_Maintenance[],3,FALSE),"")</f>
        <v>0.65288900000000005</v>
      </c>
      <c r="J269">
        <f>IFERROR(VLOOKUP(Master8[[#This Row],[Cell_ID]],Registre_Maintenance[],4,FALSE),"")</f>
        <v>24.243953999999999</v>
      </c>
      <c r="K269" t="str">
        <f>IFERROR(VLOOKUP(Master8[[#This Row],[Cell_ID]],Registre_Maintenance[],5,FALSE),"")</f>
        <v>5G</v>
      </c>
      <c r="L269" t="str">
        <f>IFERROR(VLOOKUP(Master8[[#This Row],[Cell_ID]],Registre_Maintenance[],6,FALSE),"")</f>
        <v>Ericsson</v>
      </c>
      <c r="M269" s="1" t="str">
        <f>VLOOKUP(Master8[[#This Row],[Province_RDC]],Client[],2,FALSE)</f>
        <v>CLI-00569</v>
      </c>
      <c r="N269" s="1">
        <f>VLOOKUP(Master8[[#This Row],[Province_RDC]],Client[],3,FALSE)</f>
        <v>110</v>
      </c>
      <c r="O269" s="1" t="str">
        <f>VLOOKUP(Master8[[#This Row],[Province_RDC]],Client[],4,FALSE)</f>
        <v>Pro Monde</v>
      </c>
      <c r="P269" s="1">
        <f>VLOOKUP(Master8[[#This Row],[Province_RDC]],Client[],5,FALSE)</f>
        <v>423</v>
      </c>
      <c r="Q269" s="1">
        <f>VLOOKUP(Master8[[#This Row],[Province_RDC]],Client[],6,FALSE)</f>
        <v>37.35</v>
      </c>
      <c r="R269" s="1">
        <f>VLOOKUP(Master8[[#This Row],[Province_RDC]],Client[],7,FALSE)</f>
        <v>4</v>
      </c>
      <c r="S269" s="1" t="str">
        <f>IF(Master8[[#This Row],[Type_Forfait]]="Pro Monde","B2B","B2C")</f>
        <v>B2B</v>
      </c>
      <c r="T269" s="1">
        <f>Master8[[#This Row],[Anciennete_Mois]]/12</f>
        <v>9.1666666666666661</v>
      </c>
      <c r="U269" s="1">
        <f>Master8[[#This Row],[Duree_Cumule_Panne_Min]]/60</f>
        <v>7.05</v>
      </c>
      <c r="V26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6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69" s="6">
        <f>Master8[[#This Row],[Facture_Mensuelle]]*Master8[[#This Row],[Remise]]</f>
        <v>16.807500000000001</v>
      </c>
    </row>
    <row r="270" spans="1:24" x14ac:dyDescent="0.25">
      <c r="A270" s="1" t="s">
        <v>1382</v>
      </c>
      <c r="B270" t="str">
        <f>IFERROR(VLOOKUP(Master8[[#This Row],[Cell_ID]],Registre_Maintenance[],2,FALSE),"")</f>
        <v>Kwango</v>
      </c>
      <c r="C270" s="1" t="s">
        <v>994</v>
      </c>
      <c r="D270" s="2">
        <v>45221.197916666657</v>
      </c>
      <c r="E270" s="3">
        <v>45221.197916666657</v>
      </c>
      <c r="F270">
        <v>61</v>
      </c>
      <c r="G270">
        <f>Master8[[#This Row],[Duree_Panne_Min]]/60</f>
        <v>1.0166666666666666</v>
      </c>
      <c r="H270" s="1" t="s">
        <v>737</v>
      </c>
      <c r="I270">
        <f>IFERROR(VLOOKUP(Master8[[#This Row],[Cell_ID]],Registre_Maintenance[],3,FALSE),"")</f>
        <v>-7.5129409999999996</v>
      </c>
      <c r="J270">
        <f>IFERROR(VLOOKUP(Master8[[#This Row],[Cell_ID]],Registre_Maintenance[],4,FALSE),"")</f>
        <v>18.701522000000001</v>
      </c>
      <c r="K270" t="str">
        <f>IFERROR(VLOOKUP(Master8[[#This Row],[Cell_ID]],Registre_Maintenance[],5,FALSE),"")</f>
        <v>4G</v>
      </c>
      <c r="L270" t="str">
        <f>IFERROR(VLOOKUP(Master8[[#This Row],[Cell_ID]],Registre_Maintenance[],6,FALSE),"")</f>
        <v>Nokia</v>
      </c>
      <c r="M270" s="1" t="str">
        <f>VLOOKUP(Master8[[#This Row],[Province_RDC]],Client[],2,FALSE)</f>
        <v>CLI-00569</v>
      </c>
      <c r="N270" s="1">
        <f>VLOOKUP(Master8[[#This Row],[Province_RDC]],Client[],3,FALSE)</f>
        <v>110</v>
      </c>
      <c r="O270" s="1" t="str">
        <f>VLOOKUP(Master8[[#This Row],[Province_RDC]],Client[],4,FALSE)</f>
        <v>Pro Monde</v>
      </c>
      <c r="P270" s="1">
        <f>VLOOKUP(Master8[[#This Row],[Province_RDC]],Client[],5,FALSE)</f>
        <v>423</v>
      </c>
      <c r="Q270" s="1">
        <f>VLOOKUP(Master8[[#This Row],[Province_RDC]],Client[],6,FALSE)</f>
        <v>37.35</v>
      </c>
      <c r="R270" s="1">
        <f>VLOOKUP(Master8[[#This Row],[Province_RDC]],Client[],7,FALSE)</f>
        <v>4</v>
      </c>
      <c r="S270" s="1" t="str">
        <f>IF(Master8[[#This Row],[Type_Forfait]]="Pro Monde","B2B","B2C")</f>
        <v>B2B</v>
      </c>
      <c r="T270" s="1">
        <f>Master8[[#This Row],[Anciennete_Mois]]/12</f>
        <v>9.1666666666666661</v>
      </c>
      <c r="U270" s="1">
        <f>Master8[[#This Row],[Duree_Cumule_Panne_Min]]/60</f>
        <v>7.05</v>
      </c>
      <c r="V27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0" s="6">
        <f>Master8[[#This Row],[Facture_Mensuelle]]*Master8[[#This Row],[Remise]]</f>
        <v>16.807500000000001</v>
      </c>
    </row>
    <row r="271" spans="1:24" x14ac:dyDescent="0.25">
      <c r="A271" s="1" t="s">
        <v>779</v>
      </c>
      <c r="B271" t="str">
        <f>IFERROR(VLOOKUP(Master8[[#This Row],[Cell_ID]],Registre_Maintenance[],2,FALSE),"")</f>
        <v>Kwango</v>
      </c>
      <c r="C271" s="1" t="s">
        <v>809</v>
      </c>
      <c r="D271" s="2">
        <v>45219.113194444442</v>
      </c>
      <c r="E271" s="3">
        <v>45219.113194444442</v>
      </c>
      <c r="F271">
        <v>19</v>
      </c>
      <c r="G271">
        <f>Master8[[#This Row],[Duree_Panne_Min]]/60</f>
        <v>0.31666666666666665</v>
      </c>
      <c r="H271" s="1" t="s">
        <v>732</v>
      </c>
      <c r="I271">
        <f>IFERROR(VLOOKUP(Master8[[#This Row],[Cell_ID]],Registre_Maintenance[],3,FALSE),"")</f>
        <v>-9.7712979999999998</v>
      </c>
      <c r="J271">
        <f>IFERROR(VLOOKUP(Master8[[#This Row],[Cell_ID]],Registre_Maintenance[],4,FALSE),"")</f>
        <v>19.827895999999999</v>
      </c>
      <c r="K271" t="str">
        <f>IFERROR(VLOOKUP(Master8[[#This Row],[Cell_ID]],Registre_Maintenance[],5,FALSE),"")</f>
        <v>3G</v>
      </c>
      <c r="L271" t="str">
        <f>IFERROR(VLOOKUP(Master8[[#This Row],[Cell_ID]],Registre_Maintenance[],6,FALSE),"")</f>
        <v>ZTE</v>
      </c>
      <c r="M271" s="1" t="str">
        <f>VLOOKUP(Master8[[#This Row],[Province_RDC]],Client[],2,FALSE)</f>
        <v>CLI-00569</v>
      </c>
      <c r="N271" s="1">
        <f>VLOOKUP(Master8[[#This Row],[Province_RDC]],Client[],3,FALSE)</f>
        <v>110</v>
      </c>
      <c r="O271" s="1" t="str">
        <f>VLOOKUP(Master8[[#This Row],[Province_RDC]],Client[],4,FALSE)</f>
        <v>Pro Monde</v>
      </c>
      <c r="P271" s="1">
        <f>VLOOKUP(Master8[[#This Row],[Province_RDC]],Client[],5,FALSE)</f>
        <v>423</v>
      </c>
      <c r="Q271" s="1">
        <f>VLOOKUP(Master8[[#This Row],[Province_RDC]],Client[],6,FALSE)</f>
        <v>37.35</v>
      </c>
      <c r="R271" s="1">
        <f>VLOOKUP(Master8[[#This Row],[Province_RDC]],Client[],7,FALSE)</f>
        <v>4</v>
      </c>
      <c r="S271" s="1" t="str">
        <f>IF(Master8[[#This Row],[Type_Forfait]]="Pro Monde","B2B","B2C")</f>
        <v>B2B</v>
      </c>
      <c r="T271" s="1">
        <f>Master8[[#This Row],[Anciennete_Mois]]/12</f>
        <v>9.1666666666666661</v>
      </c>
      <c r="U271" s="1">
        <f>Master8[[#This Row],[Duree_Cumule_Panne_Min]]/60</f>
        <v>7.05</v>
      </c>
      <c r="V27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1" s="6">
        <f>Master8[[#This Row],[Facture_Mensuelle]]*Master8[[#This Row],[Remise]]</f>
        <v>16.807500000000001</v>
      </c>
    </row>
    <row r="272" spans="1:24" x14ac:dyDescent="0.25">
      <c r="A272" s="1" t="s">
        <v>978</v>
      </c>
      <c r="B272" t="str">
        <f>IFERROR(VLOOKUP(Master8[[#This Row],[Cell_ID]],Registre_Maintenance[],2,FALSE),"")</f>
        <v>Kwango</v>
      </c>
      <c r="C272" s="1" t="s">
        <v>994</v>
      </c>
      <c r="D272" s="2">
        <v>45218.286111111112</v>
      </c>
      <c r="E272" s="3">
        <v>45218.286111111112</v>
      </c>
      <c r="F272">
        <v>89</v>
      </c>
      <c r="G272">
        <f>Master8[[#This Row],[Duree_Panne_Min]]/60</f>
        <v>1.4833333333333334</v>
      </c>
      <c r="H272" s="1" t="s">
        <v>732</v>
      </c>
      <c r="I272">
        <f>IFERROR(VLOOKUP(Master8[[#This Row],[Cell_ID]],Registre_Maintenance[],3,FALSE),"")</f>
        <v>-7.5129409999999996</v>
      </c>
      <c r="J272">
        <f>IFERROR(VLOOKUP(Master8[[#This Row],[Cell_ID]],Registre_Maintenance[],4,FALSE),"")</f>
        <v>18.701522000000001</v>
      </c>
      <c r="K272" t="str">
        <f>IFERROR(VLOOKUP(Master8[[#This Row],[Cell_ID]],Registre_Maintenance[],5,FALSE),"")</f>
        <v>4G</v>
      </c>
      <c r="L272" t="str">
        <f>IFERROR(VLOOKUP(Master8[[#This Row],[Cell_ID]],Registre_Maintenance[],6,FALSE),"")</f>
        <v>Nokia</v>
      </c>
      <c r="M272" s="1" t="str">
        <f>VLOOKUP(Master8[[#This Row],[Province_RDC]],Client[],2,FALSE)</f>
        <v>CLI-00569</v>
      </c>
      <c r="N272" s="1">
        <f>VLOOKUP(Master8[[#This Row],[Province_RDC]],Client[],3,FALSE)</f>
        <v>110</v>
      </c>
      <c r="O272" s="1" t="str">
        <f>VLOOKUP(Master8[[#This Row],[Province_RDC]],Client[],4,FALSE)</f>
        <v>Pro Monde</v>
      </c>
      <c r="P272" s="1">
        <f>VLOOKUP(Master8[[#This Row],[Province_RDC]],Client[],5,FALSE)</f>
        <v>423</v>
      </c>
      <c r="Q272" s="1">
        <f>VLOOKUP(Master8[[#This Row],[Province_RDC]],Client[],6,FALSE)</f>
        <v>37.35</v>
      </c>
      <c r="R272" s="1">
        <f>VLOOKUP(Master8[[#This Row],[Province_RDC]],Client[],7,FALSE)</f>
        <v>4</v>
      </c>
      <c r="S272" s="1" t="str">
        <f>IF(Master8[[#This Row],[Type_Forfait]]="Pro Monde","B2B","B2C")</f>
        <v>B2B</v>
      </c>
      <c r="T272" s="1">
        <f>Master8[[#This Row],[Anciennete_Mois]]/12</f>
        <v>9.1666666666666661</v>
      </c>
      <c r="U272" s="1">
        <f>Master8[[#This Row],[Duree_Cumule_Panne_Min]]/60</f>
        <v>7.05</v>
      </c>
      <c r="V27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2" s="6">
        <f>Master8[[#This Row],[Facture_Mensuelle]]*Master8[[#This Row],[Remise]]</f>
        <v>16.807500000000001</v>
      </c>
    </row>
    <row r="273" spans="1:24" x14ac:dyDescent="0.25">
      <c r="A273" s="1" t="s">
        <v>1241</v>
      </c>
      <c r="B273" t="str">
        <f>IFERROR(VLOOKUP(Master8[[#This Row],[Cell_ID]],Registre_Maintenance[],2,FALSE),"")</f>
        <v>Kwango</v>
      </c>
      <c r="C273" s="1" t="s">
        <v>809</v>
      </c>
      <c r="D273" s="2">
        <v>45218.038194444453</v>
      </c>
      <c r="E273" s="3">
        <v>45218.038194444453</v>
      </c>
      <c r="F273">
        <v>6</v>
      </c>
      <c r="G273">
        <f>Master8[[#This Row],[Duree_Panne_Min]]/60</f>
        <v>0.1</v>
      </c>
      <c r="H273" s="1" t="s">
        <v>732</v>
      </c>
      <c r="I273">
        <f>IFERROR(VLOOKUP(Master8[[#This Row],[Cell_ID]],Registre_Maintenance[],3,FALSE),"")</f>
        <v>-9.7712979999999998</v>
      </c>
      <c r="J273">
        <f>IFERROR(VLOOKUP(Master8[[#This Row],[Cell_ID]],Registre_Maintenance[],4,FALSE),"")</f>
        <v>19.827895999999999</v>
      </c>
      <c r="K273" t="str">
        <f>IFERROR(VLOOKUP(Master8[[#This Row],[Cell_ID]],Registre_Maintenance[],5,FALSE),"")</f>
        <v>3G</v>
      </c>
      <c r="L273" t="str">
        <f>IFERROR(VLOOKUP(Master8[[#This Row],[Cell_ID]],Registre_Maintenance[],6,FALSE),"")</f>
        <v>ZTE</v>
      </c>
      <c r="M273" s="1" t="str">
        <f>VLOOKUP(Master8[[#This Row],[Province_RDC]],Client[],2,FALSE)</f>
        <v>CLI-00569</v>
      </c>
      <c r="N273" s="1">
        <f>VLOOKUP(Master8[[#This Row],[Province_RDC]],Client[],3,FALSE)</f>
        <v>110</v>
      </c>
      <c r="O273" s="1" t="str">
        <f>VLOOKUP(Master8[[#This Row],[Province_RDC]],Client[],4,FALSE)</f>
        <v>Pro Monde</v>
      </c>
      <c r="P273" s="1">
        <f>VLOOKUP(Master8[[#This Row],[Province_RDC]],Client[],5,FALSE)</f>
        <v>423</v>
      </c>
      <c r="Q273" s="1">
        <f>VLOOKUP(Master8[[#This Row],[Province_RDC]],Client[],6,FALSE)</f>
        <v>37.35</v>
      </c>
      <c r="R273" s="1">
        <f>VLOOKUP(Master8[[#This Row],[Province_RDC]],Client[],7,FALSE)</f>
        <v>4</v>
      </c>
      <c r="S273" s="1" t="str">
        <f>IF(Master8[[#This Row],[Type_Forfait]]="Pro Monde","B2B","B2C")</f>
        <v>B2B</v>
      </c>
      <c r="T273" s="1">
        <f>Master8[[#This Row],[Anciennete_Mois]]/12</f>
        <v>9.1666666666666661</v>
      </c>
      <c r="U273" s="1">
        <f>Master8[[#This Row],[Duree_Cumule_Panne_Min]]/60</f>
        <v>7.05</v>
      </c>
      <c r="V27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3" s="6">
        <f>Master8[[#This Row],[Facture_Mensuelle]]*Master8[[#This Row],[Remise]]</f>
        <v>16.807500000000001</v>
      </c>
    </row>
    <row r="274" spans="1:24" x14ac:dyDescent="0.25">
      <c r="A274" s="1" t="s">
        <v>730</v>
      </c>
      <c r="B274" t="str">
        <f>IFERROR(VLOOKUP(Master8[[#This Row],[Cell_ID]],Registre_Maintenance[],2,FALSE),"")</f>
        <v>Kwango</v>
      </c>
      <c r="C274" s="1" t="s">
        <v>744</v>
      </c>
      <c r="D274" s="2">
        <v>45213.311111111107</v>
      </c>
      <c r="E274" s="3">
        <v>45213.311111111107</v>
      </c>
      <c r="F274">
        <v>22</v>
      </c>
      <c r="G274">
        <f>Master8[[#This Row],[Duree_Panne_Min]]/60</f>
        <v>0.36666666666666664</v>
      </c>
      <c r="H274" s="1" t="s">
        <v>735</v>
      </c>
      <c r="I274">
        <f>IFERROR(VLOOKUP(Master8[[#This Row],[Cell_ID]],Registre_Maintenance[],3,FALSE),"")</f>
        <v>4.8319039999999998</v>
      </c>
      <c r="J274">
        <f>IFERROR(VLOOKUP(Master8[[#This Row],[Cell_ID]],Registre_Maintenance[],4,FALSE),"")</f>
        <v>20.733468999999999</v>
      </c>
      <c r="K274" t="str">
        <f>IFERROR(VLOOKUP(Master8[[#This Row],[Cell_ID]],Registre_Maintenance[],5,FALSE),"")</f>
        <v>5G</v>
      </c>
      <c r="L274" t="str">
        <f>IFERROR(VLOOKUP(Master8[[#This Row],[Cell_ID]],Registre_Maintenance[],6,FALSE),"")</f>
        <v>Ericsson</v>
      </c>
      <c r="M274" s="1" t="str">
        <f>VLOOKUP(Master8[[#This Row],[Province_RDC]],Client[],2,FALSE)</f>
        <v>CLI-00569</v>
      </c>
      <c r="N274" s="1">
        <f>VLOOKUP(Master8[[#This Row],[Province_RDC]],Client[],3,FALSE)</f>
        <v>110</v>
      </c>
      <c r="O274" s="1" t="str">
        <f>VLOOKUP(Master8[[#This Row],[Province_RDC]],Client[],4,FALSE)</f>
        <v>Pro Monde</v>
      </c>
      <c r="P274" s="1">
        <f>VLOOKUP(Master8[[#This Row],[Province_RDC]],Client[],5,FALSE)</f>
        <v>423</v>
      </c>
      <c r="Q274" s="1">
        <f>VLOOKUP(Master8[[#This Row],[Province_RDC]],Client[],6,FALSE)</f>
        <v>37.35</v>
      </c>
      <c r="R274" s="1">
        <f>VLOOKUP(Master8[[#This Row],[Province_RDC]],Client[],7,FALSE)</f>
        <v>4</v>
      </c>
      <c r="S274" s="1" t="str">
        <f>IF(Master8[[#This Row],[Type_Forfait]]="Pro Monde","B2B","B2C")</f>
        <v>B2B</v>
      </c>
      <c r="T274" s="1">
        <f>Master8[[#This Row],[Anciennete_Mois]]/12</f>
        <v>9.1666666666666661</v>
      </c>
      <c r="U274" s="1">
        <f>Master8[[#This Row],[Duree_Cumule_Panne_Min]]/60</f>
        <v>7.05</v>
      </c>
      <c r="V27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4" s="6">
        <f>Master8[[#This Row],[Facture_Mensuelle]]*Master8[[#This Row],[Remise]]</f>
        <v>16.807500000000001</v>
      </c>
    </row>
    <row r="275" spans="1:24" x14ac:dyDescent="0.25">
      <c r="A275" s="1" t="s">
        <v>1382</v>
      </c>
      <c r="B275" t="str">
        <f>IFERROR(VLOOKUP(Master8[[#This Row],[Cell_ID]],Registre_Maintenance[],2,FALSE),"")</f>
        <v>Kwango</v>
      </c>
      <c r="C275" s="1" t="s">
        <v>796</v>
      </c>
      <c r="D275" s="2">
        <v>45212.901388888888</v>
      </c>
      <c r="E275" s="3">
        <v>45212.901388888888</v>
      </c>
      <c r="F275">
        <v>58</v>
      </c>
      <c r="G275">
        <f>Master8[[#This Row],[Duree_Panne_Min]]/60</f>
        <v>0.96666666666666667</v>
      </c>
      <c r="H275" s="1" t="s">
        <v>732</v>
      </c>
      <c r="I275">
        <f>IFERROR(VLOOKUP(Master8[[#This Row],[Cell_ID]],Registre_Maintenance[],3,FALSE),"")</f>
        <v>-10.963041</v>
      </c>
      <c r="J275">
        <f>IFERROR(VLOOKUP(Master8[[#This Row],[Cell_ID]],Registre_Maintenance[],4,FALSE),"")</f>
        <v>12.269857</v>
      </c>
      <c r="K275" t="str">
        <f>IFERROR(VLOOKUP(Master8[[#This Row],[Cell_ID]],Registre_Maintenance[],5,FALSE),"")</f>
        <v>4G</v>
      </c>
      <c r="L275" t="str">
        <f>IFERROR(VLOOKUP(Master8[[#This Row],[Cell_ID]],Registre_Maintenance[],6,FALSE),"")</f>
        <v>Huawei</v>
      </c>
      <c r="M275" s="1" t="str">
        <f>VLOOKUP(Master8[[#This Row],[Province_RDC]],Client[],2,FALSE)</f>
        <v>CLI-00569</v>
      </c>
      <c r="N275" s="1">
        <f>VLOOKUP(Master8[[#This Row],[Province_RDC]],Client[],3,FALSE)</f>
        <v>110</v>
      </c>
      <c r="O275" s="1" t="str">
        <f>VLOOKUP(Master8[[#This Row],[Province_RDC]],Client[],4,FALSE)</f>
        <v>Pro Monde</v>
      </c>
      <c r="P275" s="1">
        <f>VLOOKUP(Master8[[#This Row],[Province_RDC]],Client[],5,FALSE)</f>
        <v>423</v>
      </c>
      <c r="Q275" s="1">
        <f>VLOOKUP(Master8[[#This Row],[Province_RDC]],Client[],6,FALSE)</f>
        <v>37.35</v>
      </c>
      <c r="R275" s="1">
        <f>VLOOKUP(Master8[[#This Row],[Province_RDC]],Client[],7,FALSE)</f>
        <v>4</v>
      </c>
      <c r="S275" s="1" t="str">
        <f>IF(Master8[[#This Row],[Type_Forfait]]="Pro Monde","B2B","B2C")</f>
        <v>B2B</v>
      </c>
      <c r="T275" s="1">
        <f>Master8[[#This Row],[Anciennete_Mois]]/12</f>
        <v>9.1666666666666661</v>
      </c>
      <c r="U275" s="1">
        <f>Master8[[#This Row],[Duree_Cumule_Panne_Min]]/60</f>
        <v>7.05</v>
      </c>
      <c r="V27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5" s="6">
        <f>Master8[[#This Row],[Facture_Mensuelle]]*Master8[[#This Row],[Remise]]</f>
        <v>16.807500000000001</v>
      </c>
    </row>
    <row r="276" spans="1:24" x14ac:dyDescent="0.25">
      <c r="A276" s="1" t="s">
        <v>1138</v>
      </c>
      <c r="B276" t="str">
        <f>IFERROR(VLOOKUP(Master8[[#This Row],[Cell_ID]],Registre_Maintenance[],2,FALSE),"")</f>
        <v>Kwango</v>
      </c>
      <c r="C276" s="1" t="s">
        <v>744</v>
      </c>
      <c r="D276" s="2">
        <v>45212.311111111107</v>
      </c>
      <c r="E276" s="3">
        <v>45212.311111111107</v>
      </c>
      <c r="F276">
        <v>79</v>
      </c>
      <c r="G276">
        <f>Master8[[#This Row],[Duree_Panne_Min]]/60</f>
        <v>1.3166666666666667</v>
      </c>
      <c r="H276" s="1" t="s">
        <v>732</v>
      </c>
      <c r="I276">
        <f>IFERROR(VLOOKUP(Master8[[#This Row],[Cell_ID]],Registre_Maintenance[],3,FALSE),"")</f>
        <v>4.8319039999999998</v>
      </c>
      <c r="J276">
        <f>IFERROR(VLOOKUP(Master8[[#This Row],[Cell_ID]],Registre_Maintenance[],4,FALSE),"")</f>
        <v>20.733468999999999</v>
      </c>
      <c r="K276" t="str">
        <f>IFERROR(VLOOKUP(Master8[[#This Row],[Cell_ID]],Registre_Maintenance[],5,FALSE),"")</f>
        <v>5G</v>
      </c>
      <c r="L276" t="str">
        <f>IFERROR(VLOOKUP(Master8[[#This Row],[Cell_ID]],Registre_Maintenance[],6,FALSE),"")</f>
        <v>Ericsson</v>
      </c>
      <c r="M276" s="1" t="str">
        <f>VLOOKUP(Master8[[#This Row],[Province_RDC]],Client[],2,FALSE)</f>
        <v>CLI-00569</v>
      </c>
      <c r="N276" s="1">
        <f>VLOOKUP(Master8[[#This Row],[Province_RDC]],Client[],3,FALSE)</f>
        <v>110</v>
      </c>
      <c r="O276" s="1" t="str">
        <f>VLOOKUP(Master8[[#This Row],[Province_RDC]],Client[],4,FALSE)</f>
        <v>Pro Monde</v>
      </c>
      <c r="P276" s="1">
        <f>VLOOKUP(Master8[[#This Row],[Province_RDC]],Client[],5,FALSE)</f>
        <v>423</v>
      </c>
      <c r="Q276" s="1">
        <f>VLOOKUP(Master8[[#This Row],[Province_RDC]],Client[],6,FALSE)</f>
        <v>37.35</v>
      </c>
      <c r="R276" s="1">
        <f>VLOOKUP(Master8[[#This Row],[Province_RDC]],Client[],7,FALSE)</f>
        <v>4</v>
      </c>
      <c r="S276" s="1" t="str">
        <f>IF(Master8[[#This Row],[Type_Forfait]]="Pro Monde","B2B","B2C")</f>
        <v>B2B</v>
      </c>
      <c r="T276" s="1">
        <f>Master8[[#This Row],[Anciennete_Mois]]/12</f>
        <v>9.1666666666666661</v>
      </c>
      <c r="U276" s="1">
        <f>Master8[[#This Row],[Duree_Cumule_Panne_Min]]/60</f>
        <v>7.05</v>
      </c>
      <c r="V27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6" s="6">
        <f>Master8[[#This Row],[Facture_Mensuelle]]*Master8[[#This Row],[Remise]]</f>
        <v>16.807500000000001</v>
      </c>
    </row>
    <row r="277" spans="1:24" x14ac:dyDescent="0.25">
      <c r="A277" s="1" t="s">
        <v>1361</v>
      </c>
      <c r="B277" t="str">
        <f>IFERROR(VLOOKUP(Master8[[#This Row],[Cell_ID]],Registre_Maintenance[],2,FALSE),"")</f>
        <v>Kwango</v>
      </c>
      <c r="C277" s="1" t="s">
        <v>1072</v>
      </c>
      <c r="D277" s="2">
        <v>45210.03125</v>
      </c>
      <c r="E277" s="3">
        <v>45210.03125</v>
      </c>
      <c r="F277">
        <v>63</v>
      </c>
      <c r="G277">
        <f>Master8[[#This Row],[Duree_Panne_Min]]/60</f>
        <v>1.05</v>
      </c>
      <c r="H277" s="1" t="s">
        <v>737</v>
      </c>
      <c r="I277">
        <f>IFERROR(VLOOKUP(Master8[[#This Row],[Cell_ID]],Registre_Maintenance[],3,FALSE),"")</f>
        <v>-9.0798120000000004</v>
      </c>
      <c r="J277">
        <f>IFERROR(VLOOKUP(Master8[[#This Row],[Cell_ID]],Registre_Maintenance[],4,FALSE),"")</f>
        <v>14.945484</v>
      </c>
      <c r="K277" t="str">
        <f>IFERROR(VLOOKUP(Master8[[#This Row],[Cell_ID]],Registre_Maintenance[],5,FALSE),"")</f>
        <v>5G</v>
      </c>
      <c r="L277" t="str">
        <f>IFERROR(VLOOKUP(Master8[[#This Row],[Cell_ID]],Registre_Maintenance[],6,FALSE),"")</f>
        <v>Ericsson</v>
      </c>
      <c r="M277" s="1" t="str">
        <f>VLOOKUP(Master8[[#This Row],[Province_RDC]],Client[],2,FALSE)</f>
        <v>CLI-00569</v>
      </c>
      <c r="N277" s="1">
        <f>VLOOKUP(Master8[[#This Row],[Province_RDC]],Client[],3,FALSE)</f>
        <v>110</v>
      </c>
      <c r="O277" s="1" t="str">
        <f>VLOOKUP(Master8[[#This Row],[Province_RDC]],Client[],4,FALSE)</f>
        <v>Pro Monde</v>
      </c>
      <c r="P277" s="1">
        <f>VLOOKUP(Master8[[#This Row],[Province_RDC]],Client[],5,FALSE)</f>
        <v>423</v>
      </c>
      <c r="Q277" s="1">
        <f>VLOOKUP(Master8[[#This Row],[Province_RDC]],Client[],6,FALSE)</f>
        <v>37.35</v>
      </c>
      <c r="R277" s="1">
        <f>VLOOKUP(Master8[[#This Row],[Province_RDC]],Client[],7,FALSE)</f>
        <v>4</v>
      </c>
      <c r="S277" s="1" t="str">
        <f>IF(Master8[[#This Row],[Type_Forfait]]="Pro Monde","B2B","B2C")</f>
        <v>B2B</v>
      </c>
      <c r="T277" s="1">
        <f>Master8[[#This Row],[Anciennete_Mois]]/12</f>
        <v>9.1666666666666661</v>
      </c>
      <c r="U277" s="1">
        <f>Master8[[#This Row],[Duree_Cumule_Panne_Min]]/60</f>
        <v>7.05</v>
      </c>
      <c r="V27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7" s="6">
        <f>Master8[[#This Row],[Facture_Mensuelle]]*Master8[[#This Row],[Remise]]</f>
        <v>16.807500000000001</v>
      </c>
    </row>
    <row r="278" spans="1:24" x14ac:dyDescent="0.25">
      <c r="A278" s="1" t="s">
        <v>939</v>
      </c>
      <c r="B278" t="str">
        <f>IFERROR(VLOOKUP(Master8[[#This Row],[Cell_ID]],Registre_Maintenance[],2,FALSE),"")</f>
        <v>Kwango</v>
      </c>
      <c r="C278" s="1" t="s">
        <v>976</v>
      </c>
      <c r="D278" s="2">
        <v>45209.852083333331</v>
      </c>
      <c r="E278" s="3">
        <v>45209.852083333331</v>
      </c>
      <c r="F278">
        <v>91</v>
      </c>
      <c r="G278">
        <f>Master8[[#This Row],[Duree_Panne_Min]]/60</f>
        <v>1.5166666666666666</v>
      </c>
      <c r="H278" s="1" t="s">
        <v>737</v>
      </c>
      <c r="I278">
        <f>IFERROR(VLOOKUP(Master8[[#This Row],[Cell_ID]],Registre_Maintenance[],3,FALSE),"")</f>
        <v>-12.431227</v>
      </c>
      <c r="J278">
        <f>IFERROR(VLOOKUP(Master8[[#This Row],[Cell_ID]],Registre_Maintenance[],4,FALSE),"")</f>
        <v>18.414290999999999</v>
      </c>
      <c r="K278" t="str">
        <f>IFERROR(VLOOKUP(Master8[[#This Row],[Cell_ID]],Registre_Maintenance[],5,FALSE),"")</f>
        <v>5G</v>
      </c>
      <c r="L278" t="str">
        <f>IFERROR(VLOOKUP(Master8[[#This Row],[Cell_ID]],Registre_Maintenance[],6,FALSE),"")</f>
        <v>Huawei</v>
      </c>
      <c r="M278" s="1" t="str">
        <f>VLOOKUP(Master8[[#This Row],[Province_RDC]],Client[],2,FALSE)</f>
        <v>CLI-00569</v>
      </c>
      <c r="N278" s="1">
        <f>VLOOKUP(Master8[[#This Row],[Province_RDC]],Client[],3,FALSE)</f>
        <v>110</v>
      </c>
      <c r="O278" s="1" t="str">
        <f>VLOOKUP(Master8[[#This Row],[Province_RDC]],Client[],4,FALSE)</f>
        <v>Pro Monde</v>
      </c>
      <c r="P278" s="1">
        <f>VLOOKUP(Master8[[#This Row],[Province_RDC]],Client[],5,FALSE)</f>
        <v>423</v>
      </c>
      <c r="Q278" s="1">
        <f>VLOOKUP(Master8[[#This Row],[Province_RDC]],Client[],6,FALSE)</f>
        <v>37.35</v>
      </c>
      <c r="R278" s="1">
        <f>VLOOKUP(Master8[[#This Row],[Province_RDC]],Client[],7,FALSE)</f>
        <v>4</v>
      </c>
      <c r="S278" s="1" t="str">
        <f>IF(Master8[[#This Row],[Type_Forfait]]="Pro Monde","B2B","B2C")</f>
        <v>B2B</v>
      </c>
      <c r="T278" s="1">
        <f>Master8[[#This Row],[Anciennete_Mois]]/12</f>
        <v>9.1666666666666661</v>
      </c>
      <c r="U278" s="1">
        <f>Master8[[#This Row],[Duree_Cumule_Panne_Min]]/60</f>
        <v>7.05</v>
      </c>
      <c r="V27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8" s="6">
        <f>Master8[[#This Row],[Facture_Mensuelle]]*Master8[[#This Row],[Remise]]</f>
        <v>16.807500000000001</v>
      </c>
    </row>
    <row r="279" spans="1:24" x14ac:dyDescent="0.25">
      <c r="A279" s="1" t="s">
        <v>1059</v>
      </c>
      <c r="B279" t="str">
        <f>IFERROR(VLOOKUP(Master8[[#This Row],[Cell_ID]],Registre_Maintenance[],2,FALSE),"")</f>
        <v>Kwango</v>
      </c>
      <c r="C279" s="1" t="s">
        <v>1072</v>
      </c>
      <c r="D279" s="2">
        <v>45207.987500000003</v>
      </c>
      <c r="E279" s="3">
        <v>45207.987500000003</v>
      </c>
      <c r="F279">
        <v>15</v>
      </c>
      <c r="G279">
        <f>Master8[[#This Row],[Duree_Panne_Min]]/60</f>
        <v>0.25</v>
      </c>
      <c r="H279" s="1" t="s">
        <v>735</v>
      </c>
      <c r="I279">
        <f>IFERROR(VLOOKUP(Master8[[#This Row],[Cell_ID]],Registre_Maintenance[],3,FALSE),"")</f>
        <v>-9.0798120000000004</v>
      </c>
      <c r="J279">
        <f>IFERROR(VLOOKUP(Master8[[#This Row],[Cell_ID]],Registre_Maintenance[],4,FALSE),"")</f>
        <v>14.945484</v>
      </c>
      <c r="K279" t="str">
        <f>IFERROR(VLOOKUP(Master8[[#This Row],[Cell_ID]],Registre_Maintenance[],5,FALSE),"")</f>
        <v>5G</v>
      </c>
      <c r="L279" t="str">
        <f>IFERROR(VLOOKUP(Master8[[#This Row],[Cell_ID]],Registre_Maintenance[],6,FALSE),"")</f>
        <v>Ericsson</v>
      </c>
      <c r="M279" s="1" t="str">
        <f>VLOOKUP(Master8[[#This Row],[Province_RDC]],Client[],2,FALSE)</f>
        <v>CLI-00569</v>
      </c>
      <c r="N279" s="1">
        <f>VLOOKUP(Master8[[#This Row],[Province_RDC]],Client[],3,FALSE)</f>
        <v>110</v>
      </c>
      <c r="O279" s="1" t="str">
        <f>VLOOKUP(Master8[[#This Row],[Province_RDC]],Client[],4,FALSE)</f>
        <v>Pro Monde</v>
      </c>
      <c r="P279" s="1">
        <f>VLOOKUP(Master8[[#This Row],[Province_RDC]],Client[],5,FALSE)</f>
        <v>423</v>
      </c>
      <c r="Q279" s="1">
        <f>VLOOKUP(Master8[[#This Row],[Province_RDC]],Client[],6,FALSE)</f>
        <v>37.35</v>
      </c>
      <c r="R279" s="1">
        <f>VLOOKUP(Master8[[#This Row],[Province_RDC]],Client[],7,FALSE)</f>
        <v>4</v>
      </c>
      <c r="S279" s="1" t="str">
        <f>IF(Master8[[#This Row],[Type_Forfait]]="Pro Monde","B2B","B2C")</f>
        <v>B2B</v>
      </c>
      <c r="T279" s="1">
        <f>Master8[[#This Row],[Anciennete_Mois]]/12</f>
        <v>9.1666666666666661</v>
      </c>
      <c r="U279" s="1">
        <f>Master8[[#This Row],[Duree_Cumule_Panne_Min]]/60</f>
        <v>7.05</v>
      </c>
      <c r="V27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7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79" s="6">
        <f>Master8[[#This Row],[Facture_Mensuelle]]*Master8[[#This Row],[Remise]]</f>
        <v>16.807500000000001</v>
      </c>
    </row>
    <row r="280" spans="1:24" x14ac:dyDescent="0.25">
      <c r="A280" s="1" t="s">
        <v>779</v>
      </c>
      <c r="B280" t="str">
        <f>IFERROR(VLOOKUP(Master8[[#This Row],[Cell_ID]],Registre_Maintenance[],2,FALSE),"")</f>
        <v>Kwango</v>
      </c>
      <c r="C280" s="1" t="s">
        <v>796</v>
      </c>
      <c r="D280" s="2">
        <v>45206.539583333331</v>
      </c>
      <c r="E280" s="3">
        <v>45206.539583333331</v>
      </c>
      <c r="F280">
        <v>43</v>
      </c>
      <c r="G280">
        <f>Master8[[#This Row],[Duree_Panne_Min]]/60</f>
        <v>0.71666666666666667</v>
      </c>
      <c r="H280" s="1" t="s">
        <v>732</v>
      </c>
      <c r="I280">
        <f>IFERROR(VLOOKUP(Master8[[#This Row],[Cell_ID]],Registre_Maintenance[],3,FALSE),"")</f>
        <v>-10.963041</v>
      </c>
      <c r="J280">
        <f>IFERROR(VLOOKUP(Master8[[#This Row],[Cell_ID]],Registre_Maintenance[],4,FALSE),"")</f>
        <v>12.269857</v>
      </c>
      <c r="K280" t="str">
        <f>IFERROR(VLOOKUP(Master8[[#This Row],[Cell_ID]],Registre_Maintenance[],5,FALSE),"")</f>
        <v>4G</v>
      </c>
      <c r="L280" t="str">
        <f>IFERROR(VLOOKUP(Master8[[#This Row],[Cell_ID]],Registre_Maintenance[],6,FALSE),"")</f>
        <v>Huawei</v>
      </c>
      <c r="M280" s="1" t="str">
        <f>VLOOKUP(Master8[[#This Row],[Province_RDC]],Client[],2,FALSE)</f>
        <v>CLI-00569</v>
      </c>
      <c r="N280" s="1">
        <f>VLOOKUP(Master8[[#This Row],[Province_RDC]],Client[],3,FALSE)</f>
        <v>110</v>
      </c>
      <c r="O280" s="1" t="str">
        <f>VLOOKUP(Master8[[#This Row],[Province_RDC]],Client[],4,FALSE)</f>
        <v>Pro Monde</v>
      </c>
      <c r="P280" s="1">
        <f>VLOOKUP(Master8[[#This Row],[Province_RDC]],Client[],5,FALSE)</f>
        <v>423</v>
      </c>
      <c r="Q280" s="1">
        <f>VLOOKUP(Master8[[#This Row],[Province_RDC]],Client[],6,FALSE)</f>
        <v>37.35</v>
      </c>
      <c r="R280" s="1">
        <f>VLOOKUP(Master8[[#This Row],[Province_RDC]],Client[],7,FALSE)</f>
        <v>4</v>
      </c>
      <c r="S280" s="1" t="str">
        <f>IF(Master8[[#This Row],[Type_Forfait]]="Pro Monde","B2B","B2C")</f>
        <v>B2B</v>
      </c>
      <c r="T280" s="1">
        <f>Master8[[#This Row],[Anciennete_Mois]]/12</f>
        <v>9.1666666666666661</v>
      </c>
      <c r="U280" s="1">
        <f>Master8[[#This Row],[Duree_Cumule_Panne_Min]]/60</f>
        <v>7.05</v>
      </c>
      <c r="V28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0" s="6">
        <f>Master8[[#This Row],[Facture_Mensuelle]]*Master8[[#This Row],[Remise]]</f>
        <v>16.807500000000001</v>
      </c>
    </row>
    <row r="281" spans="1:24" x14ac:dyDescent="0.25">
      <c r="A281" s="1" t="s">
        <v>939</v>
      </c>
      <c r="B281" t="str">
        <f>IFERROR(VLOOKUP(Master8[[#This Row],[Cell_ID]],Registre_Maintenance[],2,FALSE),"")</f>
        <v>Kongo-Central</v>
      </c>
      <c r="C281" s="1" t="s">
        <v>975</v>
      </c>
      <c r="D281" s="2">
        <v>45230.484027777777</v>
      </c>
      <c r="E281" s="3">
        <v>45230.484027777777</v>
      </c>
      <c r="F281">
        <v>37</v>
      </c>
      <c r="G281">
        <f>Master8[[#This Row],[Duree_Panne_Min]]/60</f>
        <v>0.6166666666666667</v>
      </c>
      <c r="H281" s="1" t="s">
        <v>735</v>
      </c>
      <c r="I281">
        <f>IFERROR(VLOOKUP(Master8[[#This Row],[Cell_ID]],Registre_Maintenance[],3,FALSE),"")</f>
        <v>-12.564277000000001</v>
      </c>
      <c r="J281">
        <f>IFERROR(VLOOKUP(Master8[[#This Row],[Cell_ID]],Registre_Maintenance[],4,FALSE),"")</f>
        <v>28.480798</v>
      </c>
      <c r="K281" t="str">
        <f>IFERROR(VLOOKUP(Master8[[#This Row],[Cell_ID]],Registre_Maintenance[],5,FALSE),"")</f>
        <v>5G</v>
      </c>
      <c r="L281" t="str">
        <f>IFERROR(VLOOKUP(Master8[[#This Row],[Cell_ID]],Registre_Maintenance[],6,FALSE),"")</f>
        <v>ZTE</v>
      </c>
      <c r="M281" s="1" t="str">
        <f>VLOOKUP(Master8[[#This Row],[Province_RDC]],Client[],2,FALSE)</f>
        <v>CLI-01233</v>
      </c>
      <c r="N281" s="1">
        <f>VLOOKUP(Master8[[#This Row],[Province_RDC]],Client[],3,FALSE)</f>
        <v>101</v>
      </c>
      <c r="O281" s="1" t="str">
        <f>VLOOKUP(Master8[[#This Row],[Province_RDC]],Client[],4,FALSE)</f>
        <v>Pro Monde</v>
      </c>
      <c r="P281" s="1">
        <f>VLOOKUP(Master8[[#This Row],[Province_RDC]],Client[],5,FALSE)</f>
        <v>333</v>
      </c>
      <c r="Q281" s="1">
        <f>VLOOKUP(Master8[[#This Row],[Province_RDC]],Client[],6,FALSE)</f>
        <v>74.319999999999993</v>
      </c>
      <c r="R281" s="1">
        <f>VLOOKUP(Master8[[#This Row],[Province_RDC]],Client[],7,FALSE)</f>
        <v>1</v>
      </c>
      <c r="S281" s="1" t="str">
        <f>IF(Master8[[#This Row],[Type_Forfait]]="Pro Monde","B2B","B2C")</f>
        <v>B2B</v>
      </c>
      <c r="T281" s="1">
        <f>Master8[[#This Row],[Anciennete_Mois]]/12</f>
        <v>8.4166666666666661</v>
      </c>
      <c r="U281" s="1">
        <f>Master8[[#This Row],[Duree_Cumule_Panne_Min]]/60</f>
        <v>5.55</v>
      </c>
      <c r="V28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1" s="6">
        <f>Master8[[#This Row],[Facture_Mensuelle]]*Master8[[#This Row],[Remise]]</f>
        <v>33.443999999999996</v>
      </c>
    </row>
    <row r="282" spans="1:24" x14ac:dyDescent="0.25">
      <c r="A282" s="1" t="s">
        <v>1114</v>
      </c>
      <c r="B282" t="str">
        <f>IFERROR(VLOOKUP(Master8[[#This Row],[Cell_ID]],Registre_Maintenance[],2,FALSE),"")</f>
        <v>Kongo-Central</v>
      </c>
      <c r="C282" s="1" t="s">
        <v>1133</v>
      </c>
      <c r="D282" s="2">
        <v>45230.303472222222</v>
      </c>
      <c r="E282" s="3">
        <v>45230.303472222222</v>
      </c>
      <c r="F282">
        <v>83</v>
      </c>
      <c r="G282">
        <f>Master8[[#This Row],[Duree_Panne_Min]]/60</f>
        <v>1.3833333333333333</v>
      </c>
      <c r="H282" s="1" t="s">
        <v>737</v>
      </c>
      <c r="I282">
        <f>IFERROR(VLOOKUP(Master8[[#This Row],[Cell_ID]],Registre_Maintenance[],3,FALSE),"")</f>
        <v>-9.8208710000000004</v>
      </c>
      <c r="J282">
        <f>IFERROR(VLOOKUP(Master8[[#This Row],[Cell_ID]],Registre_Maintenance[],4,FALSE),"")</f>
        <v>23.229807000000001</v>
      </c>
      <c r="K282" t="str">
        <f>IFERROR(VLOOKUP(Master8[[#This Row],[Cell_ID]],Registre_Maintenance[],5,FALSE),"")</f>
        <v>5G</v>
      </c>
      <c r="L282" t="str">
        <f>IFERROR(VLOOKUP(Master8[[#This Row],[Cell_ID]],Registre_Maintenance[],6,FALSE),"")</f>
        <v>Nokia</v>
      </c>
      <c r="M282" s="1" t="str">
        <f>VLOOKUP(Master8[[#This Row],[Province_RDC]],Client[],2,FALSE)</f>
        <v>CLI-01233</v>
      </c>
      <c r="N282" s="1">
        <f>VLOOKUP(Master8[[#This Row],[Province_RDC]],Client[],3,FALSE)</f>
        <v>101</v>
      </c>
      <c r="O282" s="1" t="str">
        <f>VLOOKUP(Master8[[#This Row],[Province_RDC]],Client[],4,FALSE)</f>
        <v>Pro Monde</v>
      </c>
      <c r="P282" s="1">
        <f>VLOOKUP(Master8[[#This Row],[Province_RDC]],Client[],5,FALSE)</f>
        <v>333</v>
      </c>
      <c r="Q282" s="1">
        <f>VLOOKUP(Master8[[#This Row],[Province_RDC]],Client[],6,FALSE)</f>
        <v>74.319999999999993</v>
      </c>
      <c r="R282" s="1">
        <f>VLOOKUP(Master8[[#This Row],[Province_RDC]],Client[],7,FALSE)</f>
        <v>1</v>
      </c>
      <c r="S282" s="1" t="str">
        <f>IF(Master8[[#This Row],[Type_Forfait]]="Pro Monde","B2B","B2C")</f>
        <v>B2B</v>
      </c>
      <c r="T282" s="1">
        <f>Master8[[#This Row],[Anciennete_Mois]]/12</f>
        <v>8.4166666666666661</v>
      </c>
      <c r="U282" s="1">
        <f>Master8[[#This Row],[Duree_Cumule_Panne_Min]]/60</f>
        <v>5.55</v>
      </c>
      <c r="V28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2" s="6">
        <f>Master8[[#This Row],[Facture_Mensuelle]]*Master8[[#This Row],[Remise]]</f>
        <v>33.443999999999996</v>
      </c>
    </row>
    <row r="283" spans="1:24" x14ac:dyDescent="0.25">
      <c r="A283" s="1" t="s">
        <v>1345</v>
      </c>
      <c r="B283" t="str">
        <f>IFERROR(VLOOKUP(Master8[[#This Row],[Cell_ID]],Registre_Maintenance[],2,FALSE),"")</f>
        <v>Kongo-Central</v>
      </c>
      <c r="C283" s="1" t="s">
        <v>1272</v>
      </c>
      <c r="D283" s="2">
        <v>45230.039583333331</v>
      </c>
      <c r="E283" s="3">
        <v>45230.039583333331</v>
      </c>
      <c r="F283">
        <v>117</v>
      </c>
      <c r="G283">
        <f>Master8[[#This Row],[Duree_Panne_Min]]/60</f>
        <v>1.95</v>
      </c>
      <c r="H283" s="1" t="s">
        <v>735</v>
      </c>
      <c r="I283">
        <f>IFERROR(VLOOKUP(Master8[[#This Row],[Cell_ID]],Registre_Maintenance[],3,FALSE),"")</f>
        <v>1.981107</v>
      </c>
      <c r="J283">
        <f>IFERROR(VLOOKUP(Master8[[#This Row],[Cell_ID]],Registre_Maintenance[],4,FALSE),"")</f>
        <v>23.932569000000001</v>
      </c>
      <c r="K283" t="str">
        <f>IFERROR(VLOOKUP(Master8[[#This Row],[Cell_ID]],Registre_Maintenance[],5,FALSE),"")</f>
        <v>3G</v>
      </c>
      <c r="L283" t="str">
        <f>IFERROR(VLOOKUP(Master8[[#This Row],[Cell_ID]],Registre_Maintenance[],6,FALSE),"")</f>
        <v>Nokia</v>
      </c>
      <c r="M283" s="1" t="str">
        <f>VLOOKUP(Master8[[#This Row],[Province_RDC]],Client[],2,FALSE)</f>
        <v>CLI-01233</v>
      </c>
      <c r="N283" s="1">
        <f>VLOOKUP(Master8[[#This Row],[Province_RDC]],Client[],3,FALSE)</f>
        <v>101</v>
      </c>
      <c r="O283" s="1" t="str">
        <f>VLOOKUP(Master8[[#This Row],[Province_RDC]],Client[],4,FALSE)</f>
        <v>Pro Monde</v>
      </c>
      <c r="P283" s="1">
        <f>VLOOKUP(Master8[[#This Row],[Province_RDC]],Client[],5,FALSE)</f>
        <v>333</v>
      </c>
      <c r="Q283" s="1">
        <f>VLOOKUP(Master8[[#This Row],[Province_RDC]],Client[],6,FALSE)</f>
        <v>74.319999999999993</v>
      </c>
      <c r="R283" s="1">
        <f>VLOOKUP(Master8[[#This Row],[Province_RDC]],Client[],7,FALSE)</f>
        <v>1</v>
      </c>
      <c r="S283" s="1" t="str">
        <f>IF(Master8[[#This Row],[Type_Forfait]]="Pro Monde","B2B","B2C")</f>
        <v>B2B</v>
      </c>
      <c r="T283" s="1">
        <f>Master8[[#This Row],[Anciennete_Mois]]/12</f>
        <v>8.4166666666666661</v>
      </c>
      <c r="U283" s="1">
        <f>Master8[[#This Row],[Duree_Cumule_Panne_Min]]/60</f>
        <v>5.55</v>
      </c>
      <c r="V28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3" s="6">
        <f>Master8[[#This Row],[Facture_Mensuelle]]*Master8[[#This Row],[Remise]]</f>
        <v>33.443999999999996</v>
      </c>
    </row>
    <row r="284" spans="1:24" x14ac:dyDescent="0.25">
      <c r="A284" s="1" t="s">
        <v>1288</v>
      </c>
      <c r="B284" t="str">
        <f>IFERROR(VLOOKUP(Master8[[#This Row],[Cell_ID]],Registre_Maintenance[],2,FALSE),"")</f>
        <v>Kongo-Central</v>
      </c>
      <c r="C284" s="1" t="s">
        <v>1291</v>
      </c>
      <c r="D284" s="2">
        <v>45225.171527777777</v>
      </c>
      <c r="E284" s="3">
        <v>45225.171527777777</v>
      </c>
      <c r="F284">
        <v>104</v>
      </c>
      <c r="G284">
        <f>Master8[[#This Row],[Duree_Panne_Min]]/60</f>
        <v>1.7333333333333334</v>
      </c>
      <c r="H284" s="1" t="s">
        <v>735</v>
      </c>
      <c r="I284">
        <f>IFERROR(VLOOKUP(Master8[[#This Row],[Cell_ID]],Registre_Maintenance[],3,FALSE),"")</f>
        <v>1.2463919999999999</v>
      </c>
      <c r="J284">
        <f>IFERROR(VLOOKUP(Master8[[#This Row],[Cell_ID]],Registre_Maintenance[],4,FALSE),"")</f>
        <v>13.266916999999999</v>
      </c>
      <c r="K284" t="str">
        <f>IFERROR(VLOOKUP(Master8[[#This Row],[Cell_ID]],Registre_Maintenance[],5,FALSE),"")</f>
        <v>5G</v>
      </c>
      <c r="L284" t="str">
        <f>IFERROR(VLOOKUP(Master8[[#This Row],[Cell_ID]],Registre_Maintenance[],6,FALSE),"")</f>
        <v>Huawei</v>
      </c>
      <c r="M284" s="1" t="str">
        <f>VLOOKUP(Master8[[#This Row],[Province_RDC]],Client[],2,FALSE)</f>
        <v>CLI-01233</v>
      </c>
      <c r="N284" s="1">
        <f>VLOOKUP(Master8[[#This Row],[Province_RDC]],Client[],3,FALSE)</f>
        <v>101</v>
      </c>
      <c r="O284" s="1" t="str">
        <f>VLOOKUP(Master8[[#This Row],[Province_RDC]],Client[],4,FALSE)</f>
        <v>Pro Monde</v>
      </c>
      <c r="P284" s="1">
        <f>VLOOKUP(Master8[[#This Row],[Province_RDC]],Client[],5,FALSE)</f>
        <v>333</v>
      </c>
      <c r="Q284" s="1">
        <f>VLOOKUP(Master8[[#This Row],[Province_RDC]],Client[],6,FALSE)</f>
        <v>74.319999999999993</v>
      </c>
      <c r="R284" s="1">
        <f>VLOOKUP(Master8[[#This Row],[Province_RDC]],Client[],7,FALSE)</f>
        <v>1</v>
      </c>
      <c r="S284" s="1" t="str">
        <f>IF(Master8[[#This Row],[Type_Forfait]]="Pro Monde","B2B","B2C")</f>
        <v>B2B</v>
      </c>
      <c r="T284" s="1">
        <f>Master8[[#This Row],[Anciennete_Mois]]/12</f>
        <v>8.4166666666666661</v>
      </c>
      <c r="U284" s="1">
        <f>Master8[[#This Row],[Duree_Cumule_Panne_Min]]/60</f>
        <v>5.55</v>
      </c>
      <c r="V28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4" s="6">
        <f>Master8[[#This Row],[Facture_Mensuelle]]*Master8[[#This Row],[Remise]]</f>
        <v>33.443999999999996</v>
      </c>
    </row>
    <row r="285" spans="1:24" x14ac:dyDescent="0.25">
      <c r="A285" s="1" t="s">
        <v>939</v>
      </c>
      <c r="B285" t="str">
        <f>IFERROR(VLOOKUP(Master8[[#This Row],[Cell_ID]],Registre_Maintenance[],2,FALSE),"")</f>
        <v>Kongo-Central</v>
      </c>
      <c r="C285" s="1" t="s">
        <v>956</v>
      </c>
      <c r="D285" s="2">
        <v>45222.663194444453</v>
      </c>
      <c r="E285" s="3">
        <v>45222.663194444453</v>
      </c>
      <c r="F285">
        <v>6</v>
      </c>
      <c r="G285">
        <f>Master8[[#This Row],[Duree_Panne_Min]]/60</f>
        <v>0.1</v>
      </c>
      <c r="H285" s="1" t="s">
        <v>737</v>
      </c>
      <c r="I285">
        <f>IFERROR(VLOOKUP(Master8[[#This Row],[Cell_ID]],Registre_Maintenance[],3,FALSE),"")</f>
        <v>2.975352</v>
      </c>
      <c r="J285">
        <f>IFERROR(VLOOKUP(Master8[[#This Row],[Cell_ID]],Registre_Maintenance[],4,FALSE),"")</f>
        <v>22.535886000000001</v>
      </c>
      <c r="K285" t="str">
        <f>IFERROR(VLOOKUP(Master8[[#This Row],[Cell_ID]],Registre_Maintenance[],5,FALSE),"")</f>
        <v>4G</v>
      </c>
      <c r="L285" t="str">
        <f>IFERROR(VLOOKUP(Master8[[#This Row],[Cell_ID]],Registre_Maintenance[],6,FALSE),"")</f>
        <v>Huawei</v>
      </c>
      <c r="M285" s="1" t="str">
        <f>VLOOKUP(Master8[[#This Row],[Province_RDC]],Client[],2,FALSE)</f>
        <v>CLI-01233</v>
      </c>
      <c r="N285" s="1">
        <f>VLOOKUP(Master8[[#This Row],[Province_RDC]],Client[],3,FALSE)</f>
        <v>101</v>
      </c>
      <c r="O285" s="1" t="str">
        <f>VLOOKUP(Master8[[#This Row],[Province_RDC]],Client[],4,FALSE)</f>
        <v>Pro Monde</v>
      </c>
      <c r="P285" s="1">
        <f>VLOOKUP(Master8[[#This Row],[Province_RDC]],Client[],5,FALSE)</f>
        <v>333</v>
      </c>
      <c r="Q285" s="1">
        <f>VLOOKUP(Master8[[#This Row],[Province_RDC]],Client[],6,FALSE)</f>
        <v>74.319999999999993</v>
      </c>
      <c r="R285" s="1">
        <f>VLOOKUP(Master8[[#This Row],[Province_RDC]],Client[],7,FALSE)</f>
        <v>1</v>
      </c>
      <c r="S285" s="1" t="str">
        <f>IF(Master8[[#This Row],[Type_Forfait]]="Pro Monde","B2B","B2C")</f>
        <v>B2B</v>
      </c>
      <c r="T285" s="1">
        <f>Master8[[#This Row],[Anciennete_Mois]]/12</f>
        <v>8.4166666666666661</v>
      </c>
      <c r="U285" s="1">
        <f>Master8[[#This Row],[Duree_Cumule_Panne_Min]]/60</f>
        <v>5.55</v>
      </c>
      <c r="V28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5" s="6">
        <f>Master8[[#This Row],[Facture_Mensuelle]]*Master8[[#This Row],[Remise]]</f>
        <v>33.443999999999996</v>
      </c>
    </row>
    <row r="286" spans="1:24" x14ac:dyDescent="0.25">
      <c r="A286" s="1" t="s">
        <v>1330</v>
      </c>
      <c r="B286" t="str">
        <f>IFERROR(VLOOKUP(Master8[[#This Row],[Cell_ID]],Registre_Maintenance[],2,FALSE),"")</f>
        <v>Kongo-Central</v>
      </c>
      <c r="C286" s="1" t="s">
        <v>1133</v>
      </c>
      <c r="D286" s="2">
        <v>45220.154861111107</v>
      </c>
      <c r="E286" s="3">
        <v>45220.154861111107</v>
      </c>
      <c r="F286">
        <v>53</v>
      </c>
      <c r="G286">
        <f>Master8[[#This Row],[Duree_Panne_Min]]/60</f>
        <v>0.8833333333333333</v>
      </c>
      <c r="H286" s="1" t="s">
        <v>732</v>
      </c>
      <c r="I286">
        <f>IFERROR(VLOOKUP(Master8[[#This Row],[Cell_ID]],Registre_Maintenance[],3,FALSE),"")</f>
        <v>-9.8208710000000004</v>
      </c>
      <c r="J286">
        <f>IFERROR(VLOOKUP(Master8[[#This Row],[Cell_ID]],Registre_Maintenance[],4,FALSE),"")</f>
        <v>23.229807000000001</v>
      </c>
      <c r="K286" t="str">
        <f>IFERROR(VLOOKUP(Master8[[#This Row],[Cell_ID]],Registre_Maintenance[],5,FALSE),"")</f>
        <v>5G</v>
      </c>
      <c r="L286" t="str">
        <f>IFERROR(VLOOKUP(Master8[[#This Row],[Cell_ID]],Registre_Maintenance[],6,FALSE),"")</f>
        <v>Nokia</v>
      </c>
      <c r="M286" s="1" t="str">
        <f>VLOOKUP(Master8[[#This Row],[Province_RDC]],Client[],2,FALSE)</f>
        <v>CLI-01233</v>
      </c>
      <c r="N286" s="1">
        <f>VLOOKUP(Master8[[#This Row],[Province_RDC]],Client[],3,FALSE)</f>
        <v>101</v>
      </c>
      <c r="O286" s="1" t="str">
        <f>VLOOKUP(Master8[[#This Row],[Province_RDC]],Client[],4,FALSE)</f>
        <v>Pro Monde</v>
      </c>
      <c r="P286" s="1">
        <f>VLOOKUP(Master8[[#This Row],[Province_RDC]],Client[],5,FALSE)</f>
        <v>333</v>
      </c>
      <c r="Q286" s="1">
        <f>VLOOKUP(Master8[[#This Row],[Province_RDC]],Client[],6,FALSE)</f>
        <v>74.319999999999993</v>
      </c>
      <c r="R286" s="1">
        <f>VLOOKUP(Master8[[#This Row],[Province_RDC]],Client[],7,FALSE)</f>
        <v>1</v>
      </c>
      <c r="S286" s="1" t="str">
        <f>IF(Master8[[#This Row],[Type_Forfait]]="Pro Monde","B2B","B2C")</f>
        <v>B2B</v>
      </c>
      <c r="T286" s="1">
        <f>Master8[[#This Row],[Anciennete_Mois]]/12</f>
        <v>8.4166666666666661</v>
      </c>
      <c r="U286" s="1">
        <f>Master8[[#This Row],[Duree_Cumule_Panne_Min]]/60</f>
        <v>5.55</v>
      </c>
      <c r="V28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6" s="6">
        <f>Master8[[#This Row],[Facture_Mensuelle]]*Master8[[#This Row],[Remise]]</f>
        <v>33.443999999999996</v>
      </c>
    </row>
    <row r="287" spans="1:24" x14ac:dyDescent="0.25">
      <c r="A287" s="1" t="s">
        <v>1024</v>
      </c>
      <c r="B287" t="str">
        <f>IFERROR(VLOOKUP(Master8[[#This Row],[Cell_ID]],Registre_Maintenance[],2,FALSE),"")</f>
        <v>Kongo-Central</v>
      </c>
      <c r="C287" s="1" t="s">
        <v>1028</v>
      </c>
      <c r="D287" s="2">
        <v>45219.683333333327</v>
      </c>
      <c r="E287" s="3">
        <v>45219.683333333327</v>
      </c>
      <c r="F287">
        <v>99</v>
      </c>
      <c r="G287">
        <f>Master8[[#This Row],[Duree_Panne_Min]]/60</f>
        <v>1.65</v>
      </c>
      <c r="H287" s="1" t="s">
        <v>735</v>
      </c>
      <c r="I287">
        <f>IFERROR(VLOOKUP(Master8[[#This Row],[Cell_ID]],Registre_Maintenance[],3,FALSE),"")</f>
        <v>-9.5840350000000001</v>
      </c>
      <c r="J287">
        <f>IFERROR(VLOOKUP(Master8[[#This Row],[Cell_ID]],Registre_Maintenance[],4,FALSE),"")</f>
        <v>15.966024000000001</v>
      </c>
      <c r="K287" t="str">
        <f>IFERROR(VLOOKUP(Master8[[#This Row],[Cell_ID]],Registre_Maintenance[],5,FALSE),"")</f>
        <v>5G</v>
      </c>
      <c r="L287" t="str">
        <f>IFERROR(VLOOKUP(Master8[[#This Row],[Cell_ID]],Registre_Maintenance[],6,FALSE),"")</f>
        <v>Nokia</v>
      </c>
      <c r="M287" s="1" t="str">
        <f>VLOOKUP(Master8[[#This Row],[Province_RDC]],Client[],2,FALSE)</f>
        <v>CLI-01233</v>
      </c>
      <c r="N287" s="1">
        <f>VLOOKUP(Master8[[#This Row],[Province_RDC]],Client[],3,FALSE)</f>
        <v>101</v>
      </c>
      <c r="O287" s="1" t="str">
        <f>VLOOKUP(Master8[[#This Row],[Province_RDC]],Client[],4,FALSE)</f>
        <v>Pro Monde</v>
      </c>
      <c r="P287" s="1">
        <f>VLOOKUP(Master8[[#This Row],[Province_RDC]],Client[],5,FALSE)</f>
        <v>333</v>
      </c>
      <c r="Q287" s="1">
        <f>VLOOKUP(Master8[[#This Row],[Province_RDC]],Client[],6,FALSE)</f>
        <v>74.319999999999993</v>
      </c>
      <c r="R287" s="1">
        <f>VLOOKUP(Master8[[#This Row],[Province_RDC]],Client[],7,FALSE)</f>
        <v>1</v>
      </c>
      <c r="S287" s="1" t="str">
        <f>IF(Master8[[#This Row],[Type_Forfait]]="Pro Monde","B2B","B2C")</f>
        <v>B2B</v>
      </c>
      <c r="T287" s="1">
        <f>Master8[[#This Row],[Anciennete_Mois]]/12</f>
        <v>8.4166666666666661</v>
      </c>
      <c r="U287" s="1">
        <f>Master8[[#This Row],[Duree_Cumule_Panne_Min]]/60</f>
        <v>5.55</v>
      </c>
      <c r="V28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7" s="6">
        <f>Master8[[#This Row],[Facture_Mensuelle]]*Master8[[#This Row],[Remise]]</f>
        <v>33.443999999999996</v>
      </c>
    </row>
    <row r="288" spans="1:24" x14ac:dyDescent="0.25">
      <c r="A288" s="1" t="s">
        <v>1345</v>
      </c>
      <c r="B288" t="str">
        <f>IFERROR(VLOOKUP(Master8[[#This Row],[Cell_ID]],Registre_Maintenance[],2,FALSE),"")</f>
        <v>Kongo-Central</v>
      </c>
      <c r="C288" s="1" t="s">
        <v>1285</v>
      </c>
      <c r="D288" s="2">
        <v>45219.569444444453</v>
      </c>
      <c r="E288" s="3">
        <v>45219.569444444453</v>
      </c>
      <c r="F288">
        <v>96</v>
      </c>
      <c r="G288">
        <f>Master8[[#This Row],[Duree_Panne_Min]]/60</f>
        <v>1.6</v>
      </c>
      <c r="H288" s="1" t="s">
        <v>732</v>
      </c>
      <c r="I288">
        <f>IFERROR(VLOOKUP(Master8[[#This Row],[Cell_ID]],Registre_Maintenance[],3,FALSE),"")</f>
        <v>-7.1587569999999996</v>
      </c>
      <c r="J288">
        <f>IFERROR(VLOOKUP(Master8[[#This Row],[Cell_ID]],Registre_Maintenance[],4,FALSE),"")</f>
        <v>18.975141000000001</v>
      </c>
      <c r="K288" t="str">
        <f>IFERROR(VLOOKUP(Master8[[#This Row],[Cell_ID]],Registre_Maintenance[],5,FALSE),"")</f>
        <v>5G</v>
      </c>
      <c r="L288" t="str">
        <f>IFERROR(VLOOKUP(Master8[[#This Row],[Cell_ID]],Registre_Maintenance[],6,FALSE),"")</f>
        <v>Ericsson</v>
      </c>
      <c r="M288" s="1" t="str">
        <f>VLOOKUP(Master8[[#This Row],[Province_RDC]],Client[],2,FALSE)</f>
        <v>CLI-01233</v>
      </c>
      <c r="N288" s="1">
        <f>VLOOKUP(Master8[[#This Row],[Province_RDC]],Client[],3,FALSE)</f>
        <v>101</v>
      </c>
      <c r="O288" s="1" t="str">
        <f>VLOOKUP(Master8[[#This Row],[Province_RDC]],Client[],4,FALSE)</f>
        <v>Pro Monde</v>
      </c>
      <c r="P288" s="1">
        <f>VLOOKUP(Master8[[#This Row],[Province_RDC]],Client[],5,FALSE)</f>
        <v>333</v>
      </c>
      <c r="Q288" s="1">
        <f>VLOOKUP(Master8[[#This Row],[Province_RDC]],Client[],6,FALSE)</f>
        <v>74.319999999999993</v>
      </c>
      <c r="R288" s="1">
        <f>VLOOKUP(Master8[[#This Row],[Province_RDC]],Client[],7,FALSE)</f>
        <v>1</v>
      </c>
      <c r="S288" s="1" t="str">
        <f>IF(Master8[[#This Row],[Type_Forfait]]="Pro Monde","B2B","B2C")</f>
        <v>B2B</v>
      </c>
      <c r="T288" s="1">
        <f>Master8[[#This Row],[Anciennete_Mois]]/12</f>
        <v>8.4166666666666661</v>
      </c>
      <c r="U288" s="1">
        <f>Master8[[#This Row],[Duree_Cumule_Panne_Min]]/60</f>
        <v>5.55</v>
      </c>
      <c r="V28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8" s="6">
        <f>Master8[[#This Row],[Facture_Mensuelle]]*Master8[[#This Row],[Remise]]</f>
        <v>33.443999999999996</v>
      </c>
    </row>
    <row r="289" spans="1:24" x14ac:dyDescent="0.25">
      <c r="A289" s="1" t="s">
        <v>1138</v>
      </c>
      <c r="B289" t="str">
        <f>IFERROR(VLOOKUP(Master8[[#This Row],[Cell_ID]],Registre_Maintenance[],2,FALSE),"")</f>
        <v>Kongo-Central</v>
      </c>
      <c r="C289" s="1" t="s">
        <v>739</v>
      </c>
      <c r="D289" s="2">
        <v>45219.476388888892</v>
      </c>
      <c r="E289" s="3">
        <v>45219.476388888892</v>
      </c>
      <c r="F289">
        <v>57</v>
      </c>
      <c r="G289">
        <f>Master8[[#This Row],[Duree_Panne_Min]]/60</f>
        <v>0.95</v>
      </c>
      <c r="H289" s="1" t="s">
        <v>732</v>
      </c>
      <c r="I289">
        <f>IFERROR(VLOOKUP(Master8[[#This Row],[Cell_ID]],Registre_Maintenance[],3,FALSE),"")</f>
        <v>-2.8211520000000001</v>
      </c>
      <c r="J289">
        <f>IFERROR(VLOOKUP(Master8[[#This Row],[Cell_ID]],Registre_Maintenance[],4,FALSE),"")</f>
        <v>20.651419000000001</v>
      </c>
      <c r="K289" t="str">
        <f>IFERROR(VLOOKUP(Master8[[#This Row],[Cell_ID]],Registre_Maintenance[],5,FALSE),"")</f>
        <v>5G</v>
      </c>
      <c r="L289" t="str">
        <f>IFERROR(VLOOKUP(Master8[[#This Row],[Cell_ID]],Registre_Maintenance[],6,FALSE),"")</f>
        <v>Ericsson</v>
      </c>
      <c r="M289" s="1" t="str">
        <f>VLOOKUP(Master8[[#This Row],[Province_RDC]],Client[],2,FALSE)</f>
        <v>CLI-01233</v>
      </c>
      <c r="N289" s="1">
        <f>VLOOKUP(Master8[[#This Row],[Province_RDC]],Client[],3,FALSE)</f>
        <v>101</v>
      </c>
      <c r="O289" s="1" t="str">
        <f>VLOOKUP(Master8[[#This Row],[Province_RDC]],Client[],4,FALSE)</f>
        <v>Pro Monde</v>
      </c>
      <c r="P289" s="1">
        <f>VLOOKUP(Master8[[#This Row],[Province_RDC]],Client[],5,FALSE)</f>
        <v>333</v>
      </c>
      <c r="Q289" s="1">
        <f>VLOOKUP(Master8[[#This Row],[Province_RDC]],Client[],6,FALSE)</f>
        <v>74.319999999999993</v>
      </c>
      <c r="R289" s="1">
        <f>VLOOKUP(Master8[[#This Row],[Province_RDC]],Client[],7,FALSE)</f>
        <v>1</v>
      </c>
      <c r="S289" s="1" t="str">
        <f>IF(Master8[[#This Row],[Type_Forfait]]="Pro Monde","B2B","B2C")</f>
        <v>B2B</v>
      </c>
      <c r="T289" s="1">
        <f>Master8[[#This Row],[Anciennete_Mois]]/12</f>
        <v>8.4166666666666661</v>
      </c>
      <c r="U289" s="1">
        <f>Master8[[#This Row],[Duree_Cumule_Panne_Min]]/60</f>
        <v>5.55</v>
      </c>
      <c r="V28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8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89" s="6">
        <f>Master8[[#This Row],[Facture_Mensuelle]]*Master8[[#This Row],[Remise]]</f>
        <v>33.443999999999996</v>
      </c>
    </row>
    <row r="290" spans="1:24" x14ac:dyDescent="0.25">
      <c r="A290" s="1" t="s">
        <v>1345</v>
      </c>
      <c r="B290" t="str">
        <f>IFERROR(VLOOKUP(Master8[[#This Row],[Cell_ID]],Registre_Maintenance[],2,FALSE),"")</f>
        <v>Kongo-Central</v>
      </c>
      <c r="C290" s="1" t="s">
        <v>739</v>
      </c>
      <c r="D290" s="2">
        <v>45218.381944444453</v>
      </c>
      <c r="E290" s="3">
        <v>45218.381944444453</v>
      </c>
      <c r="F290">
        <v>81</v>
      </c>
      <c r="G290">
        <f>Master8[[#This Row],[Duree_Panne_Min]]/60</f>
        <v>1.35</v>
      </c>
      <c r="H290" s="1" t="s">
        <v>735</v>
      </c>
      <c r="I290">
        <f>IFERROR(VLOOKUP(Master8[[#This Row],[Cell_ID]],Registre_Maintenance[],3,FALSE),"")</f>
        <v>-2.8211520000000001</v>
      </c>
      <c r="J290">
        <f>IFERROR(VLOOKUP(Master8[[#This Row],[Cell_ID]],Registre_Maintenance[],4,FALSE),"")</f>
        <v>20.651419000000001</v>
      </c>
      <c r="K290" t="str">
        <f>IFERROR(VLOOKUP(Master8[[#This Row],[Cell_ID]],Registre_Maintenance[],5,FALSE),"")</f>
        <v>5G</v>
      </c>
      <c r="L290" t="str">
        <f>IFERROR(VLOOKUP(Master8[[#This Row],[Cell_ID]],Registre_Maintenance[],6,FALSE),"")</f>
        <v>Ericsson</v>
      </c>
      <c r="M290" s="1" t="str">
        <f>VLOOKUP(Master8[[#This Row],[Province_RDC]],Client[],2,FALSE)</f>
        <v>CLI-01233</v>
      </c>
      <c r="N290" s="1">
        <f>VLOOKUP(Master8[[#This Row],[Province_RDC]],Client[],3,FALSE)</f>
        <v>101</v>
      </c>
      <c r="O290" s="1" t="str">
        <f>VLOOKUP(Master8[[#This Row],[Province_RDC]],Client[],4,FALSE)</f>
        <v>Pro Monde</v>
      </c>
      <c r="P290" s="1">
        <f>VLOOKUP(Master8[[#This Row],[Province_RDC]],Client[],5,FALSE)</f>
        <v>333</v>
      </c>
      <c r="Q290" s="1">
        <f>VLOOKUP(Master8[[#This Row],[Province_RDC]],Client[],6,FALSE)</f>
        <v>74.319999999999993</v>
      </c>
      <c r="R290" s="1">
        <f>VLOOKUP(Master8[[#This Row],[Province_RDC]],Client[],7,FALSE)</f>
        <v>1</v>
      </c>
      <c r="S290" s="1" t="str">
        <f>IF(Master8[[#This Row],[Type_Forfait]]="Pro Monde","B2B","B2C")</f>
        <v>B2B</v>
      </c>
      <c r="T290" s="1">
        <f>Master8[[#This Row],[Anciennete_Mois]]/12</f>
        <v>8.4166666666666661</v>
      </c>
      <c r="U290" s="1">
        <f>Master8[[#This Row],[Duree_Cumule_Panne_Min]]/60</f>
        <v>5.55</v>
      </c>
      <c r="V29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0" s="6">
        <f>Master8[[#This Row],[Facture_Mensuelle]]*Master8[[#This Row],[Remise]]</f>
        <v>33.443999999999996</v>
      </c>
    </row>
    <row r="291" spans="1:24" x14ac:dyDescent="0.25">
      <c r="A291" s="1" t="s">
        <v>1330</v>
      </c>
      <c r="B291" t="str">
        <f>IFERROR(VLOOKUP(Master8[[#This Row],[Cell_ID]],Registre_Maintenance[],2,FALSE),"")</f>
        <v>Kongo-Central</v>
      </c>
      <c r="C291" s="1" t="s">
        <v>975</v>
      </c>
      <c r="D291" s="2">
        <v>45215.704861111109</v>
      </c>
      <c r="E291" s="3">
        <v>45215.704861111109</v>
      </c>
      <c r="F291">
        <v>107</v>
      </c>
      <c r="G291">
        <f>Master8[[#This Row],[Duree_Panne_Min]]/60</f>
        <v>1.7833333333333334</v>
      </c>
      <c r="H291" s="1" t="s">
        <v>732</v>
      </c>
      <c r="I291">
        <f>IFERROR(VLOOKUP(Master8[[#This Row],[Cell_ID]],Registre_Maintenance[],3,FALSE),"")</f>
        <v>-12.564277000000001</v>
      </c>
      <c r="J291">
        <f>IFERROR(VLOOKUP(Master8[[#This Row],[Cell_ID]],Registre_Maintenance[],4,FALSE),"")</f>
        <v>28.480798</v>
      </c>
      <c r="K291" t="str">
        <f>IFERROR(VLOOKUP(Master8[[#This Row],[Cell_ID]],Registre_Maintenance[],5,FALSE),"")</f>
        <v>5G</v>
      </c>
      <c r="L291" t="str">
        <f>IFERROR(VLOOKUP(Master8[[#This Row],[Cell_ID]],Registre_Maintenance[],6,FALSE),"")</f>
        <v>ZTE</v>
      </c>
      <c r="M291" s="1" t="str">
        <f>VLOOKUP(Master8[[#This Row],[Province_RDC]],Client[],2,FALSE)</f>
        <v>CLI-01233</v>
      </c>
      <c r="N291" s="1">
        <f>VLOOKUP(Master8[[#This Row],[Province_RDC]],Client[],3,FALSE)</f>
        <v>101</v>
      </c>
      <c r="O291" s="1" t="str">
        <f>VLOOKUP(Master8[[#This Row],[Province_RDC]],Client[],4,FALSE)</f>
        <v>Pro Monde</v>
      </c>
      <c r="P291" s="1">
        <f>VLOOKUP(Master8[[#This Row],[Province_RDC]],Client[],5,FALSE)</f>
        <v>333</v>
      </c>
      <c r="Q291" s="1">
        <f>VLOOKUP(Master8[[#This Row],[Province_RDC]],Client[],6,FALSE)</f>
        <v>74.319999999999993</v>
      </c>
      <c r="R291" s="1">
        <f>VLOOKUP(Master8[[#This Row],[Province_RDC]],Client[],7,FALSE)</f>
        <v>1</v>
      </c>
      <c r="S291" s="1" t="str">
        <f>IF(Master8[[#This Row],[Type_Forfait]]="Pro Monde","B2B","B2C")</f>
        <v>B2B</v>
      </c>
      <c r="T291" s="1">
        <f>Master8[[#This Row],[Anciennete_Mois]]/12</f>
        <v>8.4166666666666661</v>
      </c>
      <c r="U291" s="1">
        <f>Master8[[#This Row],[Duree_Cumule_Panne_Min]]/60</f>
        <v>5.55</v>
      </c>
      <c r="V29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1" s="6">
        <f>Master8[[#This Row],[Facture_Mensuelle]]*Master8[[#This Row],[Remise]]</f>
        <v>33.443999999999996</v>
      </c>
    </row>
    <row r="292" spans="1:24" x14ac:dyDescent="0.25">
      <c r="A292" s="1" t="s">
        <v>1165</v>
      </c>
      <c r="B292" t="str">
        <f>IFERROR(VLOOKUP(Master8[[#This Row],[Cell_ID]],Registre_Maintenance[],2,FALSE),"")</f>
        <v>Kongo-Central</v>
      </c>
      <c r="C292" s="1" t="s">
        <v>1178</v>
      </c>
      <c r="D292" s="2">
        <v>45215.288194444453</v>
      </c>
      <c r="E292" s="3">
        <v>45215.288194444453</v>
      </c>
      <c r="F292">
        <v>109</v>
      </c>
      <c r="G292">
        <f>Master8[[#This Row],[Duree_Panne_Min]]/60</f>
        <v>1.8166666666666667</v>
      </c>
      <c r="H292" s="1" t="s">
        <v>732</v>
      </c>
      <c r="I292">
        <f>IFERROR(VLOOKUP(Master8[[#This Row],[Cell_ID]],Registre_Maintenance[],3,FALSE),"")</f>
        <v>-11.157245</v>
      </c>
      <c r="J292">
        <f>IFERROR(VLOOKUP(Master8[[#This Row],[Cell_ID]],Registre_Maintenance[],4,FALSE),"")</f>
        <v>21.262627999999999</v>
      </c>
      <c r="K292" t="str">
        <f>IFERROR(VLOOKUP(Master8[[#This Row],[Cell_ID]],Registre_Maintenance[],5,FALSE),"")</f>
        <v>5G</v>
      </c>
      <c r="L292" t="str">
        <f>IFERROR(VLOOKUP(Master8[[#This Row],[Cell_ID]],Registre_Maintenance[],6,FALSE),"")</f>
        <v>ZTE</v>
      </c>
      <c r="M292" s="1" t="str">
        <f>VLOOKUP(Master8[[#This Row],[Province_RDC]],Client[],2,FALSE)</f>
        <v>CLI-01233</v>
      </c>
      <c r="N292" s="1">
        <f>VLOOKUP(Master8[[#This Row],[Province_RDC]],Client[],3,FALSE)</f>
        <v>101</v>
      </c>
      <c r="O292" s="1" t="str">
        <f>VLOOKUP(Master8[[#This Row],[Province_RDC]],Client[],4,FALSE)</f>
        <v>Pro Monde</v>
      </c>
      <c r="P292" s="1">
        <f>VLOOKUP(Master8[[#This Row],[Province_RDC]],Client[],5,FALSE)</f>
        <v>333</v>
      </c>
      <c r="Q292" s="1">
        <f>VLOOKUP(Master8[[#This Row],[Province_RDC]],Client[],6,FALSE)</f>
        <v>74.319999999999993</v>
      </c>
      <c r="R292" s="1">
        <f>VLOOKUP(Master8[[#This Row],[Province_RDC]],Client[],7,FALSE)</f>
        <v>1</v>
      </c>
      <c r="S292" s="1" t="str">
        <f>IF(Master8[[#This Row],[Type_Forfait]]="Pro Monde","B2B","B2C")</f>
        <v>B2B</v>
      </c>
      <c r="T292" s="1">
        <f>Master8[[#This Row],[Anciennete_Mois]]/12</f>
        <v>8.4166666666666661</v>
      </c>
      <c r="U292" s="1">
        <f>Master8[[#This Row],[Duree_Cumule_Panne_Min]]/60</f>
        <v>5.55</v>
      </c>
      <c r="V29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2" s="6">
        <f>Master8[[#This Row],[Facture_Mensuelle]]*Master8[[#This Row],[Remise]]</f>
        <v>33.443999999999996</v>
      </c>
    </row>
    <row r="293" spans="1:24" x14ac:dyDescent="0.25">
      <c r="A293" s="1" t="s">
        <v>730</v>
      </c>
      <c r="B293" t="str">
        <f>IFERROR(VLOOKUP(Master8[[#This Row],[Cell_ID]],Registre_Maintenance[],2,FALSE),"")</f>
        <v>Kongo-Central</v>
      </c>
      <c r="C293" s="1" t="s">
        <v>739</v>
      </c>
      <c r="D293" s="2">
        <v>45213.042361111111</v>
      </c>
      <c r="E293" s="3">
        <v>45213.042361111111</v>
      </c>
      <c r="F293">
        <v>119</v>
      </c>
      <c r="G293">
        <f>Master8[[#This Row],[Duree_Panne_Min]]/60</f>
        <v>1.9833333333333334</v>
      </c>
      <c r="H293" s="1" t="s">
        <v>735</v>
      </c>
      <c r="I293">
        <f>IFERROR(VLOOKUP(Master8[[#This Row],[Cell_ID]],Registre_Maintenance[],3,FALSE),"")</f>
        <v>-2.8211520000000001</v>
      </c>
      <c r="J293">
        <f>IFERROR(VLOOKUP(Master8[[#This Row],[Cell_ID]],Registre_Maintenance[],4,FALSE),"")</f>
        <v>20.651419000000001</v>
      </c>
      <c r="K293" t="str">
        <f>IFERROR(VLOOKUP(Master8[[#This Row],[Cell_ID]],Registre_Maintenance[],5,FALSE),"")</f>
        <v>5G</v>
      </c>
      <c r="L293" t="str">
        <f>IFERROR(VLOOKUP(Master8[[#This Row],[Cell_ID]],Registre_Maintenance[],6,FALSE),"")</f>
        <v>Ericsson</v>
      </c>
      <c r="M293" s="1" t="str">
        <f>VLOOKUP(Master8[[#This Row],[Province_RDC]],Client[],2,FALSE)</f>
        <v>CLI-01233</v>
      </c>
      <c r="N293" s="1">
        <f>VLOOKUP(Master8[[#This Row],[Province_RDC]],Client[],3,FALSE)</f>
        <v>101</v>
      </c>
      <c r="O293" s="1" t="str">
        <f>VLOOKUP(Master8[[#This Row],[Province_RDC]],Client[],4,FALSE)</f>
        <v>Pro Monde</v>
      </c>
      <c r="P293" s="1">
        <f>VLOOKUP(Master8[[#This Row],[Province_RDC]],Client[],5,FALSE)</f>
        <v>333</v>
      </c>
      <c r="Q293" s="1">
        <f>VLOOKUP(Master8[[#This Row],[Province_RDC]],Client[],6,FALSE)</f>
        <v>74.319999999999993</v>
      </c>
      <c r="R293" s="1">
        <f>VLOOKUP(Master8[[#This Row],[Province_RDC]],Client[],7,FALSE)</f>
        <v>1</v>
      </c>
      <c r="S293" s="1" t="str">
        <f>IF(Master8[[#This Row],[Type_Forfait]]="Pro Monde","B2B","B2C")</f>
        <v>B2B</v>
      </c>
      <c r="T293" s="1">
        <f>Master8[[#This Row],[Anciennete_Mois]]/12</f>
        <v>8.4166666666666661</v>
      </c>
      <c r="U293" s="1">
        <f>Master8[[#This Row],[Duree_Cumule_Panne_Min]]/60</f>
        <v>5.55</v>
      </c>
      <c r="V29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3" s="6">
        <f>Master8[[#This Row],[Facture_Mensuelle]]*Master8[[#This Row],[Remise]]</f>
        <v>33.443999999999996</v>
      </c>
    </row>
    <row r="294" spans="1:24" x14ac:dyDescent="0.25">
      <c r="A294" s="1" t="s">
        <v>823</v>
      </c>
      <c r="B294" t="str">
        <f>IFERROR(VLOOKUP(Master8[[#This Row],[Cell_ID]],Registre_Maintenance[],2,FALSE),"")</f>
        <v>Kongo-Central</v>
      </c>
      <c r="C294" s="1" t="s">
        <v>739</v>
      </c>
      <c r="D294" s="2">
        <v>45213.022916666669</v>
      </c>
      <c r="E294" s="3">
        <v>45213.022916666669</v>
      </c>
      <c r="F294">
        <v>56</v>
      </c>
      <c r="G294">
        <f>Master8[[#This Row],[Duree_Panne_Min]]/60</f>
        <v>0.93333333333333335</v>
      </c>
      <c r="H294" s="1" t="s">
        <v>737</v>
      </c>
      <c r="I294">
        <f>IFERROR(VLOOKUP(Master8[[#This Row],[Cell_ID]],Registre_Maintenance[],3,FALSE),"")</f>
        <v>-2.8211520000000001</v>
      </c>
      <c r="J294">
        <f>IFERROR(VLOOKUP(Master8[[#This Row],[Cell_ID]],Registre_Maintenance[],4,FALSE),"")</f>
        <v>20.651419000000001</v>
      </c>
      <c r="K294" t="str">
        <f>IFERROR(VLOOKUP(Master8[[#This Row],[Cell_ID]],Registre_Maintenance[],5,FALSE),"")</f>
        <v>5G</v>
      </c>
      <c r="L294" t="str">
        <f>IFERROR(VLOOKUP(Master8[[#This Row],[Cell_ID]],Registre_Maintenance[],6,FALSE),"")</f>
        <v>Ericsson</v>
      </c>
      <c r="M294" s="1" t="str">
        <f>VLOOKUP(Master8[[#This Row],[Province_RDC]],Client[],2,FALSE)</f>
        <v>CLI-01233</v>
      </c>
      <c r="N294" s="1">
        <f>VLOOKUP(Master8[[#This Row],[Province_RDC]],Client[],3,FALSE)</f>
        <v>101</v>
      </c>
      <c r="O294" s="1" t="str">
        <f>VLOOKUP(Master8[[#This Row],[Province_RDC]],Client[],4,FALSE)</f>
        <v>Pro Monde</v>
      </c>
      <c r="P294" s="1">
        <f>VLOOKUP(Master8[[#This Row],[Province_RDC]],Client[],5,FALSE)</f>
        <v>333</v>
      </c>
      <c r="Q294" s="1">
        <f>VLOOKUP(Master8[[#This Row],[Province_RDC]],Client[],6,FALSE)</f>
        <v>74.319999999999993</v>
      </c>
      <c r="R294" s="1">
        <f>VLOOKUP(Master8[[#This Row],[Province_RDC]],Client[],7,FALSE)</f>
        <v>1</v>
      </c>
      <c r="S294" s="1" t="str">
        <f>IF(Master8[[#This Row],[Type_Forfait]]="Pro Monde","B2B","B2C")</f>
        <v>B2B</v>
      </c>
      <c r="T294" s="1">
        <f>Master8[[#This Row],[Anciennete_Mois]]/12</f>
        <v>8.4166666666666661</v>
      </c>
      <c r="U294" s="1">
        <f>Master8[[#This Row],[Duree_Cumule_Panne_Min]]/60</f>
        <v>5.55</v>
      </c>
      <c r="V29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4" s="6">
        <f>Master8[[#This Row],[Facture_Mensuelle]]*Master8[[#This Row],[Remise]]</f>
        <v>33.443999999999996</v>
      </c>
    </row>
    <row r="295" spans="1:24" x14ac:dyDescent="0.25">
      <c r="A295" s="1" t="s">
        <v>861</v>
      </c>
      <c r="B295" t="str">
        <f>IFERROR(VLOOKUP(Master8[[#This Row],[Cell_ID]],Registre_Maintenance[],2,FALSE),"")</f>
        <v>Kongo-Central</v>
      </c>
      <c r="C295" s="1" t="s">
        <v>864</v>
      </c>
      <c r="D295" s="2">
        <v>45212.965277777781</v>
      </c>
      <c r="E295" s="3">
        <v>45212.965277777781</v>
      </c>
      <c r="F295">
        <v>27</v>
      </c>
      <c r="G295">
        <f>Master8[[#This Row],[Duree_Panne_Min]]/60</f>
        <v>0.45</v>
      </c>
      <c r="H295" s="1" t="s">
        <v>737</v>
      </c>
      <c r="I295">
        <f>IFERROR(VLOOKUP(Master8[[#This Row],[Cell_ID]],Registre_Maintenance[],3,FALSE),"")</f>
        <v>0.79124300000000003</v>
      </c>
      <c r="J295">
        <f>IFERROR(VLOOKUP(Master8[[#This Row],[Cell_ID]],Registre_Maintenance[],4,FALSE),"")</f>
        <v>25.273389000000002</v>
      </c>
      <c r="K295" t="str">
        <f>IFERROR(VLOOKUP(Master8[[#This Row],[Cell_ID]],Registre_Maintenance[],5,FALSE),"")</f>
        <v>4G</v>
      </c>
      <c r="L295" t="str">
        <f>IFERROR(VLOOKUP(Master8[[#This Row],[Cell_ID]],Registre_Maintenance[],6,FALSE),"")</f>
        <v>Nokia</v>
      </c>
      <c r="M295" s="1" t="str">
        <f>VLOOKUP(Master8[[#This Row],[Province_RDC]],Client[],2,FALSE)</f>
        <v>CLI-01233</v>
      </c>
      <c r="N295" s="1">
        <f>VLOOKUP(Master8[[#This Row],[Province_RDC]],Client[],3,FALSE)</f>
        <v>101</v>
      </c>
      <c r="O295" s="1" t="str">
        <f>VLOOKUP(Master8[[#This Row],[Province_RDC]],Client[],4,FALSE)</f>
        <v>Pro Monde</v>
      </c>
      <c r="P295" s="1">
        <f>VLOOKUP(Master8[[#This Row],[Province_RDC]],Client[],5,FALSE)</f>
        <v>333</v>
      </c>
      <c r="Q295" s="1">
        <f>VLOOKUP(Master8[[#This Row],[Province_RDC]],Client[],6,FALSE)</f>
        <v>74.319999999999993</v>
      </c>
      <c r="R295" s="1">
        <f>VLOOKUP(Master8[[#This Row],[Province_RDC]],Client[],7,FALSE)</f>
        <v>1</v>
      </c>
      <c r="S295" s="1" t="str">
        <f>IF(Master8[[#This Row],[Type_Forfait]]="Pro Monde","B2B","B2C")</f>
        <v>B2B</v>
      </c>
      <c r="T295" s="1">
        <f>Master8[[#This Row],[Anciennete_Mois]]/12</f>
        <v>8.4166666666666661</v>
      </c>
      <c r="U295" s="1">
        <f>Master8[[#This Row],[Duree_Cumule_Panne_Min]]/60</f>
        <v>5.55</v>
      </c>
      <c r="V29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5" s="6">
        <f>Master8[[#This Row],[Facture_Mensuelle]]*Master8[[#This Row],[Remise]]</f>
        <v>33.443999999999996</v>
      </c>
    </row>
    <row r="296" spans="1:24" x14ac:dyDescent="0.25">
      <c r="A296" s="1" t="s">
        <v>1261</v>
      </c>
      <c r="B296" t="str">
        <f>IFERROR(VLOOKUP(Master8[[#This Row],[Cell_ID]],Registre_Maintenance[],2,FALSE),"")</f>
        <v>Kongo-Central</v>
      </c>
      <c r="C296" s="1" t="s">
        <v>1285</v>
      </c>
      <c r="D296" s="2">
        <v>45207.668055555558</v>
      </c>
      <c r="E296" s="3">
        <v>45207.668055555558</v>
      </c>
      <c r="F296">
        <v>113</v>
      </c>
      <c r="G296">
        <f>Master8[[#This Row],[Duree_Panne_Min]]/60</f>
        <v>1.8833333333333333</v>
      </c>
      <c r="H296" s="1" t="s">
        <v>732</v>
      </c>
      <c r="I296">
        <f>IFERROR(VLOOKUP(Master8[[#This Row],[Cell_ID]],Registre_Maintenance[],3,FALSE),"")</f>
        <v>-7.1587569999999996</v>
      </c>
      <c r="J296">
        <f>IFERROR(VLOOKUP(Master8[[#This Row],[Cell_ID]],Registre_Maintenance[],4,FALSE),"")</f>
        <v>18.975141000000001</v>
      </c>
      <c r="K296" t="str">
        <f>IFERROR(VLOOKUP(Master8[[#This Row],[Cell_ID]],Registre_Maintenance[],5,FALSE),"")</f>
        <v>5G</v>
      </c>
      <c r="L296" t="str">
        <f>IFERROR(VLOOKUP(Master8[[#This Row],[Cell_ID]],Registre_Maintenance[],6,FALSE),"")</f>
        <v>Ericsson</v>
      </c>
      <c r="M296" s="1" t="str">
        <f>VLOOKUP(Master8[[#This Row],[Province_RDC]],Client[],2,FALSE)</f>
        <v>CLI-01233</v>
      </c>
      <c r="N296" s="1">
        <f>VLOOKUP(Master8[[#This Row],[Province_RDC]],Client[],3,FALSE)</f>
        <v>101</v>
      </c>
      <c r="O296" s="1" t="str">
        <f>VLOOKUP(Master8[[#This Row],[Province_RDC]],Client[],4,FALSE)</f>
        <v>Pro Monde</v>
      </c>
      <c r="P296" s="1">
        <f>VLOOKUP(Master8[[#This Row],[Province_RDC]],Client[],5,FALSE)</f>
        <v>333</v>
      </c>
      <c r="Q296" s="1">
        <f>VLOOKUP(Master8[[#This Row],[Province_RDC]],Client[],6,FALSE)</f>
        <v>74.319999999999993</v>
      </c>
      <c r="R296" s="1">
        <f>VLOOKUP(Master8[[#This Row],[Province_RDC]],Client[],7,FALSE)</f>
        <v>1</v>
      </c>
      <c r="S296" s="1" t="str">
        <f>IF(Master8[[#This Row],[Type_Forfait]]="Pro Monde","B2B","B2C")</f>
        <v>B2B</v>
      </c>
      <c r="T296" s="1">
        <f>Master8[[#This Row],[Anciennete_Mois]]/12</f>
        <v>8.4166666666666661</v>
      </c>
      <c r="U296" s="1">
        <f>Master8[[#This Row],[Duree_Cumule_Panne_Min]]/60</f>
        <v>5.55</v>
      </c>
      <c r="V29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6" s="6">
        <f>Master8[[#This Row],[Facture_Mensuelle]]*Master8[[#This Row],[Remise]]</f>
        <v>33.443999999999996</v>
      </c>
    </row>
    <row r="297" spans="1:24" x14ac:dyDescent="0.25">
      <c r="A297" s="1" t="s">
        <v>1330</v>
      </c>
      <c r="B297" t="str">
        <f>IFERROR(VLOOKUP(Master8[[#This Row],[Cell_ID]],Registre_Maintenance[],2,FALSE),"")</f>
        <v>Kongo-Central</v>
      </c>
      <c r="C297" s="1" t="s">
        <v>1285</v>
      </c>
      <c r="D297" s="2">
        <v>45207.074305555558</v>
      </c>
      <c r="E297" s="3">
        <v>45207.074305555558</v>
      </c>
      <c r="F297">
        <v>57</v>
      </c>
      <c r="G297">
        <f>Master8[[#This Row],[Duree_Panne_Min]]/60</f>
        <v>0.95</v>
      </c>
      <c r="H297" s="1" t="s">
        <v>732</v>
      </c>
      <c r="I297">
        <f>IFERROR(VLOOKUP(Master8[[#This Row],[Cell_ID]],Registre_Maintenance[],3,FALSE),"")</f>
        <v>-7.1587569999999996</v>
      </c>
      <c r="J297">
        <f>IFERROR(VLOOKUP(Master8[[#This Row],[Cell_ID]],Registre_Maintenance[],4,FALSE),"")</f>
        <v>18.975141000000001</v>
      </c>
      <c r="K297" t="str">
        <f>IFERROR(VLOOKUP(Master8[[#This Row],[Cell_ID]],Registre_Maintenance[],5,FALSE),"")</f>
        <v>5G</v>
      </c>
      <c r="L297" t="str">
        <f>IFERROR(VLOOKUP(Master8[[#This Row],[Cell_ID]],Registre_Maintenance[],6,FALSE),"")</f>
        <v>Ericsson</v>
      </c>
      <c r="M297" s="1" t="str">
        <f>VLOOKUP(Master8[[#This Row],[Province_RDC]],Client[],2,FALSE)</f>
        <v>CLI-01233</v>
      </c>
      <c r="N297" s="1">
        <f>VLOOKUP(Master8[[#This Row],[Province_RDC]],Client[],3,FALSE)</f>
        <v>101</v>
      </c>
      <c r="O297" s="1" t="str">
        <f>VLOOKUP(Master8[[#This Row],[Province_RDC]],Client[],4,FALSE)</f>
        <v>Pro Monde</v>
      </c>
      <c r="P297" s="1">
        <f>VLOOKUP(Master8[[#This Row],[Province_RDC]],Client[],5,FALSE)</f>
        <v>333</v>
      </c>
      <c r="Q297" s="1">
        <f>VLOOKUP(Master8[[#This Row],[Province_RDC]],Client[],6,FALSE)</f>
        <v>74.319999999999993</v>
      </c>
      <c r="R297" s="1">
        <f>VLOOKUP(Master8[[#This Row],[Province_RDC]],Client[],7,FALSE)</f>
        <v>1</v>
      </c>
      <c r="S297" s="1" t="str">
        <f>IF(Master8[[#This Row],[Type_Forfait]]="Pro Monde","B2B","B2C")</f>
        <v>B2B</v>
      </c>
      <c r="T297" s="1">
        <f>Master8[[#This Row],[Anciennete_Mois]]/12</f>
        <v>8.4166666666666661</v>
      </c>
      <c r="U297" s="1">
        <f>Master8[[#This Row],[Duree_Cumule_Panne_Min]]/60</f>
        <v>5.55</v>
      </c>
      <c r="V29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7" s="6">
        <f>Master8[[#This Row],[Facture_Mensuelle]]*Master8[[#This Row],[Remise]]</f>
        <v>33.443999999999996</v>
      </c>
    </row>
    <row r="298" spans="1:24" x14ac:dyDescent="0.25">
      <c r="A298" s="1" t="s">
        <v>1288</v>
      </c>
      <c r="B298" t="str">
        <f>IFERROR(VLOOKUP(Master8[[#This Row],[Cell_ID]],Registre_Maintenance[],2,FALSE),"")</f>
        <v>Kongo-Central</v>
      </c>
      <c r="C298" s="1" t="s">
        <v>1297</v>
      </c>
      <c r="D298" s="2">
        <v>45205.768750000003</v>
      </c>
      <c r="E298" s="3">
        <v>45205.768750000003</v>
      </c>
      <c r="F298">
        <v>36</v>
      </c>
      <c r="G298">
        <f>Master8[[#This Row],[Duree_Panne_Min]]/60</f>
        <v>0.6</v>
      </c>
      <c r="H298" s="1" t="s">
        <v>732</v>
      </c>
      <c r="I298">
        <f>IFERROR(VLOOKUP(Master8[[#This Row],[Cell_ID]],Registre_Maintenance[],3,FALSE),"")</f>
        <v>-0.469945</v>
      </c>
      <c r="J298">
        <f>IFERROR(VLOOKUP(Master8[[#This Row],[Cell_ID]],Registre_Maintenance[],4,FALSE),"")</f>
        <v>21.038527999999999</v>
      </c>
      <c r="K298" t="str">
        <f>IFERROR(VLOOKUP(Master8[[#This Row],[Cell_ID]],Registre_Maintenance[],5,FALSE),"")</f>
        <v>3G</v>
      </c>
      <c r="L298" t="str">
        <f>IFERROR(VLOOKUP(Master8[[#This Row],[Cell_ID]],Registre_Maintenance[],6,FALSE),"")</f>
        <v>Ericsson</v>
      </c>
      <c r="M298" s="1" t="str">
        <f>VLOOKUP(Master8[[#This Row],[Province_RDC]],Client[],2,FALSE)</f>
        <v>CLI-01233</v>
      </c>
      <c r="N298" s="1">
        <f>VLOOKUP(Master8[[#This Row],[Province_RDC]],Client[],3,FALSE)</f>
        <v>101</v>
      </c>
      <c r="O298" s="1" t="str">
        <f>VLOOKUP(Master8[[#This Row],[Province_RDC]],Client[],4,FALSE)</f>
        <v>Pro Monde</v>
      </c>
      <c r="P298" s="1">
        <f>VLOOKUP(Master8[[#This Row],[Province_RDC]],Client[],5,FALSE)</f>
        <v>333</v>
      </c>
      <c r="Q298" s="1">
        <f>VLOOKUP(Master8[[#This Row],[Province_RDC]],Client[],6,FALSE)</f>
        <v>74.319999999999993</v>
      </c>
      <c r="R298" s="1">
        <f>VLOOKUP(Master8[[#This Row],[Province_RDC]],Client[],7,FALSE)</f>
        <v>1</v>
      </c>
      <c r="S298" s="1" t="str">
        <f>IF(Master8[[#This Row],[Type_Forfait]]="Pro Monde","B2B","B2C")</f>
        <v>B2B</v>
      </c>
      <c r="T298" s="1">
        <f>Master8[[#This Row],[Anciennete_Mois]]/12</f>
        <v>8.4166666666666661</v>
      </c>
      <c r="U298" s="1">
        <f>Master8[[#This Row],[Duree_Cumule_Panne_Min]]/60</f>
        <v>5.55</v>
      </c>
      <c r="V29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8" s="6">
        <f>Master8[[#This Row],[Facture_Mensuelle]]*Master8[[#This Row],[Remise]]</f>
        <v>33.443999999999996</v>
      </c>
    </row>
    <row r="299" spans="1:24" x14ac:dyDescent="0.25">
      <c r="A299" s="1" t="s">
        <v>1330</v>
      </c>
      <c r="B299" t="str">
        <f>IFERROR(VLOOKUP(Master8[[#This Row],[Cell_ID]],Registre_Maintenance[],2,FALSE),"")</f>
        <v>Kongo-Central</v>
      </c>
      <c r="C299" s="1" t="s">
        <v>1342</v>
      </c>
      <c r="D299" s="2">
        <v>45205.650694444441</v>
      </c>
      <c r="E299" s="3">
        <v>45205.650694444441</v>
      </c>
      <c r="F299">
        <v>63</v>
      </c>
      <c r="G299">
        <f>Master8[[#This Row],[Duree_Panne_Min]]/60</f>
        <v>1.05</v>
      </c>
      <c r="H299" s="1" t="s">
        <v>732</v>
      </c>
      <c r="I299">
        <f>IFERROR(VLOOKUP(Master8[[#This Row],[Cell_ID]],Registre_Maintenance[],3,FALSE),"")</f>
        <v>-10.977309</v>
      </c>
      <c r="J299">
        <f>IFERROR(VLOOKUP(Master8[[#This Row],[Cell_ID]],Registre_Maintenance[],4,FALSE),"")</f>
        <v>12.408281000000001</v>
      </c>
      <c r="K299" t="str">
        <f>IFERROR(VLOOKUP(Master8[[#This Row],[Cell_ID]],Registre_Maintenance[],5,FALSE),"")</f>
        <v>5G</v>
      </c>
      <c r="L299" t="str">
        <f>IFERROR(VLOOKUP(Master8[[#This Row],[Cell_ID]],Registre_Maintenance[],6,FALSE),"")</f>
        <v>ZTE</v>
      </c>
      <c r="M299" s="1" t="str">
        <f>VLOOKUP(Master8[[#This Row],[Province_RDC]],Client[],2,FALSE)</f>
        <v>CLI-01233</v>
      </c>
      <c r="N299" s="1">
        <f>VLOOKUP(Master8[[#This Row],[Province_RDC]],Client[],3,FALSE)</f>
        <v>101</v>
      </c>
      <c r="O299" s="1" t="str">
        <f>VLOOKUP(Master8[[#This Row],[Province_RDC]],Client[],4,FALSE)</f>
        <v>Pro Monde</v>
      </c>
      <c r="P299" s="1">
        <f>VLOOKUP(Master8[[#This Row],[Province_RDC]],Client[],5,FALSE)</f>
        <v>333</v>
      </c>
      <c r="Q299" s="1">
        <f>VLOOKUP(Master8[[#This Row],[Province_RDC]],Client[],6,FALSE)</f>
        <v>74.319999999999993</v>
      </c>
      <c r="R299" s="1">
        <f>VLOOKUP(Master8[[#This Row],[Province_RDC]],Client[],7,FALSE)</f>
        <v>1</v>
      </c>
      <c r="S299" s="1" t="str">
        <f>IF(Master8[[#This Row],[Type_Forfait]]="Pro Monde","B2B","B2C")</f>
        <v>B2B</v>
      </c>
      <c r="T299" s="1">
        <f>Master8[[#This Row],[Anciennete_Mois]]/12</f>
        <v>8.4166666666666661</v>
      </c>
      <c r="U299" s="1">
        <f>Master8[[#This Row],[Duree_Cumule_Panne_Min]]/60</f>
        <v>5.55</v>
      </c>
      <c r="V29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29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299" s="6">
        <f>Master8[[#This Row],[Facture_Mensuelle]]*Master8[[#This Row],[Remise]]</f>
        <v>33.443999999999996</v>
      </c>
    </row>
    <row r="300" spans="1:24" x14ac:dyDescent="0.25">
      <c r="A300" s="1" t="s">
        <v>1288</v>
      </c>
      <c r="B300" t="str">
        <f>IFERROR(VLOOKUP(Master8[[#This Row],[Cell_ID]],Registre_Maintenance[],2,FALSE),"")</f>
        <v>Kongo-Central</v>
      </c>
      <c r="C300" s="1" t="s">
        <v>956</v>
      </c>
      <c r="D300" s="2">
        <v>45204.55</v>
      </c>
      <c r="E300" s="3">
        <v>45204.55</v>
      </c>
      <c r="F300">
        <v>113</v>
      </c>
      <c r="G300">
        <f>Master8[[#This Row],[Duree_Panne_Min]]/60</f>
        <v>1.8833333333333333</v>
      </c>
      <c r="H300" s="1" t="s">
        <v>735</v>
      </c>
      <c r="I300">
        <f>IFERROR(VLOOKUP(Master8[[#This Row],[Cell_ID]],Registre_Maintenance[],3,FALSE),"")</f>
        <v>2.975352</v>
      </c>
      <c r="J300">
        <f>IFERROR(VLOOKUP(Master8[[#This Row],[Cell_ID]],Registre_Maintenance[],4,FALSE),"")</f>
        <v>22.535886000000001</v>
      </c>
      <c r="K300" t="str">
        <f>IFERROR(VLOOKUP(Master8[[#This Row],[Cell_ID]],Registre_Maintenance[],5,FALSE),"")</f>
        <v>4G</v>
      </c>
      <c r="L300" t="str">
        <f>IFERROR(VLOOKUP(Master8[[#This Row],[Cell_ID]],Registre_Maintenance[],6,FALSE),"")</f>
        <v>Huawei</v>
      </c>
      <c r="M300" s="1" t="str">
        <f>VLOOKUP(Master8[[#This Row],[Province_RDC]],Client[],2,FALSE)</f>
        <v>CLI-01233</v>
      </c>
      <c r="N300" s="1">
        <f>VLOOKUP(Master8[[#This Row],[Province_RDC]],Client[],3,FALSE)</f>
        <v>101</v>
      </c>
      <c r="O300" s="1" t="str">
        <f>VLOOKUP(Master8[[#This Row],[Province_RDC]],Client[],4,FALSE)</f>
        <v>Pro Monde</v>
      </c>
      <c r="P300" s="1">
        <f>VLOOKUP(Master8[[#This Row],[Province_RDC]],Client[],5,FALSE)</f>
        <v>333</v>
      </c>
      <c r="Q300" s="1">
        <f>VLOOKUP(Master8[[#This Row],[Province_RDC]],Client[],6,FALSE)</f>
        <v>74.319999999999993</v>
      </c>
      <c r="R300" s="1">
        <f>VLOOKUP(Master8[[#This Row],[Province_RDC]],Client[],7,FALSE)</f>
        <v>1</v>
      </c>
      <c r="S300" s="1" t="str">
        <f>IF(Master8[[#This Row],[Type_Forfait]]="Pro Monde","B2B","B2C")</f>
        <v>B2B</v>
      </c>
      <c r="T300" s="1">
        <f>Master8[[#This Row],[Anciennete_Mois]]/12</f>
        <v>8.4166666666666661</v>
      </c>
      <c r="U300" s="1">
        <f>Master8[[#This Row],[Duree_Cumule_Panne_Min]]/60</f>
        <v>5.55</v>
      </c>
      <c r="V30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00" s="6">
        <f>Master8[[#This Row],[Facture_Mensuelle]]*Master8[[#This Row],[Remise]]</f>
        <v>33.443999999999996</v>
      </c>
    </row>
    <row r="301" spans="1:24" x14ac:dyDescent="0.25">
      <c r="A301" s="1" t="s">
        <v>1086</v>
      </c>
      <c r="B301" t="str">
        <f>IFERROR(VLOOKUP(Master8[[#This Row],[Cell_ID]],Registre_Maintenance[],2,FALSE),"")</f>
        <v>Kongo-Central</v>
      </c>
      <c r="C301" s="1" t="s">
        <v>956</v>
      </c>
      <c r="D301" s="2">
        <v>45204.237500000003</v>
      </c>
      <c r="E301" s="3">
        <v>45204.237500000003</v>
      </c>
      <c r="F301">
        <v>21</v>
      </c>
      <c r="G301">
        <f>Master8[[#This Row],[Duree_Panne_Min]]/60</f>
        <v>0.35</v>
      </c>
      <c r="H301" s="1" t="s">
        <v>735</v>
      </c>
      <c r="I301">
        <f>IFERROR(VLOOKUP(Master8[[#This Row],[Cell_ID]],Registre_Maintenance[],3,FALSE),"")</f>
        <v>2.975352</v>
      </c>
      <c r="J301">
        <f>IFERROR(VLOOKUP(Master8[[#This Row],[Cell_ID]],Registre_Maintenance[],4,FALSE),"")</f>
        <v>22.535886000000001</v>
      </c>
      <c r="K301" t="str">
        <f>IFERROR(VLOOKUP(Master8[[#This Row],[Cell_ID]],Registre_Maintenance[],5,FALSE),"")</f>
        <v>4G</v>
      </c>
      <c r="L301" t="str">
        <f>IFERROR(VLOOKUP(Master8[[#This Row],[Cell_ID]],Registre_Maintenance[],6,FALSE),"")</f>
        <v>Huawei</v>
      </c>
      <c r="M301" s="1" t="str">
        <f>VLOOKUP(Master8[[#This Row],[Province_RDC]],Client[],2,FALSE)</f>
        <v>CLI-01233</v>
      </c>
      <c r="N301" s="1">
        <f>VLOOKUP(Master8[[#This Row],[Province_RDC]],Client[],3,FALSE)</f>
        <v>101</v>
      </c>
      <c r="O301" s="1" t="str">
        <f>VLOOKUP(Master8[[#This Row],[Province_RDC]],Client[],4,FALSE)</f>
        <v>Pro Monde</v>
      </c>
      <c r="P301" s="1">
        <f>VLOOKUP(Master8[[#This Row],[Province_RDC]],Client[],5,FALSE)</f>
        <v>333</v>
      </c>
      <c r="Q301" s="1">
        <f>VLOOKUP(Master8[[#This Row],[Province_RDC]],Client[],6,FALSE)</f>
        <v>74.319999999999993</v>
      </c>
      <c r="R301" s="1">
        <f>VLOOKUP(Master8[[#This Row],[Province_RDC]],Client[],7,FALSE)</f>
        <v>1</v>
      </c>
      <c r="S301" s="1" t="str">
        <f>IF(Master8[[#This Row],[Type_Forfait]]="Pro Monde","B2B","B2C")</f>
        <v>B2B</v>
      </c>
      <c r="T301" s="1">
        <f>Master8[[#This Row],[Anciennete_Mois]]/12</f>
        <v>8.4166666666666661</v>
      </c>
      <c r="U301" s="1">
        <f>Master8[[#This Row],[Duree_Cumule_Panne_Min]]/60</f>
        <v>5.55</v>
      </c>
      <c r="V30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01" s="6">
        <f>Master8[[#This Row],[Facture_Mensuelle]]*Master8[[#This Row],[Remise]]</f>
        <v>33.443999999999996</v>
      </c>
    </row>
    <row r="302" spans="1:24" x14ac:dyDescent="0.25">
      <c r="A302" s="1" t="s">
        <v>1288</v>
      </c>
      <c r="B302" t="str">
        <f>IFERROR(VLOOKUP(Master8[[#This Row],[Cell_ID]],Registre_Maintenance[],2,FALSE),"")</f>
        <v>Kongo-Central</v>
      </c>
      <c r="C302" s="1" t="s">
        <v>1272</v>
      </c>
      <c r="D302" s="2">
        <v>45202.775694444441</v>
      </c>
      <c r="E302" s="3">
        <v>45202.775694444441</v>
      </c>
      <c r="F302">
        <v>72</v>
      </c>
      <c r="G302">
        <f>Master8[[#This Row],[Duree_Panne_Min]]/60</f>
        <v>1.2</v>
      </c>
      <c r="H302" s="1" t="s">
        <v>732</v>
      </c>
      <c r="I302">
        <f>IFERROR(VLOOKUP(Master8[[#This Row],[Cell_ID]],Registre_Maintenance[],3,FALSE),"")</f>
        <v>1.981107</v>
      </c>
      <c r="J302">
        <f>IFERROR(VLOOKUP(Master8[[#This Row],[Cell_ID]],Registre_Maintenance[],4,FALSE),"")</f>
        <v>23.932569000000001</v>
      </c>
      <c r="K302" t="str">
        <f>IFERROR(VLOOKUP(Master8[[#This Row],[Cell_ID]],Registre_Maintenance[],5,FALSE),"")</f>
        <v>3G</v>
      </c>
      <c r="L302" t="str">
        <f>IFERROR(VLOOKUP(Master8[[#This Row],[Cell_ID]],Registre_Maintenance[],6,FALSE),"")</f>
        <v>Nokia</v>
      </c>
      <c r="M302" s="1" t="str">
        <f>VLOOKUP(Master8[[#This Row],[Province_RDC]],Client[],2,FALSE)</f>
        <v>CLI-01233</v>
      </c>
      <c r="N302" s="1">
        <f>VLOOKUP(Master8[[#This Row],[Province_RDC]],Client[],3,FALSE)</f>
        <v>101</v>
      </c>
      <c r="O302" s="1" t="str">
        <f>VLOOKUP(Master8[[#This Row],[Province_RDC]],Client[],4,FALSE)</f>
        <v>Pro Monde</v>
      </c>
      <c r="P302" s="1">
        <f>VLOOKUP(Master8[[#This Row],[Province_RDC]],Client[],5,FALSE)</f>
        <v>333</v>
      </c>
      <c r="Q302" s="1">
        <f>VLOOKUP(Master8[[#This Row],[Province_RDC]],Client[],6,FALSE)</f>
        <v>74.319999999999993</v>
      </c>
      <c r="R302" s="1">
        <f>VLOOKUP(Master8[[#This Row],[Province_RDC]],Client[],7,FALSE)</f>
        <v>1</v>
      </c>
      <c r="S302" s="1" t="str">
        <f>IF(Master8[[#This Row],[Type_Forfait]]="Pro Monde","B2B","B2C")</f>
        <v>B2B</v>
      </c>
      <c r="T302" s="1">
        <f>Master8[[#This Row],[Anciennete_Mois]]/12</f>
        <v>8.4166666666666661</v>
      </c>
      <c r="U302" s="1">
        <f>Master8[[#This Row],[Duree_Cumule_Panne_Min]]/60</f>
        <v>5.55</v>
      </c>
      <c r="V30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02" s="6">
        <f>Master8[[#This Row],[Facture_Mensuelle]]*Master8[[#This Row],[Remise]]</f>
        <v>33.443999999999996</v>
      </c>
    </row>
    <row r="303" spans="1:24" x14ac:dyDescent="0.25">
      <c r="A303" s="1" t="s">
        <v>1261</v>
      </c>
      <c r="B303" t="str">
        <f>IFERROR(VLOOKUP(Master8[[#This Row],[Cell_ID]],Registre_Maintenance[],2,FALSE),"")</f>
        <v>Kongo-Central</v>
      </c>
      <c r="C303" s="1" t="s">
        <v>1272</v>
      </c>
      <c r="D303" s="2">
        <v>45202.645138888889</v>
      </c>
      <c r="E303" s="3">
        <v>45202.645138888889</v>
      </c>
      <c r="F303">
        <v>106</v>
      </c>
      <c r="G303">
        <f>Master8[[#This Row],[Duree_Panne_Min]]/60</f>
        <v>1.7666666666666666</v>
      </c>
      <c r="H303" s="1" t="s">
        <v>737</v>
      </c>
      <c r="I303">
        <f>IFERROR(VLOOKUP(Master8[[#This Row],[Cell_ID]],Registre_Maintenance[],3,FALSE),"")</f>
        <v>1.981107</v>
      </c>
      <c r="J303">
        <f>IFERROR(VLOOKUP(Master8[[#This Row],[Cell_ID]],Registre_Maintenance[],4,FALSE),"")</f>
        <v>23.932569000000001</v>
      </c>
      <c r="K303" t="str">
        <f>IFERROR(VLOOKUP(Master8[[#This Row],[Cell_ID]],Registre_Maintenance[],5,FALSE),"")</f>
        <v>3G</v>
      </c>
      <c r="L303" t="str">
        <f>IFERROR(VLOOKUP(Master8[[#This Row],[Cell_ID]],Registre_Maintenance[],6,FALSE),"")</f>
        <v>Nokia</v>
      </c>
      <c r="M303" s="1" t="str">
        <f>VLOOKUP(Master8[[#This Row],[Province_RDC]],Client[],2,FALSE)</f>
        <v>CLI-01233</v>
      </c>
      <c r="N303" s="1">
        <f>VLOOKUP(Master8[[#This Row],[Province_RDC]],Client[],3,FALSE)</f>
        <v>101</v>
      </c>
      <c r="O303" s="1" t="str">
        <f>VLOOKUP(Master8[[#This Row],[Province_RDC]],Client[],4,FALSE)</f>
        <v>Pro Monde</v>
      </c>
      <c r="P303" s="1">
        <f>VLOOKUP(Master8[[#This Row],[Province_RDC]],Client[],5,FALSE)</f>
        <v>333</v>
      </c>
      <c r="Q303" s="1">
        <f>VLOOKUP(Master8[[#This Row],[Province_RDC]],Client[],6,FALSE)</f>
        <v>74.319999999999993</v>
      </c>
      <c r="R303" s="1">
        <f>VLOOKUP(Master8[[#This Row],[Province_RDC]],Client[],7,FALSE)</f>
        <v>1</v>
      </c>
      <c r="S303" s="1" t="str">
        <f>IF(Master8[[#This Row],[Type_Forfait]]="Pro Monde","B2B","B2C")</f>
        <v>B2B</v>
      </c>
      <c r="T303" s="1">
        <f>Master8[[#This Row],[Anciennete_Mois]]/12</f>
        <v>8.4166666666666661</v>
      </c>
      <c r="U303" s="1">
        <f>Master8[[#This Row],[Duree_Cumule_Panne_Min]]/60</f>
        <v>5.55</v>
      </c>
      <c r="V30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03" s="6">
        <f>Master8[[#This Row],[Facture_Mensuelle]]*Master8[[#This Row],[Remise]]</f>
        <v>33.443999999999996</v>
      </c>
    </row>
    <row r="304" spans="1:24" x14ac:dyDescent="0.25">
      <c r="A304" s="1" t="s">
        <v>1219</v>
      </c>
      <c r="B304" t="str">
        <f>IFERROR(VLOOKUP(Master8[[#This Row],[Cell_ID]],Registre_Maintenance[],2,FALSE),"")</f>
        <v>Kongo-Central</v>
      </c>
      <c r="C304" s="1" t="s">
        <v>739</v>
      </c>
      <c r="D304" s="2">
        <v>45200.925694444442</v>
      </c>
      <c r="E304" s="3">
        <v>45200.925694444442</v>
      </c>
      <c r="F304">
        <v>76</v>
      </c>
      <c r="G304">
        <f>Master8[[#This Row],[Duree_Panne_Min]]/60</f>
        <v>1.2666666666666666</v>
      </c>
      <c r="H304" s="1" t="s">
        <v>737</v>
      </c>
      <c r="I304">
        <f>IFERROR(VLOOKUP(Master8[[#This Row],[Cell_ID]],Registre_Maintenance[],3,FALSE),"")</f>
        <v>-2.8211520000000001</v>
      </c>
      <c r="J304">
        <f>IFERROR(VLOOKUP(Master8[[#This Row],[Cell_ID]],Registre_Maintenance[],4,FALSE),"")</f>
        <v>20.651419000000001</v>
      </c>
      <c r="K304" t="str">
        <f>IFERROR(VLOOKUP(Master8[[#This Row],[Cell_ID]],Registre_Maintenance[],5,FALSE),"")</f>
        <v>5G</v>
      </c>
      <c r="L304" t="str">
        <f>IFERROR(VLOOKUP(Master8[[#This Row],[Cell_ID]],Registre_Maintenance[],6,FALSE),"")</f>
        <v>Ericsson</v>
      </c>
      <c r="M304" s="1" t="str">
        <f>VLOOKUP(Master8[[#This Row],[Province_RDC]],Client[],2,FALSE)</f>
        <v>CLI-01233</v>
      </c>
      <c r="N304" s="1">
        <f>VLOOKUP(Master8[[#This Row],[Province_RDC]],Client[],3,FALSE)</f>
        <v>101</v>
      </c>
      <c r="O304" s="1" t="str">
        <f>VLOOKUP(Master8[[#This Row],[Province_RDC]],Client[],4,FALSE)</f>
        <v>Pro Monde</v>
      </c>
      <c r="P304" s="1">
        <f>VLOOKUP(Master8[[#This Row],[Province_RDC]],Client[],5,FALSE)</f>
        <v>333</v>
      </c>
      <c r="Q304" s="1">
        <f>VLOOKUP(Master8[[#This Row],[Province_RDC]],Client[],6,FALSE)</f>
        <v>74.319999999999993</v>
      </c>
      <c r="R304" s="1">
        <f>VLOOKUP(Master8[[#This Row],[Province_RDC]],Client[],7,FALSE)</f>
        <v>1</v>
      </c>
      <c r="S304" s="1" t="str">
        <f>IF(Master8[[#This Row],[Type_Forfait]]="Pro Monde","B2B","B2C")</f>
        <v>B2B</v>
      </c>
      <c r="T304" s="1">
        <f>Master8[[#This Row],[Anciennete_Mois]]/12</f>
        <v>8.4166666666666661</v>
      </c>
      <c r="U304" s="1">
        <f>Master8[[#This Row],[Duree_Cumule_Panne_Min]]/60</f>
        <v>5.55</v>
      </c>
      <c r="V30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04" s="6">
        <f>Master8[[#This Row],[Facture_Mensuelle]]*Master8[[#This Row],[Remise]]</f>
        <v>33.443999999999996</v>
      </c>
    </row>
    <row r="305" spans="1:24" x14ac:dyDescent="0.25">
      <c r="A305" s="1" t="s">
        <v>1241</v>
      </c>
      <c r="B305" t="str">
        <f>IFERROR(VLOOKUP(Master8[[#This Row],[Cell_ID]],Registre_Maintenance[],2,FALSE),"")</f>
        <v>Kinshasa</v>
      </c>
      <c r="C305" s="1" t="s">
        <v>1242</v>
      </c>
      <c r="D305" s="2">
        <v>45230.638888888891</v>
      </c>
      <c r="E305" s="3">
        <v>45230.638888888891</v>
      </c>
      <c r="F305">
        <v>77</v>
      </c>
      <c r="G305">
        <f>Master8[[#This Row],[Duree_Panne_Min]]/60</f>
        <v>1.2833333333333334</v>
      </c>
      <c r="H305" s="1" t="s">
        <v>735</v>
      </c>
      <c r="I305">
        <f>IFERROR(VLOOKUP(Master8[[#This Row],[Cell_ID]],Registre_Maintenance[],3,FALSE),"")</f>
        <v>-0.57104900000000003</v>
      </c>
      <c r="J305">
        <f>IFERROR(VLOOKUP(Master8[[#This Row],[Cell_ID]],Registre_Maintenance[],4,FALSE),"")</f>
        <v>15.317663</v>
      </c>
      <c r="K305" t="str">
        <f>IFERROR(VLOOKUP(Master8[[#This Row],[Cell_ID]],Registre_Maintenance[],5,FALSE),"")</f>
        <v>5G</v>
      </c>
      <c r="L305" t="str">
        <f>IFERROR(VLOOKUP(Master8[[#This Row],[Cell_ID]],Registre_Maintenance[],6,FALSE),"")</f>
        <v>Nokia</v>
      </c>
      <c r="M305" s="1" t="str">
        <f>VLOOKUP(Master8[[#This Row],[Province_RDC]],Client[],2,FALSE)</f>
        <v>CLI-00611</v>
      </c>
      <c r="N305" s="1">
        <f>VLOOKUP(Master8[[#This Row],[Province_RDC]],Client[],3,FALSE)</f>
        <v>79</v>
      </c>
      <c r="O305" s="1" t="str">
        <f>VLOOKUP(Master8[[#This Row],[Province_RDC]],Client[],4,FALSE)</f>
        <v>Premium 5G 150Go</v>
      </c>
      <c r="P305" s="1">
        <f>VLOOKUP(Master8[[#This Row],[Province_RDC]],Client[],5,FALSE)</f>
        <v>226</v>
      </c>
      <c r="Q305" s="1">
        <f>VLOOKUP(Master8[[#This Row],[Province_RDC]],Client[],6,FALSE)</f>
        <v>94.38</v>
      </c>
      <c r="R305" s="1">
        <f>VLOOKUP(Master8[[#This Row],[Province_RDC]],Client[],7,FALSE)</f>
        <v>3</v>
      </c>
      <c r="S305" s="1" t="str">
        <f>IF(Master8[[#This Row],[Type_Forfait]]="Pro Monde","B2B","B2C")</f>
        <v>B2C</v>
      </c>
      <c r="T305" s="1">
        <f>Master8[[#This Row],[Anciennete_Mois]]/12</f>
        <v>6.583333333333333</v>
      </c>
      <c r="U305" s="1">
        <f>Master8[[#This Row],[Duree_Cumule_Panne_Min]]/60</f>
        <v>3.7666666666666666</v>
      </c>
      <c r="V30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5" s="6">
        <f>Master8[[#This Row],[Facture_Mensuelle]]*Master8[[#This Row],[Remise]]</f>
        <v>0</v>
      </c>
    </row>
    <row r="306" spans="1:24" x14ac:dyDescent="0.25">
      <c r="A306" s="1" t="s">
        <v>1361</v>
      </c>
      <c r="B306" t="str">
        <f>IFERROR(VLOOKUP(Master8[[#This Row],[Cell_ID]],Registre_Maintenance[],2,FALSE),"")</f>
        <v>Kinshasa</v>
      </c>
      <c r="C306" s="1" t="s">
        <v>1364</v>
      </c>
      <c r="D306" s="2">
        <v>45230.595138888893</v>
      </c>
      <c r="E306" s="3">
        <v>45230.595138888893</v>
      </c>
      <c r="F306">
        <v>14</v>
      </c>
      <c r="G306">
        <f>Master8[[#This Row],[Duree_Panne_Min]]/60</f>
        <v>0.23333333333333334</v>
      </c>
      <c r="H306" s="1" t="s">
        <v>732</v>
      </c>
      <c r="I306">
        <f>IFERROR(VLOOKUP(Master8[[#This Row],[Cell_ID]],Registre_Maintenance[],3,FALSE),"")</f>
        <v>-7.1079169999999996</v>
      </c>
      <c r="J306">
        <f>IFERROR(VLOOKUP(Master8[[#This Row],[Cell_ID]],Registre_Maintenance[],4,FALSE),"")</f>
        <v>13.636272</v>
      </c>
      <c r="K306" t="str">
        <f>IFERROR(VLOOKUP(Master8[[#This Row],[Cell_ID]],Registre_Maintenance[],5,FALSE),"")</f>
        <v>5G</v>
      </c>
      <c r="L306" t="str">
        <f>IFERROR(VLOOKUP(Master8[[#This Row],[Cell_ID]],Registre_Maintenance[],6,FALSE),"")</f>
        <v>Nokia</v>
      </c>
      <c r="M306" s="1" t="str">
        <f>VLOOKUP(Master8[[#This Row],[Province_RDC]],Client[],2,FALSE)</f>
        <v>CLI-00611</v>
      </c>
      <c r="N306" s="1">
        <f>VLOOKUP(Master8[[#This Row],[Province_RDC]],Client[],3,FALSE)</f>
        <v>79</v>
      </c>
      <c r="O306" s="1" t="str">
        <f>VLOOKUP(Master8[[#This Row],[Province_RDC]],Client[],4,FALSE)</f>
        <v>Premium 5G 150Go</v>
      </c>
      <c r="P306" s="1">
        <f>VLOOKUP(Master8[[#This Row],[Province_RDC]],Client[],5,FALSE)</f>
        <v>226</v>
      </c>
      <c r="Q306" s="1">
        <f>VLOOKUP(Master8[[#This Row],[Province_RDC]],Client[],6,FALSE)</f>
        <v>94.38</v>
      </c>
      <c r="R306" s="1">
        <f>VLOOKUP(Master8[[#This Row],[Province_RDC]],Client[],7,FALSE)</f>
        <v>3</v>
      </c>
      <c r="S306" s="1" t="str">
        <f>IF(Master8[[#This Row],[Type_Forfait]]="Pro Monde","B2B","B2C")</f>
        <v>B2C</v>
      </c>
      <c r="T306" s="1">
        <f>Master8[[#This Row],[Anciennete_Mois]]/12</f>
        <v>6.583333333333333</v>
      </c>
      <c r="U306" s="1">
        <f>Master8[[#This Row],[Duree_Cumule_Panne_Min]]/60</f>
        <v>3.7666666666666666</v>
      </c>
      <c r="V30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6" s="6">
        <f>Master8[[#This Row],[Facture_Mensuelle]]*Master8[[#This Row],[Remise]]</f>
        <v>0</v>
      </c>
    </row>
    <row r="307" spans="1:24" x14ac:dyDescent="0.25">
      <c r="A307" s="1" t="s">
        <v>1361</v>
      </c>
      <c r="B307" t="str">
        <f>IFERROR(VLOOKUP(Master8[[#This Row],[Cell_ID]],Registre_Maintenance[],2,FALSE),"")</f>
        <v>Kinshasa</v>
      </c>
      <c r="C307" s="1" t="s">
        <v>1364</v>
      </c>
      <c r="D307" s="2">
        <v>45227.897916666669</v>
      </c>
      <c r="E307" s="3">
        <v>45227.897916666669</v>
      </c>
      <c r="F307">
        <v>61</v>
      </c>
      <c r="G307">
        <f>Master8[[#This Row],[Duree_Panne_Min]]/60</f>
        <v>1.0166666666666666</v>
      </c>
      <c r="H307" s="1" t="s">
        <v>732</v>
      </c>
      <c r="I307">
        <f>IFERROR(VLOOKUP(Master8[[#This Row],[Cell_ID]],Registre_Maintenance[],3,FALSE),"")</f>
        <v>-7.1079169999999996</v>
      </c>
      <c r="J307">
        <f>IFERROR(VLOOKUP(Master8[[#This Row],[Cell_ID]],Registre_Maintenance[],4,FALSE),"")</f>
        <v>13.636272</v>
      </c>
      <c r="K307" t="str">
        <f>IFERROR(VLOOKUP(Master8[[#This Row],[Cell_ID]],Registre_Maintenance[],5,FALSE),"")</f>
        <v>5G</v>
      </c>
      <c r="L307" t="str">
        <f>IFERROR(VLOOKUP(Master8[[#This Row],[Cell_ID]],Registre_Maintenance[],6,FALSE),"")</f>
        <v>Nokia</v>
      </c>
      <c r="M307" s="1" t="str">
        <f>VLOOKUP(Master8[[#This Row],[Province_RDC]],Client[],2,FALSE)</f>
        <v>CLI-00611</v>
      </c>
      <c r="N307" s="1">
        <f>VLOOKUP(Master8[[#This Row],[Province_RDC]],Client[],3,FALSE)</f>
        <v>79</v>
      </c>
      <c r="O307" s="1" t="str">
        <f>VLOOKUP(Master8[[#This Row],[Province_RDC]],Client[],4,FALSE)</f>
        <v>Premium 5G 150Go</v>
      </c>
      <c r="P307" s="1">
        <f>VLOOKUP(Master8[[#This Row],[Province_RDC]],Client[],5,FALSE)</f>
        <v>226</v>
      </c>
      <c r="Q307" s="1">
        <f>VLOOKUP(Master8[[#This Row],[Province_RDC]],Client[],6,FALSE)</f>
        <v>94.38</v>
      </c>
      <c r="R307" s="1">
        <f>VLOOKUP(Master8[[#This Row],[Province_RDC]],Client[],7,FALSE)</f>
        <v>3</v>
      </c>
      <c r="S307" s="1" t="str">
        <f>IF(Master8[[#This Row],[Type_Forfait]]="Pro Monde","B2B","B2C")</f>
        <v>B2C</v>
      </c>
      <c r="T307" s="1">
        <f>Master8[[#This Row],[Anciennete_Mois]]/12</f>
        <v>6.583333333333333</v>
      </c>
      <c r="U307" s="1">
        <f>Master8[[#This Row],[Duree_Cumule_Panne_Min]]/60</f>
        <v>3.7666666666666666</v>
      </c>
      <c r="V30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7" s="6">
        <f>Master8[[#This Row],[Facture_Mensuelle]]*Master8[[#This Row],[Remise]]</f>
        <v>0</v>
      </c>
    </row>
    <row r="308" spans="1:24" x14ac:dyDescent="0.25">
      <c r="A308" s="1" t="s">
        <v>1059</v>
      </c>
      <c r="B308" t="str">
        <f>IFERROR(VLOOKUP(Master8[[#This Row],[Cell_ID]],Registre_Maintenance[],2,FALSE),"")</f>
        <v>Kinshasa</v>
      </c>
      <c r="C308" s="1" t="s">
        <v>1076</v>
      </c>
      <c r="D308" s="2">
        <v>45226.84097222222</v>
      </c>
      <c r="E308" s="3">
        <v>45226.84097222222</v>
      </c>
      <c r="F308">
        <v>74</v>
      </c>
      <c r="G308">
        <f>Master8[[#This Row],[Duree_Panne_Min]]/60</f>
        <v>1.2333333333333334</v>
      </c>
      <c r="H308" s="1" t="s">
        <v>735</v>
      </c>
      <c r="I308">
        <f>IFERROR(VLOOKUP(Master8[[#This Row],[Cell_ID]],Registre_Maintenance[],3,FALSE),"")</f>
        <v>-11.389362</v>
      </c>
      <c r="J308">
        <f>IFERROR(VLOOKUP(Master8[[#This Row],[Cell_ID]],Registre_Maintenance[],4,FALSE),"")</f>
        <v>22.240174</v>
      </c>
      <c r="K308" t="str">
        <f>IFERROR(VLOOKUP(Master8[[#This Row],[Cell_ID]],Registre_Maintenance[],5,FALSE),"")</f>
        <v>5G</v>
      </c>
      <c r="L308" t="str">
        <f>IFERROR(VLOOKUP(Master8[[#This Row],[Cell_ID]],Registre_Maintenance[],6,FALSE),"")</f>
        <v>ZTE</v>
      </c>
      <c r="M308" s="1" t="str">
        <f>VLOOKUP(Master8[[#This Row],[Province_RDC]],Client[],2,FALSE)</f>
        <v>CLI-00611</v>
      </c>
      <c r="N308" s="1">
        <f>VLOOKUP(Master8[[#This Row],[Province_RDC]],Client[],3,FALSE)</f>
        <v>79</v>
      </c>
      <c r="O308" s="1" t="str">
        <f>VLOOKUP(Master8[[#This Row],[Province_RDC]],Client[],4,FALSE)</f>
        <v>Premium 5G 150Go</v>
      </c>
      <c r="P308" s="1">
        <f>VLOOKUP(Master8[[#This Row],[Province_RDC]],Client[],5,FALSE)</f>
        <v>226</v>
      </c>
      <c r="Q308" s="1">
        <f>VLOOKUP(Master8[[#This Row],[Province_RDC]],Client[],6,FALSE)</f>
        <v>94.38</v>
      </c>
      <c r="R308" s="1">
        <f>VLOOKUP(Master8[[#This Row],[Province_RDC]],Client[],7,FALSE)</f>
        <v>3</v>
      </c>
      <c r="S308" s="1" t="str">
        <f>IF(Master8[[#This Row],[Type_Forfait]]="Pro Monde","B2B","B2C")</f>
        <v>B2C</v>
      </c>
      <c r="T308" s="1">
        <f>Master8[[#This Row],[Anciennete_Mois]]/12</f>
        <v>6.583333333333333</v>
      </c>
      <c r="U308" s="1">
        <f>Master8[[#This Row],[Duree_Cumule_Panne_Min]]/60</f>
        <v>3.7666666666666666</v>
      </c>
      <c r="V30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8" s="6">
        <f>Master8[[#This Row],[Facture_Mensuelle]]*Master8[[#This Row],[Remise]]</f>
        <v>0</v>
      </c>
    </row>
    <row r="309" spans="1:24" x14ac:dyDescent="0.25">
      <c r="A309" s="1" t="s">
        <v>1059</v>
      </c>
      <c r="B309" t="str">
        <f>IFERROR(VLOOKUP(Master8[[#This Row],[Cell_ID]],Registre_Maintenance[],2,FALSE),"")</f>
        <v>Kinshasa</v>
      </c>
      <c r="C309" s="1" t="s">
        <v>1064</v>
      </c>
      <c r="D309" s="2">
        <v>45222.179166666669</v>
      </c>
      <c r="E309" s="3">
        <v>45222.179166666669</v>
      </c>
      <c r="F309">
        <v>28</v>
      </c>
      <c r="G309">
        <f>Master8[[#This Row],[Duree_Panne_Min]]/60</f>
        <v>0.46666666666666667</v>
      </c>
      <c r="H309" s="1" t="s">
        <v>735</v>
      </c>
      <c r="I309">
        <f>IFERROR(VLOOKUP(Master8[[#This Row],[Cell_ID]],Registre_Maintenance[],3,FALSE),"")</f>
        <v>-0.90854400000000002</v>
      </c>
      <c r="J309">
        <f>IFERROR(VLOOKUP(Master8[[#This Row],[Cell_ID]],Registre_Maintenance[],4,FALSE),"")</f>
        <v>17.154896999999998</v>
      </c>
      <c r="K309" t="str">
        <f>IFERROR(VLOOKUP(Master8[[#This Row],[Cell_ID]],Registre_Maintenance[],5,FALSE),"")</f>
        <v>3G</v>
      </c>
      <c r="L309" t="str">
        <f>IFERROR(VLOOKUP(Master8[[#This Row],[Cell_ID]],Registre_Maintenance[],6,FALSE),"")</f>
        <v>Huawei</v>
      </c>
      <c r="M309" s="1" t="str">
        <f>VLOOKUP(Master8[[#This Row],[Province_RDC]],Client[],2,FALSE)</f>
        <v>CLI-00611</v>
      </c>
      <c r="N309" s="1">
        <f>VLOOKUP(Master8[[#This Row],[Province_RDC]],Client[],3,FALSE)</f>
        <v>79</v>
      </c>
      <c r="O309" s="1" t="str">
        <f>VLOOKUP(Master8[[#This Row],[Province_RDC]],Client[],4,FALSE)</f>
        <v>Premium 5G 150Go</v>
      </c>
      <c r="P309" s="1">
        <f>VLOOKUP(Master8[[#This Row],[Province_RDC]],Client[],5,FALSE)</f>
        <v>226</v>
      </c>
      <c r="Q309" s="1">
        <f>VLOOKUP(Master8[[#This Row],[Province_RDC]],Client[],6,FALSE)</f>
        <v>94.38</v>
      </c>
      <c r="R309" s="1">
        <f>VLOOKUP(Master8[[#This Row],[Province_RDC]],Client[],7,FALSE)</f>
        <v>3</v>
      </c>
      <c r="S309" s="1" t="str">
        <f>IF(Master8[[#This Row],[Type_Forfait]]="Pro Monde","B2B","B2C")</f>
        <v>B2C</v>
      </c>
      <c r="T309" s="1">
        <f>Master8[[#This Row],[Anciennete_Mois]]/12</f>
        <v>6.583333333333333</v>
      </c>
      <c r="U309" s="1">
        <f>Master8[[#This Row],[Duree_Cumule_Panne_Min]]/60</f>
        <v>3.7666666666666666</v>
      </c>
      <c r="V30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0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09" s="6">
        <f>Master8[[#This Row],[Facture_Mensuelle]]*Master8[[#This Row],[Remise]]</f>
        <v>0</v>
      </c>
    </row>
    <row r="310" spans="1:24" x14ac:dyDescent="0.25">
      <c r="A310" s="1" t="s">
        <v>1138</v>
      </c>
      <c r="B310" t="str">
        <f>IFERROR(VLOOKUP(Master8[[#This Row],[Cell_ID]],Registre_Maintenance[],2,FALSE),"")</f>
        <v>Kinshasa</v>
      </c>
      <c r="C310" s="1" t="s">
        <v>1151</v>
      </c>
      <c r="D310" s="2">
        <v>45221.283333333333</v>
      </c>
      <c r="E310" s="3">
        <v>45221.283333333333</v>
      </c>
      <c r="F310">
        <v>22</v>
      </c>
      <c r="G310">
        <f>Master8[[#This Row],[Duree_Panne_Min]]/60</f>
        <v>0.36666666666666664</v>
      </c>
      <c r="H310" s="1" t="s">
        <v>732</v>
      </c>
      <c r="I310">
        <f>IFERROR(VLOOKUP(Master8[[#This Row],[Cell_ID]],Registre_Maintenance[],3,FALSE),"")</f>
        <v>-2.6665070000000002</v>
      </c>
      <c r="J310">
        <f>IFERROR(VLOOKUP(Master8[[#This Row],[Cell_ID]],Registre_Maintenance[],4,FALSE),"")</f>
        <v>18.623692999999999</v>
      </c>
      <c r="K310" t="str">
        <f>IFERROR(VLOOKUP(Master8[[#This Row],[Cell_ID]],Registre_Maintenance[],5,FALSE),"")</f>
        <v>3G</v>
      </c>
      <c r="L310" t="str">
        <f>IFERROR(VLOOKUP(Master8[[#This Row],[Cell_ID]],Registre_Maintenance[],6,FALSE),"")</f>
        <v>ZTE</v>
      </c>
      <c r="M310" s="1" t="str">
        <f>VLOOKUP(Master8[[#This Row],[Province_RDC]],Client[],2,FALSE)</f>
        <v>CLI-00611</v>
      </c>
      <c r="N310" s="1">
        <f>VLOOKUP(Master8[[#This Row],[Province_RDC]],Client[],3,FALSE)</f>
        <v>79</v>
      </c>
      <c r="O310" s="1" t="str">
        <f>VLOOKUP(Master8[[#This Row],[Province_RDC]],Client[],4,FALSE)</f>
        <v>Premium 5G 150Go</v>
      </c>
      <c r="P310" s="1">
        <f>VLOOKUP(Master8[[#This Row],[Province_RDC]],Client[],5,FALSE)</f>
        <v>226</v>
      </c>
      <c r="Q310" s="1">
        <f>VLOOKUP(Master8[[#This Row],[Province_RDC]],Client[],6,FALSE)</f>
        <v>94.38</v>
      </c>
      <c r="R310" s="1">
        <f>VLOOKUP(Master8[[#This Row],[Province_RDC]],Client[],7,FALSE)</f>
        <v>3</v>
      </c>
      <c r="S310" s="1" t="str">
        <f>IF(Master8[[#This Row],[Type_Forfait]]="Pro Monde","B2B","B2C")</f>
        <v>B2C</v>
      </c>
      <c r="T310" s="1">
        <f>Master8[[#This Row],[Anciennete_Mois]]/12</f>
        <v>6.583333333333333</v>
      </c>
      <c r="U310" s="1">
        <f>Master8[[#This Row],[Duree_Cumule_Panne_Min]]/60</f>
        <v>3.7666666666666666</v>
      </c>
      <c r="V31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0" s="6">
        <f>Master8[[#This Row],[Facture_Mensuelle]]*Master8[[#This Row],[Remise]]</f>
        <v>0</v>
      </c>
    </row>
    <row r="311" spans="1:24" x14ac:dyDescent="0.25">
      <c r="A311" s="1" t="s">
        <v>823</v>
      </c>
      <c r="B311" t="str">
        <f>IFERROR(VLOOKUP(Master8[[#This Row],[Cell_ID]],Registre_Maintenance[],2,FALSE),"")</f>
        <v>Kinshasa</v>
      </c>
      <c r="C311" s="1" t="s">
        <v>835</v>
      </c>
      <c r="D311" s="2">
        <v>45221.265972222223</v>
      </c>
      <c r="E311" s="3">
        <v>45221.265972222223</v>
      </c>
      <c r="F311">
        <v>88</v>
      </c>
      <c r="G311">
        <f>Master8[[#This Row],[Duree_Panne_Min]]/60</f>
        <v>1.4666666666666666</v>
      </c>
      <c r="H311" s="1" t="s">
        <v>735</v>
      </c>
      <c r="I311">
        <f>IFERROR(VLOOKUP(Master8[[#This Row],[Cell_ID]],Registre_Maintenance[],3,FALSE),"")</f>
        <v>-1.339734</v>
      </c>
      <c r="J311">
        <f>IFERROR(VLOOKUP(Master8[[#This Row],[Cell_ID]],Registre_Maintenance[],4,FALSE),"")</f>
        <v>15.243098</v>
      </c>
      <c r="K311" t="str">
        <f>IFERROR(VLOOKUP(Master8[[#This Row],[Cell_ID]],Registre_Maintenance[],5,FALSE),"")</f>
        <v>3G</v>
      </c>
      <c r="L311" t="str">
        <f>IFERROR(VLOOKUP(Master8[[#This Row],[Cell_ID]],Registre_Maintenance[],6,FALSE),"")</f>
        <v>Nokia</v>
      </c>
      <c r="M311" s="1" t="str">
        <f>VLOOKUP(Master8[[#This Row],[Province_RDC]],Client[],2,FALSE)</f>
        <v>CLI-00611</v>
      </c>
      <c r="N311" s="1">
        <f>VLOOKUP(Master8[[#This Row],[Province_RDC]],Client[],3,FALSE)</f>
        <v>79</v>
      </c>
      <c r="O311" s="1" t="str">
        <f>VLOOKUP(Master8[[#This Row],[Province_RDC]],Client[],4,FALSE)</f>
        <v>Premium 5G 150Go</v>
      </c>
      <c r="P311" s="1">
        <f>VLOOKUP(Master8[[#This Row],[Province_RDC]],Client[],5,FALSE)</f>
        <v>226</v>
      </c>
      <c r="Q311" s="1">
        <f>VLOOKUP(Master8[[#This Row],[Province_RDC]],Client[],6,FALSE)</f>
        <v>94.38</v>
      </c>
      <c r="R311" s="1">
        <f>VLOOKUP(Master8[[#This Row],[Province_RDC]],Client[],7,FALSE)</f>
        <v>3</v>
      </c>
      <c r="S311" s="1" t="str">
        <f>IF(Master8[[#This Row],[Type_Forfait]]="Pro Monde","B2B","B2C")</f>
        <v>B2C</v>
      </c>
      <c r="T311" s="1">
        <f>Master8[[#This Row],[Anciennete_Mois]]/12</f>
        <v>6.583333333333333</v>
      </c>
      <c r="U311" s="1">
        <f>Master8[[#This Row],[Duree_Cumule_Panne_Min]]/60</f>
        <v>3.7666666666666666</v>
      </c>
      <c r="V31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1" s="6">
        <f>Master8[[#This Row],[Facture_Mensuelle]]*Master8[[#This Row],[Remise]]</f>
        <v>0</v>
      </c>
    </row>
    <row r="312" spans="1:24" x14ac:dyDescent="0.25">
      <c r="A312" s="1" t="s">
        <v>1086</v>
      </c>
      <c r="B312" t="str">
        <f>IFERROR(VLOOKUP(Master8[[#This Row],[Cell_ID]],Registre_Maintenance[],2,FALSE),"")</f>
        <v>Kinshasa</v>
      </c>
      <c r="C312" s="1" t="s">
        <v>1076</v>
      </c>
      <c r="D312" s="2">
        <v>45218.088888888888</v>
      </c>
      <c r="E312" s="3">
        <v>45218.088888888888</v>
      </c>
      <c r="F312">
        <v>12</v>
      </c>
      <c r="G312">
        <f>Master8[[#This Row],[Duree_Panne_Min]]/60</f>
        <v>0.2</v>
      </c>
      <c r="H312" s="1" t="s">
        <v>737</v>
      </c>
      <c r="I312">
        <f>IFERROR(VLOOKUP(Master8[[#This Row],[Cell_ID]],Registre_Maintenance[],3,FALSE),"")</f>
        <v>-11.389362</v>
      </c>
      <c r="J312">
        <f>IFERROR(VLOOKUP(Master8[[#This Row],[Cell_ID]],Registre_Maintenance[],4,FALSE),"")</f>
        <v>22.240174</v>
      </c>
      <c r="K312" t="str">
        <f>IFERROR(VLOOKUP(Master8[[#This Row],[Cell_ID]],Registre_Maintenance[],5,FALSE),"")</f>
        <v>5G</v>
      </c>
      <c r="L312" t="str">
        <f>IFERROR(VLOOKUP(Master8[[#This Row],[Cell_ID]],Registre_Maintenance[],6,FALSE),"")</f>
        <v>ZTE</v>
      </c>
      <c r="M312" s="1" t="str">
        <f>VLOOKUP(Master8[[#This Row],[Province_RDC]],Client[],2,FALSE)</f>
        <v>CLI-00611</v>
      </c>
      <c r="N312" s="1">
        <f>VLOOKUP(Master8[[#This Row],[Province_RDC]],Client[],3,FALSE)</f>
        <v>79</v>
      </c>
      <c r="O312" s="1" t="str">
        <f>VLOOKUP(Master8[[#This Row],[Province_RDC]],Client[],4,FALSE)</f>
        <v>Premium 5G 150Go</v>
      </c>
      <c r="P312" s="1">
        <f>VLOOKUP(Master8[[#This Row],[Province_RDC]],Client[],5,FALSE)</f>
        <v>226</v>
      </c>
      <c r="Q312" s="1">
        <f>VLOOKUP(Master8[[#This Row],[Province_RDC]],Client[],6,FALSE)</f>
        <v>94.38</v>
      </c>
      <c r="R312" s="1">
        <f>VLOOKUP(Master8[[#This Row],[Province_RDC]],Client[],7,FALSE)</f>
        <v>3</v>
      </c>
      <c r="S312" s="1" t="str">
        <f>IF(Master8[[#This Row],[Type_Forfait]]="Pro Monde","B2B","B2C")</f>
        <v>B2C</v>
      </c>
      <c r="T312" s="1">
        <f>Master8[[#This Row],[Anciennete_Mois]]/12</f>
        <v>6.583333333333333</v>
      </c>
      <c r="U312" s="1">
        <f>Master8[[#This Row],[Duree_Cumule_Panne_Min]]/60</f>
        <v>3.7666666666666666</v>
      </c>
      <c r="V31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2" s="6">
        <f>Master8[[#This Row],[Facture_Mensuelle]]*Master8[[#This Row],[Remise]]</f>
        <v>0</v>
      </c>
    </row>
    <row r="313" spans="1:24" x14ac:dyDescent="0.25">
      <c r="A313" s="1" t="s">
        <v>1138</v>
      </c>
      <c r="B313" t="str">
        <f>IFERROR(VLOOKUP(Master8[[#This Row],[Cell_ID]],Registre_Maintenance[],2,FALSE),"")</f>
        <v>Kinshasa</v>
      </c>
      <c r="C313" s="1" t="s">
        <v>866</v>
      </c>
      <c r="D313" s="2">
        <v>45217.173611111109</v>
      </c>
      <c r="E313" s="3">
        <v>45217.173611111109</v>
      </c>
      <c r="F313">
        <v>53</v>
      </c>
      <c r="G313">
        <f>Master8[[#This Row],[Duree_Panne_Min]]/60</f>
        <v>0.8833333333333333</v>
      </c>
      <c r="H313" s="1" t="s">
        <v>735</v>
      </c>
      <c r="I313">
        <f>IFERROR(VLOOKUP(Master8[[#This Row],[Cell_ID]],Registre_Maintenance[],3,FALSE),"")</f>
        <v>-1.6097570000000001</v>
      </c>
      <c r="J313">
        <f>IFERROR(VLOOKUP(Master8[[#This Row],[Cell_ID]],Registre_Maintenance[],4,FALSE),"")</f>
        <v>30.661662</v>
      </c>
      <c r="K313" t="str">
        <f>IFERROR(VLOOKUP(Master8[[#This Row],[Cell_ID]],Registre_Maintenance[],5,FALSE),"")</f>
        <v>4G</v>
      </c>
      <c r="L313" t="str">
        <f>IFERROR(VLOOKUP(Master8[[#This Row],[Cell_ID]],Registre_Maintenance[],6,FALSE),"")</f>
        <v>Ericsson</v>
      </c>
      <c r="M313" s="1" t="str">
        <f>VLOOKUP(Master8[[#This Row],[Province_RDC]],Client[],2,FALSE)</f>
        <v>CLI-00611</v>
      </c>
      <c r="N313" s="1">
        <f>VLOOKUP(Master8[[#This Row],[Province_RDC]],Client[],3,FALSE)</f>
        <v>79</v>
      </c>
      <c r="O313" s="1" t="str">
        <f>VLOOKUP(Master8[[#This Row],[Province_RDC]],Client[],4,FALSE)</f>
        <v>Premium 5G 150Go</v>
      </c>
      <c r="P313" s="1">
        <f>VLOOKUP(Master8[[#This Row],[Province_RDC]],Client[],5,FALSE)</f>
        <v>226</v>
      </c>
      <c r="Q313" s="1">
        <f>VLOOKUP(Master8[[#This Row],[Province_RDC]],Client[],6,FALSE)</f>
        <v>94.38</v>
      </c>
      <c r="R313" s="1">
        <f>VLOOKUP(Master8[[#This Row],[Province_RDC]],Client[],7,FALSE)</f>
        <v>3</v>
      </c>
      <c r="S313" s="1" t="str">
        <f>IF(Master8[[#This Row],[Type_Forfait]]="Pro Monde","B2B","B2C")</f>
        <v>B2C</v>
      </c>
      <c r="T313" s="1">
        <f>Master8[[#This Row],[Anciennete_Mois]]/12</f>
        <v>6.583333333333333</v>
      </c>
      <c r="U313" s="1">
        <f>Master8[[#This Row],[Duree_Cumule_Panne_Min]]/60</f>
        <v>3.7666666666666666</v>
      </c>
      <c r="V31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3" s="6">
        <f>Master8[[#This Row],[Facture_Mensuelle]]*Master8[[#This Row],[Remise]]</f>
        <v>0</v>
      </c>
    </row>
    <row r="314" spans="1:24" x14ac:dyDescent="0.25">
      <c r="A314" s="1" t="s">
        <v>1165</v>
      </c>
      <c r="B314" t="str">
        <f>IFERROR(VLOOKUP(Master8[[#This Row],[Cell_ID]],Registre_Maintenance[],2,FALSE),"")</f>
        <v>Kinshasa</v>
      </c>
      <c r="C314" s="1" t="s">
        <v>1151</v>
      </c>
      <c r="D314" s="2">
        <v>45215.056944444441</v>
      </c>
      <c r="E314" s="3">
        <v>45215.056944444441</v>
      </c>
      <c r="F314">
        <v>99</v>
      </c>
      <c r="G314">
        <f>Master8[[#This Row],[Duree_Panne_Min]]/60</f>
        <v>1.65</v>
      </c>
      <c r="H314" s="1" t="s">
        <v>735</v>
      </c>
      <c r="I314">
        <f>IFERROR(VLOOKUP(Master8[[#This Row],[Cell_ID]],Registre_Maintenance[],3,FALSE),"")</f>
        <v>-2.6665070000000002</v>
      </c>
      <c r="J314">
        <f>IFERROR(VLOOKUP(Master8[[#This Row],[Cell_ID]],Registre_Maintenance[],4,FALSE),"")</f>
        <v>18.623692999999999</v>
      </c>
      <c r="K314" t="str">
        <f>IFERROR(VLOOKUP(Master8[[#This Row],[Cell_ID]],Registre_Maintenance[],5,FALSE),"")</f>
        <v>3G</v>
      </c>
      <c r="L314" t="str">
        <f>IFERROR(VLOOKUP(Master8[[#This Row],[Cell_ID]],Registre_Maintenance[],6,FALSE),"")</f>
        <v>ZTE</v>
      </c>
      <c r="M314" s="1" t="str">
        <f>VLOOKUP(Master8[[#This Row],[Province_RDC]],Client[],2,FALSE)</f>
        <v>CLI-00611</v>
      </c>
      <c r="N314" s="1">
        <f>VLOOKUP(Master8[[#This Row],[Province_RDC]],Client[],3,FALSE)</f>
        <v>79</v>
      </c>
      <c r="O314" s="1" t="str">
        <f>VLOOKUP(Master8[[#This Row],[Province_RDC]],Client[],4,FALSE)</f>
        <v>Premium 5G 150Go</v>
      </c>
      <c r="P314" s="1">
        <f>VLOOKUP(Master8[[#This Row],[Province_RDC]],Client[],5,FALSE)</f>
        <v>226</v>
      </c>
      <c r="Q314" s="1">
        <f>VLOOKUP(Master8[[#This Row],[Province_RDC]],Client[],6,FALSE)</f>
        <v>94.38</v>
      </c>
      <c r="R314" s="1">
        <f>VLOOKUP(Master8[[#This Row],[Province_RDC]],Client[],7,FALSE)</f>
        <v>3</v>
      </c>
      <c r="S314" s="1" t="str">
        <f>IF(Master8[[#This Row],[Type_Forfait]]="Pro Monde","B2B","B2C")</f>
        <v>B2C</v>
      </c>
      <c r="T314" s="1">
        <f>Master8[[#This Row],[Anciennete_Mois]]/12</f>
        <v>6.583333333333333</v>
      </c>
      <c r="U314" s="1">
        <f>Master8[[#This Row],[Duree_Cumule_Panne_Min]]/60</f>
        <v>3.7666666666666666</v>
      </c>
      <c r="V31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4" s="6">
        <f>Master8[[#This Row],[Facture_Mensuelle]]*Master8[[#This Row],[Remise]]</f>
        <v>0</v>
      </c>
    </row>
    <row r="315" spans="1:24" x14ac:dyDescent="0.25">
      <c r="A315" s="1" t="s">
        <v>823</v>
      </c>
      <c r="B315" t="str">
        <f>IFERROR(VLOOKUP(Master8[[#This Row],[Cell_ID]],Registre_Maintenance[],2,FALSE),"")</f>
        <v>Kinshasa</v>
      </c>
      <c r="C315" s="1" t="s">
        <v>829</v>
      </c>
      <c r="D315" s="2">
        <v>45210.568055555559</v>
      </c>
      <c r="E315" s="3">
        <v>45210.568055555559</v>
      </c>
      <c r="F315">
        <v>96</v>
      </c>
      <c r="G315">
        <f>Master8[[#This Row],[Duree_Panne_Min]]/60</f>
        <v>1.6</v>
      </c>
      <c r="H315" s="1" t="s">
        <v>732</v>
      </c>
      <c r="I315">
        <f>IFERROR(VLOOKUP(Master8[[#This Row],[Cell_ID]],Registre_Maintenance[],3,FALSE),"")</f>
        <v>-5.4126279999999998</v>
      </c>
      <c r="J315">
        <f>IFERROR(VLOOKUP(Master8[[#This Row],[Cell_ID]],Registre_Maintenance[],4,FALSE),"")</f>
        <v>25.498235999999999</v>
      </c>
      <c r="K315" t="str">
        <f>IFERROR(VLOOKUP(Master8[[#This Row],[Cell_ID]],Registre_Maintenance[],5,FALSE),"")</f>
        <v>5G</v>
      </c>
      <c r="L315" t="str">
        <f>IFERROR(VLOOKUP(Master8[[#This Row],[Cell_ID]],Registre_Maintenance[],6,FALSE),"")</f>
        <v>ZTE</v>
      </c>
      <c r="M315" s="1" t="str">
        <f>VLOOKUP(Master8[[#This Row],[Province_RDC]],Client[],2,FALSE)</f>
        <v>CLI-00611</v>
      </c>
      <c r="N315" s="1">
        <f>VLOOKUP(Master8[[#This Row],[Province_RDC]],Client[],3,FALSE)</f>
        <v>79</v>
      </c>
      <c r="O315" s="1" t="str">
        <f>VLOOKUP(Master8[[#This Row],[Province_RDC]],Client[],4,FALSE)</f>
        <v>Premium 5G 150Go</v>
      </c>
      <c r="P315" s="1">
        <f>VLOOKUP(Master8[[#This Row],[Province_RDC]],Client[],5,FALSE)</f>
        <v>226</v>
      </c>
      <c r="Q315" s="1">
        <f>VLOOKUP(Master8[[#This Row],[Province_RDC]],Client[],6,FALSE)</f>
        <v>94.38</v>
      </c>
      <c r="R315" s="1">
        <f>VLOOKUP(Master8[[#This Row],[Province_RDC]],Client[],7,FALSE)</f>
        <v>3</v>
      </c>
      <c r="S315" s="1" t="str">
        <f>IF(Master8[[#This Row],[Type_Forfait]]="Pro Monde","B2B","B2C")</f>
        <v>B2C</v>
      </c>
      <c r="T315" s="1">
        <f>Master8[[#This Row],[Anciennete_Mois]]/12</f>
        <v>6.583333333333333</v>
      </c>
      <c r="U315" s="1">
        <f>Master8[[#This Row],[Duree_Cumule_Panne_Min]]/60</f>
        <v>3.7666666666666666</v>
      </c>
      <c r="V31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5" s="6">
        <f>Master8[[#This Row],[Facture_Mensuelle]]*Master8[[#This Row],[Remise]]</f>
        <v>0</v>
      </c>
    </row>
    <row r="316" spans="1:24" x14ac:dyDescent="0.25">
      <c r="A316" s="1" t="s">
        <v>1193</v>
      </c>
      <c r="B316" t="str">
        <f>IFERROR(VLOOKUP(Master8[[#This Row],[Cell_ID]],Registre_Maintenance[],2,FALSE),"")</f>
        <v>Kinshasa</v>
      </c>
      <c r="C316" s="1" t="s">
        <v>1148</v>
      </c>
      <c r="D316" s="2">
        <v>45209.354861111111</v>
      </c>
      <c r="E316" s="3">
        <v>45209.354861111111</v>
      </c>
      <c r="F316">
        <v>99</v>
      </c>
      <c r="G316">
        <f>Master8[[#This Row],[Duree_Panne_Min]]/60</f>
        <v>1.65</v>
      </c>
      <c r="H316" s="1" t="s">
        <v>735</v>
      </c>
      <c r="I316">
        <f>IFERROR(VLOOKUP(Master8[[#This Row],[Cell_ID]],Registre_Maintenance[],3,FALSE),"")</f>
        <v>1.3006180000000001</v>
      </c>
      <c r="J316">
        <f>IFERROR(VLOOKUP(Master8[[#This Row],[Cell_ID]],Registre_Maintenance[],4,FALSE),"")</f>
        <v>29.060970999999999</v>
      </c>
      <c r="K316" t="str">
        <f>IFERROR(VLOOKUP(Master8[[#This Row],[Cell_ID]],Registre_Maintenance[],5,FALSE),"")</f>
        <v>3G</v>
      </c>
      <c r="L316" t="str">
        <f>IFERROR(VLOOKUP(Master8[[#This Row],[Cell_ID]],Registre_Maintenance[],6,FALSE),"")</f>
        <v>ZTE</v>
      </c>
      <c r="M316" s="1" t="str">
        <f>VLOOKUP(Master8[[#This Row],[Province_RDC]],Client[],2,FALSE)</f>
        <v>CLI-00611</v>
      </c>
      <c r="N316" s="1">
        <f>VLOOKUP(Master8[[#This Row],[Province_RDC]],Client[],3,FALSE)</f>
        <v>79</v>
      </c>
      <c r="O316" s="1" t="str">
        <f>VLOOKUP(Master8[[#This Row],[Province_RDC]],Client[],4,FALSE)</f>
        <v>Premium 5G 150Go</v>
      </c>
      <c r="P316" s="1">
        <f>VLOOKUP(Master8[[#This Row],[Province_RDC]],Client[],5,FALSE)</f>
        <v>226</v>
      </c>
      <c r="Q316" s="1">
        <f>VLOOKUP(Master8[[#This Row],[Province_RDC]],Client[],6,FALSE)</f>
        <v>94.38</v>
      </c>
      <c r="R316" s="1">
        <f>VLOOKUP(Master8[[#This Row],[Province_RDC]],Client[],7,FALSE)</f>
        <v>3</v>
      </c>
      <c r="S316" s="1" t="str">
        <f>IF(Master8[[#This Row],[Type_Forfait]]="Pro Monde","B2B","B2C")</f>
        <v>B2C</v>
      </c>
      <c r="T316" s="1">
        <f>Master8[[#This Row],[Anciennete_Mois]]/12</f>
        <v>6.583333333333333</v>
      </c>
      <c r="U316" s="1">
        <f>Master8[[#This Row],[Duree_Cumule_Panne_Min]]/60</f>
        <v>3.7666666666666666</v>
      </c>
      <c r="V31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6" s="6">
        <f>Master8[[#This Row],[Facture_Mensuelle]]*Master8[[#This Row],[Remise]]</f>
        <v>0</v>
      </c>
    </row>
    <row r="317" spans="1:24" x14ac:dyDescent="0.25">
      <c r="A317" s="1" t="s">
        <v>1086</v>
      </c>
      <c r="B317" t="str">
        <f>IFERROR(VLOOKUP(Master8[[#This Row],[Cell_ID]],Registre_Maintenance[],2,FALSE),"")</f>
        <v>Kinshasa</v>
      </c>
      <c r="C317" s="1" t="s">
        <v>1076</v>
      </c>
      <c r="D317" s="2">
        <v>45209.215277777781</v>
      </c>
      <c r="E317" s="3">
        <v>45209.215277777781</v>
      </c>
      <c r="F317">
        <v>23</v>
      </c>
      <c r="G317">
        <f>Master8[[#This Row],[Duree_Panne_Min]]/60</f>
        <v>0.38333333333333336</v>
      </c>
      <c r="H317" s="1" t="s">
        <v>737</v>
      </c>
      <c r="I317">
        <f>IFERROR(VLOOKUP(Master8[[#This Row],[Cell_ID]],Registre_Maintenance[],3,FALSE),"")</f>
        <v>-11.389362</v>
      </c>
      <c r="J317">
        <f>IFERROR(VLOOKUP(Master8[[#This Row],[Cell_ID]],Registre_Maintenance[],4,FALSE),"")</f>
        <v>22.240174</v>
      </c>
      <c r="K317" t="str">
        <f>IFERROR(VLOOKUP(Master8[[#This Row],[Cell_ID]],Registre_Maintenance[],5,FALSE),"")</f>
        <v>5G</v>
      </c>
      <c r="L317" t="str">
        <f>IFERROR(VLOOKUP(Master8[[#This Row],[Cell_ID]],Registre_Maintenance[],6,FALSE),"")</f>
        <v>ZTE</v>
      </c>
      <c r="M317" s="1" t="str">
        <f>VLOOKUP(Master8[[#This Row],[Province_RDC]],Client[],2,FALSE)</f>
        <v>CLI-00611</v>
      </c>
      <c r="N317" s="1">
        <f>VLOOKUP(Master8[[#This Row],[Province_RDC]],Client[],3,FALSE)</f>
        <v>79</v>
      </c>
      <c r="O317" s="1" t="str">
        <f>VLOOKUP(Master8[[#This Row],[Province_RDC]],Client[],4,FALSE)</f>
        <v>Premium 5G 150Go</v>
      </c>
      <c r="P317" s="1">
        <f>VLOOKUP(Master8[[#This Row],[Province_RDC]],Client[],5,FALSE)</f>
        <v>226</v>
      </c>
      <c r="Q317" s="1">
        <f>VLOOKUP(Master8[[#This Row],[Province_RDC]],Client[],6,FALSE)</f>
        <v>94.38</v>
      </c>
      <c r="R317" s="1">
        <f>VLOOKUP(Master8[[#This Row],[Province_RDC]],Client[],7,FALSE)</f>
        <v>3</v>
      </c>
      <c r="S317" s="1" t="str">
        <f>IF(Master8[[#This Row],[Type_Forfait]]="Pro Monde","B2B","B2C")</f>
        <v>B2C</v>
      </c>
      <c r="T317" s="1">
        <f>Master8[[#This Row],[Anciennete_Mois]]/12</f>
        <v>6.583333333333333</v>
      </c>
      <c r="U317" s="1">
        <f>Master8[[#This Row],[Duree_Cumule_Panne_Min]]/60</f>
        <v>3.7666666666666666</v>
      </c>
      <c r="V31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7" s="6">
        <f>Master8[[#This Row],[Facture_Mensuelle]]*Master8[[#This Row],[Remise]]</f>
        <v>0</v>
      </c>
    </row>
    <row r="318" spans="1:24" x14ac:dyDescent="0.25">
      <c r="A318" s="1" t="s">
        <v>1288</v>
      </c>
      <c r="B318" t="str">
        <f>IFERROR(VLOOKUP(Master8[[#This Row],[Cell_ID]],Registre_Maintenance[],2,FALSE),"")</f>
        <v>Kinshasa</v>
      </c>
      <c r="C318" s="1" t="s">
        <v>1293</v>
      </c>
      <c r="D318" s="2">
        <v>45206.515972222223</v>
      </c>
      <c r="E318" s="3">
        <v>45206.515972222223</v>
      </c>
      <c r="F318">
        <v>108</v>
      </c>
      <c r="G318">
        <f>Master8[[#This Row],[Duree_Panne_Min]]/60</f>
        <v>1.8</v>
      </c>
      <c r="H318" s="1" t="s">
        <v>732</v>
      </c>
      <c r="I318">
        <f>IFERROR(VLOOKUP(Master8[[#This Row],[Cell_ID]],Registre_Maintenance[],3,FALSE),"")</f>
        <v>-10.227569000000001</v>
      </c>
      <c r="J318">
        <f>IFERROR(VLOOKUP(Master8[[#This Row],[Cell_ID]],Registre_Maintenance[],4,FALSE),"")</f>
        <v>18.887930999999998</v>
      </c>
      <c r="K318" t="str">
        <f>IFERROR(VLOOKUP(Master8[[#This Row],[Cell_ID]],Registre_Maintenance[],5,FALSE),"")</f>
        <v>3G</v>
      </c>
      <c r="L318" t="str">
        <f>IFERROR(VLOOKUP(Master8[[#This Row],[Cell_ID]],Registre_Maintenance[],6,FALSE),"")</f>
        <v>ZTE</v>
      </c>
      <c r="M318" s="1" t="str">
        <f>VLOOKUP(Master8[[#This Row],[Province_RDC]],Client[],2,FALSE)</f>
        <v>CLI-00611</v>
      </c>
      <c r="N318" s="1">
        <f>VLOOKUP(Master8[[#This Row],[Province_RDC]],Client[],3,FALSE)</f>
        <v>79</v>
      </c>
      <c r="O318" s="1" t="str">
        <f>VLOOKUP(Master8[[#This Row],[Province_RDC]],Client[],4,FALSE)</f>
        <v>Premium 5G 150Go</v>
      </c>
      <c r="P318" s="1">
        <f>VLOOKUP(Master8[[#This Row],[Province_RDC]],Client[],5,FALSE)</f>
        <v>226</v>
      </c>
      <c r="Q318" s="1">
        <f>VLOOKUP(Master8[[#This Row],[Province_RDC]],Client[],6,FALSE)</f>
        <v>94.38</v>
      </c>
      <c r="R318" s="1">
        <f>VLOOKUP(Master8[[#This Row],[Province_RDC]],Client[],7,FALSE)</f>
        <v>3</v>
      </c>
      <c r="S318" s="1" t="str">
        <f>IF(Master8[[#This Row],[Type_Forfait]]="Pro Monde","B2B","B2C")</f>
        <v>B2C</v>
      </c>
      <c r="T318" s="1">
        <f>Master8[[#This Row],[Anciennete_Mois]]/12</f>
        <v>6.583333333333333</v>
      </c>
      <c r="U318" s="1">
        <f>Master8[[#This Row],[Duree_Cumule_Panne_Min]]/60</f>
        <v>3.7666666666666666</v>
      </c>
      <c r="V31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8" s="6">
        <f>Master8[[#This Row],[Facture_Mensuelle]]*Master8[[#This Row],[Remise]]</f>
        <v>0</v>
      </c>
    </row>
    <row r="319" spans="1:24" x14ac:dyDescent="0.25">
      <c r="A319" s="1" t="s">
        <v>1138</v>
      </c>
      <c r="B319" t="str">
        <f>IFERROR(VLOOKUP(Master8[[#This Row],[Cell_ID]],Registre_Maintenance[],2,FALSE),"")</f>
        <v>Kinshasa</v>
      </c>
      <c r="C319" s="1" t="s">
        <v>1148</v>
      </c>
      <c r="D319" s="2">
        <v>45204.615972222222</v>
      </c>
      <c r="E319" s="3">
        <v>45204.615972222222</v>
      </c>
      <c r="F319">
        <v>41</v>
      </c>
      <c r="G319">
        <f>Master8[[#This Row],[Duree_Panne_Min]]/60</f>
        <v>0.68333333333333335</v>
      </c>
      <c r="H319" s="1" t="s">
        <v>737</v>
      </c>
      <c r="I319">
        <f>IFERROR(VLOOKUP(Master8[[#This Row],[Cell_ID]],Registre_Maintenance[],3,FALSE),"")</f>
        <v>1.3006180000000001</v>
      </c>
      <c r="J319">
        <f>IFERROR(VLOOKUP(Master8[[#This Row],[Cell_ID]],Registre_Maintenance[],4,FALSE),"")</f>
        <v>29.060970999999999</v>
      </c>
      <c r="K319" t="str">
        <f>IFERROR(VLOOKUP(Master8[[#This Row],[Cell_ID]],Registre_Maintenance[],5,FALSE),"")</f>
        <v>3G</v>
      </c>
      <c r="L319" t="str">
        <f>IFERROR(VLOOKUP(Master8[[#This Row],[Cell_ID]],Registre_Maintenance[],6,FALSE),"")</f>
        <v>ZTE</v>
      </c>
      <c r="M319" s="1" t="str">
        <f>VLOOKUP(Master8[[#This Row],[Province_RDC]],Client[],2,FALSE)</f>
        <v>CLI-00611</v>
      </c>
      <c r="N319" s="1">
        <f>VLOOKUP(Master8[[#This Row],[Province_RDC]],Client[],3,FALSE)</f>
        <v>79</v>
      </c>
      <c r="O319" s="1" t="str">
        <f>VLOOKUP(Master8[[#This Row],[Province_RDC]],Client[],4,FALSE)</f>
        <v>Premium 5G 150Go</v>
      </c>
      <c r="P319" s="1">
        <f>VLOOKUP(Master8[[#This Row],[Province_RDC]],Client[],5,FALSE)</f>
        <v>226</v>
      </c>
      <c r="Q319" s="1">
        <f>VLOOKUP(Master8[[#This Row],[Province_RDC]],Client[],6,FALSE)</f>
        <v>94.38</v>
      </c>
      <c r="R319" s="1">
        <f>VLOOKUP(Master8[[#This Row],[Province_RDC]],Client[],7,FALSE)</f>
        <v>3</v>
      </c>
      <c r="S319" s="1" t="str">
        <f>IF(Master8[[#This Row],[Type_Forfait]]="Pro Monde","B2B","B2C")</f>
        <v>B2C</v>
      </c>
      <c r="T319" s="1">
        <f>Master8[[#This Row],[Anciennete_Mois]]/12</f>
        <v>6.583333333333333</v>
      </c>
      <c r="U319" s="1">
        <f>Master8[[#This Row],[Duree_Cumule_Panne_Min]]/60</f>
        <v>3.7666666666666666</v>
      </c>
      <c r="V31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1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19" s="6">
        <f>Master8[[#This Row],[Facture_Mensuelle]]*Master8[[#This Row],[Remise]]</f>
        <v>0</v>
      </c>
    </row>
    <row r="320" spans="1:24" x14ac:dyDescent="0.25">
      <c r="A320" s="1" t="s">
        <v>861</v>
      </c>
      <c r="B320" t="str">
        <f>IFERROR(VLOOKUP(Master8[[#This Row],[Cell_ID]],Registre_Maintenance[],2,FALSE),"")</f>
        <v>Kinshasa</v>
      </c>
      <c r="C320" s="1" t="s">
        <v>866</v>
      </c>
      <c r="D320" s="2">
        <v>45200.525694444441</v>
      </c>
      <c r="E320" s="3">
        <v>45200.525694444441</v>
      </c>
      <c r="F320">
        <v>88</v>
      </c>
      <c r="G320">
        <f>Master8[[#This Row],[Duree_Panne_Min]]/60</f>
        <v>1.4666666666666666</v>
      </c>
      <c r="H320" s="1" t="s">
        <v>737</v>
      </c>
      <c r="I320">
        <f>IFERROR(VLOOKUP(Master8[[#This Row],[Cell_ID]],Registre_Maintenance[],3,FALSE),"")</f>
        <v>-1.6097570000000001</v>
      </c>
      <c r="J320">
        <f>IFERROR(VLOOKUP(Master8[[#This Row],[Cell_ID]],Registre_Maintenance[],4,FALSE),"")</f>
        <v>30.661662</v>
      </c>
      <c r="K320" t="str">
        <f>IFERROR(VLOOKUP(Master8[[#This Row],[Cell_ID]],Registre_Maintenance[],5,FALSE),"")</f>
        <v>4G</v>
      </c>
      <c r="L320" t="str">
        <f>IFERROR(VLOOKUP(Master8[[#This Row],[Cell_ID]],Registre_Maintenance[],6,FALSE),"")</f>
        <v>Ericsson</v>
      </c>
      <c r="M320" s="1" t="str">
        <f>VLOOKUP(Master8[[#This Row],[Province_RDC]],Client[],2,FALSE)</f>
        <v>CLI-00611</v>
      </c>
      <c r="N320" s="1">
        <f>VLOOKUP(Master8[[#This Row],[Province_RDC]],Client[],3,FALSE)</f>
        <v>79</v>
      </c>
      <c r="O320" s="1" t="str">
        <f>VLOOKUP(Master8[[#This Row],[Province_RDC]],Client[],4,FALSE)</f>
        <v>Premium 5G 150Go</v>
      </c>
      <c r="P320" s="1">
        <f>VLOOKUP(Master8[[#This Row],[Province_RDC]],Client[],5,FALSE)</f>
        <v>226</v>
      </c>
      <c r="Q320" s="1">
        <f>VLOOKUP(Master8[[#This Row],[Province_RDC]],Client[],6,FALSE)</f>
        <v>94.38</v>
      </c>
      <c r="R320" s="1">
        <f>VLOOKUP(Master8[[#This Row],[Province_RDC]],Client[],7,FALSE)</f>
        <v>3</v>
      </c>
      <c r="S320" s="1" t="str">
        <f>IF(Master8[[#This Row],[Type_Forfait]]="Pro Monde","B2B","B2C")</f>
        <v>B2C</v>
      </c>
      <c r="T320" s="1">
        <f>Master8[[#This Row],[Anciennete_Mois]]/12</f>
        <v>6.583333333333333</v>
      </c>
      <c r="U320" s="1">
        <f>Master8[[#This Row],[Duree_Cumule_Panne_Min]]/60</f>
        <v>3.7666666666666666</v>
      </c>
      <c r="V32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</v>
      </c>
      <c r="X320" s="6">
        <f>Master8[[#This Row],[Facture_Mensuelle]]*Master8[[#This Row],[Remise]]</f>
        <v>0</v>
      </c>
    </row>
    <row r="321" spans="1:24" x14ac:dyDescent="0.25">
      <c r="A321" s="1" t="s">
        <v>1024</v>
      </c>
      <c r="B321" t="str">
        <f>IFERROR(VLOOKUP(Master8[[#This Row],[Cell_ID]],Registre_Maintenance[],2,FALSE),"")</f>
        <v>Kasai-Oriental</v>
      </c>
      <c r="C321" s="1" t="s">
        <v>1055</v>
      </c>
      <c r="D321" s="2">
        <v>45230.633333333331</v>
      </c>
      <c r="E321" s="3">
        <v>45230.633333333331</v>
      </c>
      <c r="F321">
        <v>34</v>
      </c>
      <c r="G321">
        <f>Master8[[#This Row],[Duree_Panne_Min]]/60</f>
        <v>0.56666666666666665</v>
      </c>
      <c r="H321" s="1" t="s">
        <v>732</v>
      </c>
      <c r="I321">
        <f>IFERROR(VLOOKUP(Master8[[#This Row],[Cell_ID]],Registre_Maintenance[],3,FALSE),"")</f>
        <v>2.486888</v>
      </c>
      <c r="J321">
        <f>IFERROR(VLOOKUP(Master8[[#This Row],[Cell_ID]],Registre_Maintenance[],4,FALSE),"")</f>
        <v>23.798074</v>
      </c>
      <c r="K321" t="str">
        <f>IFERROR(VLOOKUP(Master8[[#This Row],[Cell_ID]],Registre_Maintenance[],5,FALSE),"")</f>
        <v>5G</v>
      </c>
      <c r="L321" t="str">
        <f>IFERROR(VLOOKUP(Master8[[#This Row],[Cell_ID]],Registre_Maintenance[],6,FALSE),"")</f>
        <v>ZTE</v>
      </c>
      <c r="M321" s="1" t="str">
        <f>VLOOKUP(Master8[[#This Row],[Province_RDC]],Client[],2,FALSE)</f>
        <v>CLI-01837</v>
      </c>
      <c r="N321" s="1">
        <f>VLOOKUP(Master8[[#This Row],[Province_RDC]],Client[],3,FALSE)</f>
        <v>97</v>
      </c>
      <c r="O321" s="1" t="str">
        <f>VLOOKUP(Master8[[#This Row],[Province_RDC]],Client[],4,FALSE)</f>
        <v>Pro Monde</v>
      </c>
      <c r="P321" s="1">
        <f>VLOOKUP(Master8[[#This Row],[Province_RDC]],Client[],5,FALSE)</f>
        <v>319</v>
      </c>
      <c r="Q321" s="1">
        <f>VLOOKUP(Master8[[#This Row],[Province_RDC]],Client[],6,FALSE)</f>
        <v>31.25</v>
      </c>
      <c r="R321" s="1">
        <f>VLOOKUP(Master8[[#This Row],[Province_RDC]],Client[],7,FALSE)</f>
        <v>1</v>
      </c>
      <c r="S321" s="1" t="str">
        <f>IF(Master8[[#This Row],[Type_Forfait]]="Pro Monde","B2B","B2C")</f>
        <v>B2B</v>
      </c>
      <c r="T321" s="1">
        <f>Master8[[#This Row],[Anciennete_Mois]]/12</f>
        <v>8.0833333333333339</v>
      </c>
      <c r="U321" s="1">
        <f>Master8[[#This Row],[Duree_Cumule_Panne_Min]]/60</f>
        <v>5.3166666666666664</v>
      </c>
      <c r="V32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1" s="6">
        <f>Master8[[#This Row],[Facture_Mensuelle]]*Master8[[#This Row],[Remise]]</f>
        <v>14.0625</v>
      </c>
    </row>
    <row r="322" spans="1:24" x14ac:dyDescent="0.25">
      <c r="A322" s="1" t="s">
        <v>1404</v>
      </c>
      <c r="B322" t="str">
        <f>IFERROR(VLOOKUP(Master8[[#This Row],[Cell_ID]],Registre_Maintenance[],2,FALSE),"")</f>
        <v>Kasai-Oriental</v>
      </c>
      <c r="C322" s="1" t="s">
        <v>1055</v>
      </c>
      <c r="D322" s="2">
        <v>45226.115972222222</v>
      </c>
      <c r="E322" s="3">
        <v>45226.115972222222</v>
      </c>
      <c r="F322">
        <v>5</v>
      </c>
      <c r="G322">
        <f>Master8[[#This Row],[Duree_Panne_Min]]/60</f>
        <v>8.3333333333333329E-2</v>
      </c>
      <c r="H322" s="1" t="s">
        <v>737</v>
      </c>
      <c r="I322">
        <f>IFERROR(VLOOKUP(Master8[[#This Row],[Cell_ID]],Registre_Maintenance[],3,FALSE),"")</f>
        <v>2.486888</v>
      </c>
      <c r="J322">
        <f>IFERROR(VLOOKUP(Master8[[#This Row],[Cell_ID]],Registre_Maintenance[],4,FALSE),"")</f>
        <v>23.798074</v>
      </c>
      <c r="K322" t="str">
        <f>IFERROR(VLOOKUP(Master8[[#This Row],[Cell_ID]],Registre_Maintenance[],5,FALSE),"")</f>
        <v>5G</v>
      </c>
      <c r="L322" t="str">
        <f>IFERROR(VLOOKUP(Master8[[#This Row],[Cell_ID]],Registre_Maintenance[],6,FALSE),"")</f>
        <v>ZTE</v>
      </c>
      <c r="M322" s="1" t="str">
        <f>VLOOKUP(Master8[[#This Row],[Province_RDC]],Client[],2,FALSE)</f>
        <v>CLI-01837</v>
      </c>
      <c r="N322" s="1">
        <f>VLOOKUP(Master8[[#This Row],[Province_RDC]],Client[],3,FALSE)</f>
        <v>97</v>
      </c>
      <c r="O322" s="1" t="str">
        <f>VLOOKUP(Master8[[#This Row],[Province_RDC]],Client[],4,FALSE)</f>
        <v>Pro Monde</v>
      </c>
      <c r="P322" s="1">
        <f>VLOOKUP(Master8[[#This Row],[Province_RDC]],Client[],5,FALSE)</f>
        <v>319</v>
      </c>
      <c r="Q322" s="1">
        <f>VLOOKUP(Master8[[#This Row],[Province_RDC]],Client[],6,FALSE)</f>
        <v>31.25</v>
      </c>
      <c r="R322" s="1">
        <f>VLOOKUP(Master8[[#This Row],[Province_RDC]],Client[],7,FALSE)</f>
        <v>1</v>
      </c>
      <c r="S322" s="1" t="str">
        <f>IF(Master8[[#This Row],[Type_Forfait]]="Pro Monde","B2B","B2C")</f>
        <v>B2B</v>
      </c>
      <c r="T322" s="1">
        <f>Master8[[#This Row],[Anciennete_Mois]]/12</f>
        <v>8.0833333333333339</v>
      </c>
      <c r="U322" s="1">
        <f>Master8[[#This Row],[Duree_Cumule_Panne_Min]]/60</f>
        <v>5.3166666666666664</v>
      </c>
      <c r="V32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2" s="6">
        <f>Master8[[#This Row],[Facture_Mensuelle]]*Master8[[#This Row],[Remise]]</f>
        <v>14.0625</v>
      </c>
    </row>
    <row r="323" spans="1:24" x14ac:dyDescent="0.25">
      <c r="A323" s="1" t="s">
        <v>939</v>
      </c>
      <c r="B323" t="str">
        <f>IFERROR(VLOOKUP(Master8[[#This Row],[Cell_ID]],Registre_Maintenance[],2,FALSE),"")</f>
        <v>Kasai-Oriental</v>
      </c>
      <c r="C323" s="1" t="s">
        <v>955</v>
      </c>
      <c r="D323" s="2">
        <v>45221.724999999999</v>
      </c>
      <c r="E323" s="3">
        <v>45221.724999999999</v>
      </c>
      <c r="F323">
        <v>55</v>
      </c>
      <c r="G323">
        <f>Master8[[#This Row],[Duree_Panne_Min]]/60</f>
        <v>0.91666666666666663</v>
      </c>
      <c r="H323" s="1" t="s">
        <v>735</v>
      </c>
      <c r="I323">
        <f>IFERROR(VLOOKUP(Master8[[#This Row],[Cell_ID]],Registre_Maintenance[],3,FALSE),"")</f>
        <v>-1.3976519999999999</v>
      </c>
      <c r="J323">
        <f>IFERROR(VLOOKUP(Master8[[#This Row],[Cell_ID]],Registre_Maintenance[],4,FALSE),"")</f>
        <v>14.098819000000001</v>
      </c>
      <c r="K323" t="str">
        <f>IFERROR(VLOOKUP(Master8[[#This Row],[Cell_ID]],Registre_Maintenance[],5,FALSE),"")</f>
        <v>3G</v>
      </c>
      <c r="L323" t="str">
        <f>IFERROR(VLOOKUP(Master8[[#This Row],[Cell_ID]],Registre_Maintenance[],6,FALSE),"")</f>
        <v>Ericsson</v>
      </c>
      <c r="M323" s="1" t="str">
        <f>VLOOKUP(Master8[[#This Row],[Province_RDC]],Client[],2,FALSE)</f>
        <v>CLI-01837</v>
      </c>
      <c r="N323" s="1">
        <f>VLOOKUP(Master8[[#This Row],[Province_RDC]],Client[],3,FALSE)</f>
        <v>97</v>
      </c>
      <c r="O323" s="1" t="str">
        <f>VLOOKUP(Master8[[#This Row],[Province_RDC]],Client[],4,FALSE)</f>
        <v>Pro Monde</v>
      </c>
      <c r="P323" s="1">
        <f>VLOOKUP(Master8[[#This Row],[Province_RDC]],Client[],5,FALSE)</f>
        <v>319</v>
      </c>
      <c r="Q323" s="1">
        <f>VLOOKUP(Master8[[#This Row],[Province_RDC]],Client[],6,FALSE)</f>
        <v>31.25</v>
      </c>
      <c r="R323" s="1">
        <f>VLOOKUP(Master8[[#This Row],[Province_RDC]],Client[],7,FALSE)</f>
        <v>1</v>
      </c>
      <c r="S323" s="1" t="str">
        <f>IF(Master8[[#This Row],[Type_Forfait]]="Pro Monde","B2B","B2C")</f>
        <v>B2B</v>
      </c>
      <c r="T323" s="1">
        <f>Master8[[#This Row],[Anciennete_Mois]]/12</f>
        <v>8.0833333333333339</v>
      </c>
      <c r="U323" s="1">
        <f>Master8[[#This Row],[Duree_Cumule_Panne_Min]]/60</f>
        <v>5.3166666666666664</v>
      </c>
      <c r="V32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3" s="6">
        <f>Master8[[#This Row],[Facture_Mensuelle]]*Master8[[#This Row],[Remise]]</f>
        <v>14.0625</v>
      </c>
    </row>
    <row r="324" spans="1:24" x14ac:dyDescent="0.25">
      <c r="A324" s="1" t="s">
        <v>1114</v>
      </c>
      <c r="B324" t="str">
        <f>IFERROR(VLOOKUP(Master8[[#This Row],[Cell_ID]],Registre_Maintenance[],2,FALSE),"")</f>
        <v>Kasai-Oriental</v>
      </c>
      <c r="C324" s="1" t="s">
        <v>1125</v>
      </c>
      <c r="D324" s="2">
        <v>45216.865277777782</v>
      </c>
      <c r="E324" s="3">
        <v>45216.865277777782</v>
      </c>
      <c r="F324">
        <v>10</v>
      </c>
      <c r="G324">
        <f>Master8[[#This Row],[Duree_Panne_Min]]/60</f>
        <v>0.16666666666666666</v>
      </c>
      <c r="H324" s="1" t="s">
        <v>735</v>
      </c>
      <c r="I324">
        <f>IFERROR(VLOOKUP(Master8[[#This Row],[Cell_ID]],Registre_Maintenance[],3,FALSE),"")</f>
        <v>-1.648326</v>
      </c>
      <c r="J324">
        <f>IFERROR(VLOOKUP(Master8[[#This Row],[Cell_ID]],Registre_Maintenance[],4,FALSE),"")</f>
        <v>25.528901999999999</v>
      </c>
      <c r="K324" t="str">
        <f>IFERROR(VLOOKUP(Master8[[#This Row],[Cell_ID]],Registre_Maintenance[],5,FALSE),"")</f>
        <v>4G</v>
      </c>
      <c r="L324" t="str">
        <f>IFERROR(VLOOKUP(Master8[[#This Row],[Cell_ID]],Registre_Maintenance[],6,FALSE),"")</f>
        <v>Huawei</v>
      </c>
      <c r="M324" s="1" t="str">
        <f>VLOOKUP(Master8[[#This Row],[Province_RDC]],Client[],2,FALSE)</f>
        <v>CLI-01837</v>
      </c>
      <c r="N324" s="1">
        <f>VLOOKUP(Master8[[#This Row],[Province_RDC]],Client[],3,FALSE)</f>
        <v>97</v>
      </c>
      <c r="O324" s="1" t="str">
        <f>VLOOKUP(Master8[[#This Row],[Province_RDC]],Client[],4,FALSE)</f>
        <v>Pro Monde</v>
      </c>
      <c r="P324" s="1">
        <f>VLOOKUP(Master8[[#This Row],[Province_RDC]],Client[],5,FALSE)</f>
        <v>319</v>
      </c>
      <c r="Q324" s="1">
        <f>VLOOKUP(Master8[[#This Row],[Province_RDC]],Client[],6,FALSE)</f>
        <v>31.25</v>
      </c>
      <c r="R324" s="1">
        <f>VLOOKUP(Master8[[#This Row],[Province_RDC]],Client[],7,FALSE)</f>
        <v>1</v>
      </c>
      <c r="S324" s="1" t="str">
        <f>IF(Master8[[#This Row],[Type_Forfait]]="Pro Monde","B2B","B2C")</f>
        <v>B2B</v>
      </c>
      <c r="T324" s="1">
        <f>Master8[[#This Row],[Anciennete_Mois]]/12</f>
        <v>8.0833333333333339</v>
      </c>
      <c r="U324" s="1">
        <f>Master8[[#This Row],[Duree_Cumule_Panne_Min]]/60</f>
        <v>5.3166666666666664</v>
      </c>
      <c r="V32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4" s="6">
        <f>Master8[[#This Row],[Facture_Mensuelle]]*Master8[[#This Row],[Remise]]</f>
        <v>14.0625</v>
      </c>
    </row>
    <row r="325" spans="1:24" x14ac:dyDescent="0.25">
      <c r="A325" s="1" t="s">
        <v>902</v>
      </c>
      <c r="B325" t="str">
        <f>IFERROR(VLOOKUP(Master8[[#This Row],[Cell_ID]],Registre_Maintenance[],2,FALSE),"")</f>
        <v>Kasai-Oriental</v>
      </c>
      <c r="C325" s="1" t="s">
        <v>935</v>
      </c>
      <c r="D325" s="2">
        <v>45216.729861111111</v>
      </c>
      <c r="E325" s="3">
        <v>45216.729861111111</v>
      </c>
      <c r="F325">
        <v>109</v>
      </c>
      <c r="G325">
        <f>Master8[[#This Row],[Duree_Panne_Min]]/60</f>
        <v>1.8166666666666667</v>
      </c>
      <c r="H325" s="1" t="s">
        <v>737</v>
      </c>
      <c r="I325">
        <f>IFERROR(VLOOKUP(Master8[[#This Row],[Cell_ID]],Registre_Maintenance[],3,FALSE),"")</f>
        <v>0.639208</v>
      </c>
      <c r="J325">
        <f>IFERROR(VLOOKUP(Master8[[#This Row],[Cell_ID]],Registre_Maintenance[],4,FALSE),"")</f>
        <v>20.701739</v>
      </c>
      <c r="K325" t="str">
        <f>IFERROR(VLOOKUP(Master8[[#This Row],[Cell_ID]],Registre_Maintenance[],5,FALSE),"")</f>
        <v>4G</v>
      </c>
      <c r="L325" t="str">
        <f>IFERROR(VLOOKUP(Master8[[#This Row],[Cell_ID]],Registre_Maintenance[],6,FALSE),"")</f>
        <v>Huawei</v>
      </c>
      <c r="M325" s="1" t="str">
        <f>VLOOKUP(Master8[[#This Row],[Province_RDC]],Client[],2,FALSE)</f>
        <v>CLI-01837</v>
      </c>
      <c r="N325" s="1">
        <f>VLOOKUP(Master8[[#This Row],[Province_RDC]],Client[],3,FALSE)</f>
        <v>97</v>
      </c>
      <c r="O325" s="1" t="str">
        <f>VLOOKUP(Master8[[#This Row],[Province_RDC]],Client[],4,FALSE)</f>
        <v>Pro Monde</v>
      </c>
      <c r="P325" s="1">
        <f>VLOOKUP(Master8[[#This Row],[Province_RDC]],Client[],5,FALSE)</f>
        <v>319</v>
      </c>
      <c r="Q325" s="1">
        <f>VLOOKUP(Master8[[#This Row],[Province_RDC]],Client[],6,FALSE)</f>
        <v>31.25</v>
      </c>
      <c r="R325" s="1">
        <f>VLOOKUP(Master8[[#This Row],[Province_RDC]],Client[],7,FALSE)</f>
        <v>1</v>
      </c>
      <c r="S325" s="1" t="str">
        <f>IF(Master8[[#This Row],[Type_Forfait]]="Pro Monde","B2B","B2C")</f>
        <v>B2B</v>
      </c>
      <c r="T325" s="1">
        <f>Master8[[#This Row],[Anciennete_Mois]]/12</f>
        <v>8.0833333333333339</v>
      </c>
      <c r="U325" s="1">
        <f>Master8[[#This Row],[Duree_Cumule_Panne_Min]]/60</f>
        <v>5.3166666666666664</v>
      </c>
      <c r="V32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5" s="6">
        <f>Master8[[#This Row],[Facture_Mensuelle]]*Master8[[#This Row],[Remise]]</f>
        <v>14.0625</v>
      </c>
    </row>
    <row r="326" spans="1:24" x14ac:dyDescent="0.25">
      <c r="A326" s="1" t="s">
        <v>1404</v>
      </c>
      <c r="B326" t="str">
        <f>IFERROR(VLOOKUP(Master8[[#This Row],[Cell_ID]],Registre_Maintenance[],2,FALSE),"")</f>
        <v>Kasai-Oriental</v>
      </c>
      <c r="C326" s="1" t="s">
        <v>1090</v>
      </c>
      <c r="D326" s="2">
        <v>45214.850694444453</v>
      </c>
      <c r="E326" s="3">
        <v>45214.850694444453</v>
      </c>
      <c r="F326">
        <v>31</v>
      </c>
      <c r="G326">
        <f>Master8[[#This Row],[Duree_Panne_Min]]/60</f>
        <v>0.51666666666666672</v>
      </c>
      <c r="H326" s="1" t="s">
        <v>737</v>
      </c>
      <c r="I326">
        <f>IFERROR(VLOOKUP(Master8[[#This Row],[Cell_ID]],Registre_Maintenance[],3,FALSE),"")</f>
        <v>-5.4073029999999997</v>
      </c>
      <c r="J326">
        <f>IFERROR(VLOOKUP(Master8[[#This Row],[Cell_ID]],Registre_Maintenance[],4,FALSE),"")</f>
        <v>29.762294000000001</v>
      </c>
      <c r="K326" t="str">
        <f>IFERROR(VLOOKUP(Master8[[#This Row],[Cell_ID]],Registre_Maintenance[],5,FALSE),"")</f>
        <v>3G</v>
      </c>
      <c r="L326" t="str">
        <f>IFERROR(VLOOKUP(Master8[[#This Row],[Cell_ID]],Registre_Maintenance[],6,FALSE),"")</f>
        <v>Ericsson</v>
      </c>
      <c r="M326" s="1" t="str">
        <f>VLOOKUP(Master8[[#This Row],[Province_RDC]],Client[],2,FALSE)</f>
        <v>CLI-01837</v>
      </c>
      <c r="N326" s="1">
        <f>VLOOKUP(Master8[[#This Row],[Province_RDC]],Client[],3,FALSE)</f>
        <v>97</v>
      </c>
      <c r="O326" s="1" t="str">
        <f>VLOOKUP(Master8[[#This Row],[Province_RDC]],Client[],4,FALSE)</f>
        <v>Pro Monde</v>
      </c>
      <c r="P326" s="1">
        <f>VLOOKUP(Master8[[#This Row],[Province_RDC]],Client[],5,FALSE)</f>
        <v>319</v>
      </c>
      <c r="Q326" s="1">
        <f>VLOOKUP(Master8[[#This Row],[Province_RDC]],Client[],6,FALSE)</f>
        <v>31.25</v>
      </c>
      <c r="R326" s="1">
        <f>VLOOKUP(Master8[[#This Row],[Province_RDC]],Client[],7,FALSE)</f>
        <v>1</v>
      </c>
      <c r="S326" s="1" t="str">
        <f>IF(Master8[[#This Row],[Type_Forfait]]="Pro Monde","B2B","B2C")</f>
        <v>B2B</v>
      </c>
      <c r="T326" s="1">
        <f>Master8[[#This Row],[Anciennete_Mois]]/12</f>
        <v>8.0833333333333339</v>
      </c>
      <c r="U326" s="1">
        <f>Master8[[#This Row],[Duree_Cumule_Panne_Min]]/60</f>
        <v>5.3166666666666664</v>
      </c>
      <c r="V32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6" s="6">
        <f>Master8[[#This Row],[Facture_Mensuelle]]*Master8[[#This Row],[Remise]]</f>
        <v>14.0625</v>
      </c>
    </row>
    <row r="327" spans="1:24" x14ac:dyDescent="0.25">
      <c r="A327" s="1" t="s">
        <v>1330</v>
      </c>
      <c r="B327" t="str">
        <f>IFERROR(VLOOKUP(Master8[[#This Row],[Cell_ID]],Registre_Maintenance[],2,FALSE),"")</f>
        <v>Kasai-Oriental</v>
      </c>
      <c r="C327" s="1" t="s">
        <v>1339</v>
      </c>
      <c r="D327" s="2">
        <v>45211.063888888893</v>
      </c>
      <c r="E327" s="3">
        <v>45211.063888888893</v>
      </c>
      <c r="F327">
        <v>6</v>
      </c>
      <c r="G327">
        <f>Master8[[#This Row],[Duree_Panne_Min]]/60</f>
        <v>0.1</v>
      </c>
      <c r="H327" s="1" t="s">
        <v>737</v>
      </c>
      <c r="I327">
        <f>IFERROR(VLOOKUP(Master8[[#This Row],[Cell_ID]],Registre_Maintenance[],3,FALSE),"")</f>
        <v>1.7832440000000001</v>
      </c>
      <c r="J327">
        <f>IFERROR(VLOOKUP(Master8[[#This Row],[Cell_ID]],Registre_Maintenance[],4,FALSE),"")</f>
        <v>25.477405999999998</v>
      </c>
      <c r="K327" t="str">
        <f>IFERROR(VLOOKUP(Master8[[#This Row],[Cell_ID]],Registre_Maintenance[],5,FALSE),"")</f>
        <v>5G</v>
      </c>
      <c r="L327" t="str">
        <f>IFERROR(VLOOKUP(Master8[[#This Row],[Cell_ID]],Registre_Maintenance[],6,FALSE),"")</f>
        <v>Huawei</v>
      </c>
      <c r="M327" s="1" t="str">
        <f>VLOOKUP(Master8[[#This Row],[Province_RDC]],Client[],2,FALSE)</f>
        <v>CLI-01837</v>
      </c>
      <c r="N327" s="1">
        <f>VLOOKUP(Master8[[#This Row],[Province_RDC]],Client[],3,FALSE)</f>
        <v>97</v>
      </c>
      <c r="O327" s="1" t="str">
        <f>VLOOKUP(Master8[[#This Row],[Province_RDC]],Client[],4,FALSE)</f>
        <v>Pro Monde</v>
      </c>
      <c r="P327" s="1">
        <f>VLOOKUP(Master8[[#This Row],[Province_RDC]],Client[],5,FALSE)</f>
        <v>319</v>
      </c>
      <c r="Q327" s="1">
        <f>VLOOKUP(Master8[[#This Row],[Province_RDC]],Client[],6,FALSE)</f>
        <v>31.25</v>
      </c>
      <c r="R327" s="1">
        <f>VLOOKUP(Master8[[#This Row],[Province_RDC]],Client[],7,FALSE)</f>
        <v>1</v>
      </c>
      <c r="S327" s="1" t="str">
        <f>IF(Master8[[#This Row],[Type_Forfait]]="Pro Monde","B2B","B2C")</f>
        <v>B2B</v>
      </c>
      <c r="T327" s="1">
        <f>Master8[[#This Row],[Anciennete_Mois]]/12</f>
        <v>8.0833333333333339</v>
      </c>
      <c r="U327" s="1">
        <f>Master8[[#This Row],[Duree_Cumule_Panne_Min]]/60</f>
        <v>5.3166666666666664</v>
      </c>
      <c r="V32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7" s="6">
        <f>Master8[[#This Row],[Facture_Mensuelle]]*Master8[[#This Row],[Remise]]</f>
        <v>14.0625</v>
      </c>
    </row>
    <row r="328" spans="1:24" x14ac:dyDescent="0.25">
      <c r="A328" s="1" t="s">
        <v>1086</v>
      </c>
      <c r="B328" t="str">
        <f>IFERROR(VLOOKUP(Master8[[#This Row],[Cell_ID]],Registre_Maintenance[],2,FALSE),"")</f>
        <v>Kasai-Oriental</v>
      </c>
      <c r="C328" s="1" t="s">
        <v>1090</v>
      </c>
      <c r="D328" s="2">
        <v>45207.133333333331</v>
      </c>
      <c r="E328" s="3">
        <v>45207.133333333331</v>
      </c>
      <c r="F328">
        <v>66</v>
      </c>
      <c r="G328">
        <f>Master8[[#This Row],[Duree_Panne_Min]]/60</f>
        <v>1.1000000000000001</v>
      </c>
      <c r="H328" s="1" t="s">
        <v>735</v>
      </c>
      <c r="I328">
        <f>IFERROR(VLOOKUP(Master8[[#This Row],[Cell_ID]],Registre_Maintenance[],3,FALSE),"")</f>
        <v>-5.4073029999999997</v>
      </c>
      <c r="J328">
        <f>IFERROR(VLOOKUP(Master8[[#This Row],[Cell_ID]],Registre_Maintenance[],4,FALSE),"")</f>
        <v>29.762294000000001</v>
      </c>
      <c r="K328" t="str">
        <f>IFERROR(VLOOKUP(Master8[[#This Row],[Cell_ID]],Registre_Maintenance[],5,FALSE),"")</f>
        <v>3G</v>
      </c>
      <c r="L328" t="str">
        <f>IFERROR(VLOOKUP(Master8[[#This Row],[Cell_ID]],Registre_Maintenance[],6,FALSE),"")</f>
        <v>Ericsson</v>
      </c>
      <c r="M328" s="1" t="str">
        <f>VLOOKUP(Master8[[#This Row],[Province_RDC]],Client[],2,FALSE)</f>
        <v>CLI-01837</v>
      </c>
      <c r="N328" s="1">
        <f>VLOOKUP(Master8[[#This Row],[Province_RDC]],Client[],3,FALSE)</f>
        <v>97</v>
      </c>
      <c r="O328" s="1" t="str">
        <f>VLOOKUP(Master8[[#This Row],[Province_RDC]],Client[],4,FALSE)</f>
        <v>Pro Monde</v>
      </c>
      <c r="P328" s="1">
        <f>VLOOKUP(Master8[[#This Row],[Province_RDC]],Client[],5,FALSE)</f>
        <v>319</v>
      </c>
      <c r="Q328" s="1">
        <f>VLOOKUP(Master8[[#This Row],[Province_RDC]],Client[],6,FALSE)</f>
        <v>31.25</v>
      </c>
      <c r="R328" s="1">
        <f>VLOOKUP(Master8[[#This Row],[Province_RDC]],Client[],7,FALSE)</f>
        <v>1</v>
      </c>
      <c r="S328" s="1" t="str">
        <f>IF(Master8[[#This Row],[Type_Forfait]]="Pro Monde","B2B","B2C")</f>
        <v>B2B</v>
      </c>
      <c r="T328" s="1">
        <f>Master8[[#This Row],[Anciennete_Mois]]/12</f>
        <v>8.0833333333333339</v>
      </c>
      <c r="U328" s="1">
        <f>Master8[[#This Row],[Duree_Cumule_Panne_Min]]/60</f>
        <v>5.3166666666666664</v>
      </c>
      <c r="V32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8" s="6">
        <f>Master8[[#This Row],[Facture_Mensuelle]]*Master8[[#This Row],[Remise]]</f>
        <v>14.0625</v>
      </c>
    </row>
    <row r="329" spans="1:24" x14ac:dyDescent="0.25">
      <c r="A329" s="1" t="s">
        <v>1165</v>
      </c>
      <c r="B329" t="str">
        <f>IFERROR(VLOOKUP(Master8[[#This Row],[Cell_ID]],Registre_Maintenance[],2,FALSE),"")</f>
        <v>Kasai-Oriental</v>
      </c>
      <c r="C329" s="1" t="s">
        <v>1171</v>
      </c>
      <c r="D329" s="2">
        <v>45201.726388888892</v>
      </c>
      <c r="E329" s="3">
        <v>45201.726388888892</v>
      </c>
      <c r="F329">
        <v>97</v>
      </c>
      <c r="G329">
        <f>Master8[[#This Row],[Duree_Panne_Min]]/60</f>
        <v>1.6166666666666667</v>
      </c>
      <c r="H329" s="1" t="s">
        <v>735</v>
      </c>
      <c r="I329">
        <f>IFERROR(VLOOKUP(Master8[[#This Row],[Cell_ID]],Registre_Maintenance[],3,FALSE),"")</f>
        <v>-4.3639070000000002</v>
      </c>
      <c r="J329">
        <f>IFERROR(VLOOKUP(Master8[[#This Row],[Cell_ID]],Registre_Maintenance[],4,FALSE),"")</f>
        <v>16.283307000000001</v>
      </c>
      <c r="K329" t="str">
        <f>IFERROR(VLOOKUP(Master8[[#This Row],[Cell_ID]],Registre_Maintenance[],5,FALSE),"")</f>
        <v>5G</v>
      </c>
      <c r="L329" t="str">
        <f>IFERROR(VLOOKUP(Master8[[#This Row],[Cell_ID]],Registre_Maintenance[],6,FALSE),"")</f>
        <v>Huawei</v>
      </c>
      <c r="M329" s="1" t="str">
        <f>VLOOKUP(Master8[[#This Row],[Province_RDC]],Client[],2,FALSE)</f>
        <v>CLI-01837</v>
      </c>
      <c r="N329" s="1">
        <f>VLOOKUP(Master8[[#This Row],[Province_RDC]],Client[],3,FALSE)</f>
        <v>97</v>
      </c>
      <c r="O329" s="1" t="str">
        <f>VLOOKUP(Master8[[#This Row],[Province_RDC]],Client[],4,FALSE)</f>
        <v>Pro Monde</v>
      </c>
      <c r="P329" s="1">
        <f>VLOOKUP(Master8[[#This Row],[Province_RDC]],Client[],5,FALSE)</f>
        <v>319</v>
      </c>
      <c r="Q329" s="1">
        <f>VLOOKUP(Master8[[#This Row],[Province_RDC]],Client[],6,FALSE)</f>
        <v>31.25</v>
      </c>
      <c r="R329" s="1">
        <f>VLOOKUP(Master8[[#This Row],[Province_RDC]],Client[],7,FALSE)</f>
        <v>1</v>
      </c>
      <c r="S329" s="1" t="str">
        <f>IF(Master8[[#This Row],[Type_Forfait]]="Pro Monde","B2B","B2C")</f>
        <v>B2B</v>
      </c>
      <c r="T329" s="1">
        <f>Master8[[#This Row],[Anciennete_Mois]]/12</f>
        <v>8.0833333333333339</v>
      </c>
      <c r="U329" s="1">
        <f>Master8[[#This Row],[Duree_Cumule_Panne_Min]]/60</f>
        <v>5.3166666666666664</v>
      </c>
      <c r="V32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2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29" s="6">
        <f>Master8[[#This Row],[Facture_Mensuelle]]*Master8[[#This Row],[Remise]]</f>
        <v>14.0625</v>
      </c>
    </row>
    <row r="330" spans="1:24" x14ac:dyDescent="0.25">
      <c r="A330" s="1" t="s">
        <v>823</v>
      </c>
      <c r="B330" t="str">
        <f>IFERROR(VLOOKUP(Master8[[#This Row],[Cell_ID]],Registre_Maintenance[],2,FALSE),"")</f>
        <v>Kasai-Central</v>
      </c>
      <c r="C330" s="1" t="s">
        <v>837</v>
      </c>
      <c r="D330" s="2">
        <v>45229.443749999999</v>
      </c>
      <c r="E330" s="3">
        <v>45229.443749999999</v>
      </c>
      <c r="F330">
        <v>5</v>
      </c>
      <c r="G330">
        <f>Master8[[#This Row],[Duree_Panne_Min]]/60</f>
        <v>8.3333333333333329E-2</v>
      </c>
      <c r="H330" s="1" t="s">
        <v>732</v>
      </c>
      <c r="I330">
        <f>IFERROR(VLOOKUP(Master8[[#This Row],[Cell_ID]],Registre_Maintenance[],3,FALSE),"")</f>
        <v>-6.6803710000000001</v>
      </c>
      <c r="J330">
        <f>IFERROR(VLOOKUP(Master8[[#This Row],[Cell_ID]],Registre_Maintenance[],4,FALSE),"")</f>
        <v>21.955673000000001</v>
      </c>
      <c r="K330" t="str">
        <f>IFERROR(VLOOKUP(Master8[[#This Row],[Cell_ID]],Registre_Maintenance[],5,FALSE),"")</f>
        <v>4G</v>
      </c>
      <c r="L330" t="str">
        <f>IFERROR(VLOOKUP(Master8[[#This Row],[Cell_ID]],Registre_Maintenance[],6,FALSE),"")</f>
        <v>Nokia</v>
      </c>
      <c r="M330" s="1" t="str">
        <f>VLOOKUP(Master8[[#This Row],[Province_RDC]],Client[],2,FALSE)</f>
        <v>CLI-00060</v>
      </c>
      <c r="N330" s="1">
        <f>VLOOKUP(Master8[[#This Row],[Province_RDC]],Client[],3,FALSE)</f>
        <v>72</v>
      </c>
      <c r="O330" s="1" t="str">
        <f>VLOOKUP(Master8[[#This Row],[Province_RDC]],Client[],4,FALSE)</f>
        <v>Pro Monde</v>
      </c>
      <c r="P330" s="1">
        <f>VLOOKUP(Master8[[#This Row],[Province_RDC]],Client[],5,FALSE)</f>
        <v>160</v>
      </c>
      <c r="Q330" s="1">
        <f>VLOOKUP(Master8[[#This Row],[Province_RDC]],Client[],6,FALSE)</f>
        <v>90.13</v>
      </c>
      <c r="R330" s="1">
        <f>VLOOKUP(Master8[[#This Row],[Province_RDC]],Client[],7,FALSE)</f>
        <v>2</v>
      </c>
      <c r="S330" s="1" t="str">
        <f>IF(Master8[[#This Row],[Type_Forfait]]="Pro Monde","B2B","B2C")</f>
        <v>B2B</v>
      </c>
      <c r="T330" s="1">
        <f>Master8[[#This Row],[Anciennete_Mois]]/12</f>
        <v>6</v>
      </c>
      <c r="U330" s="1">
        <f>Master8[[#This Row],[Duree_Cumule_Panne_Min]]/60</f>
        <v>2.6666666666666665</v>
      </c>
      <c r="V33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0" s="6">
        <f>Master8[[#This Row],[Facture_Mensuelle]]*Master8[[#This Row],[Remise]]</f>
        <v>9.0129999999999999</v>
      </c>
    </row>
    <row r="331" spans="1:24" x14ac:dyDescent="0.25">
      <c r="A331" s="1" t="s">
        <v>1382</v>
      </c>
      <c r="B331" t="str">
        <f>IFERROR(VLOOKUP(Master8[[#This Row],[Cell_ID]],Registre_Maintenance[],2,FALSE),"")</f>
        <v>Kasai-Central</v>
      </c>
      <c r="C331" s="1" t="s">
        <v>1397</v>
      </c>
      <c r="D331" s="2">
        <v>45225.220833333333</v>
      </c>
      <c r="E331" s="3">
        <v>45225.220833333333</v>
      </c>
      <c r="F331">
        <v>104</v>
      </c>
      <c r="G331">
        <f>Master8[[#This Row],[Duree_Panne_Min]]/60</f>
        <v>1.7333333333333334</v>
      </c>
      <c r="H331" s="1" t="s">
        <v>735</v>
      </c>
      <c r="I331">
        <f>IFERROR(VLOOKUP(Master8[[#This Row],[Cell_ID]],Registre_Maintenance[],3,FALSE),"")</f>
        <v>-8.0800809999999998</v>
      </c>
      <c r="J331">
        <f>IFERROR(VLOOKUP(Master8[[#This Row],[Cell_ID]],Registre_Maintenance[],4,FALSE),"")</f>
        <v>30.147970999999998</v>
      </c>
      <c r="K331" t="str">
        <f>IFERROR(VLOOKUP(Master8[[#This Row],[Cell_ID]],Registre_Maintenance[],5,FALSE),"")</f>
        <v>5G</v>
      </c>
      <c r="L331" t="str">
        <f>IFERROR(VLOOKUP(Master8[[#This Row],[Cell_ID]],Registre_Maintenance[],6,FALSE),"")</f>
        <v>Huawei</v>
      </c>
      <c r="M331" s="1" t="str">
        <f>VLOOKUP(Master8[[#This Row],[Province_RDC]],Client[],2,FALSE)</f>
        <v>CLI-00060</v>
      </c>
      <c r="N331" s="1">
        <f>VLOOKUP(Master8[[#This Row],[Province_RDC]],Client[],3,FALSE)</f>
        <v>72</v>
      </c>
      <c r="O331" s="1" t="str">
        <f>VLOOKUP(Master8[[#This Row],[Province_RDC]],Client[],4,FALSE)</f>
        <v>Pro Monde</v>
      </c>
      <c r="P331" s="1">
        <f>VLOOKUP(Master8[[#This Row],[Province_RDC]],Client[],5,FALSE)</f>
        <v>160</v>
      </c>
      <c r="Q331" s="1">
        <f>VLOOKUP(Master8[[#This Row],[Province_RDC]],Client[],6,FALSE)</f>
        <v>90.13</v>
      </c>
      <c r="R331" s="1">
        <f>VLOOKUP(Master8[[#This Row],[Province_RDC]],Client[],7,FALSE)</f>
        <v>2</v>
      </c>
      <c r="S331" s="1" t="str">
        <f>IF(Master8[[#This Row],[Type_Forfait]]="Pro Monde","B2B","B2C")</f>
        <v>B2B</v>
      </c>
      <c r="T331" s="1">
        <f>Master8[[#This Row],[Anciennete_Mois]]/12</f>
        <v>6</v>
      </c>
      <c r="U331" s="1">
        <f>Master8[[#This Row],[Duree_Cumule_Panne_Min]]/60</f>
        <v>2.6666666666666665</v>
      </c>
      <c r="V33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1" s="6">
        <f>Master8[[#This Row],[Facture_Mensuelle]]*Master8[[#This Row],[Remise]]</f>
        <v>9.0129999999999999</v>
      </c>
    </row>
    <row r="332" spans="1:24" x14ac:dyDescent="0.25">
      <c r="A332" s="1" t="s">
        <v>861</v>
      </c>
      <c r="B332" t="str">
        <f>IFERROR(VLOOKUP(Master8[[#This Row],[Cell_ID]],Registre_Maintenance[],2,FALSE),"")</f>
        <v>Kasai-Central</v>
      </c>
      <c r="C332" s="1" t="s">
        <v>863</v>
      </c>
      <c r="D332" s="2">
        <v>45221.910416666673</v>
      </c>
      <c r="E332" s="3">
        <v>45221.910416666673</v>
      </c>
      <c r="F332">
        <v>60</v>
      </c>
      <c r="G332">
        <f>Master8[[#This Row],[Duree_Panne_Min]]/60</f>
        <v>1</v>
      </c>
      <c r="H332" s="1" t="s">
        <v>735</v>
      </c>
      <c r="I332">
        <f>IFERROR(VLOOKUP(Master8[[#This Row],[Cell_ID]],Registre_Maintenance[],3,FALSE),"")</f>
        <v>-10.414493</v>
      </c>
      <c r="J332">
        <f>IFERROR(VLOOKUP(Master8[[#This Row],[Cell_ID]],Registre_Maintenance[],4,FALSE),"")</f>
        <v>12.333356999999999</v>
      </c>
      <c r="K332" t="str">
        <f>IFERROR(VLOOKUP(Master8[[#This Row],[Cell_ID]],Registre_Maintenance[],5,FALSE),"")</f>
        <v>3G</v>
      </c>
      <c r="L332" t="str">
        <f>IFERROR(VLOOKUP(Master8[[#This Row],[Cell_ID]],Registre_Maintenance[],6,FALSE),"")</f>
        <v>Ericsson</v>
      </c>
      <c r="M332" s="1" t="str">
        <f>VLOOKUP(Master8[[#This Row],[Province_RDC]],Client[],2,FALSE)</f>
        <v>CLI-00060</v>
      </c>
      <c r="N332" s="1">
        <f>VLOOKUP(Master8[[#This Row],[Province_RDC]],Client[],3,FALSE)</f>
        <v>72</v>
      </c>
      <c r="O332" s="1" t="str">
        <f>VLOOKUP(Master8[[#This Row],[Province_RDC]],Client[],4,FALSE)</f>
        <v>Pro Monde</v>
      </c>
      <c r="P332" s="1">
        <f>VLOOKUP(Master8[[#This Row],[Province_RDC]],Client[],5,FALSE)</f>
        <v>160</v>
      </c>
      <c r="Q332" s="1">
        <f>VLOOKUP(Master8[[#This Row],[Province_RDC]],Client[],6,FALSE)</f>
        <v>90.13</v>
      </c>
      <c r="R332" s="1">
        <f>VLOOKUP(Master8[[#This Row],[Province_RDC]],Client[],7,FALSE)</f>
        <v>2</v>
      </c>
      <c r="S332" s="1" t="str">
        <f>IF(Master8[[#This Row],[Type_Forfait]]="Pro Monde","B2B","B2C")</f>
        <v>B2B</v>
      </c>
      <c r="T332" s="1">
        <f>Master8[[#This Row],[Anciennete_Mois]]/12</f>
        <v>6</v>
      </c>
      <c r="U332" s="1">
        <f>Master8[[#This Row],[Duree_Cumule_Panne_Min]]/60</f>
        <v>2.6666666666666665</v>
      </c>
      <c r="V33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2" s="6">
        <f>Master8[[#This Row],[Facture_Mensuelle]]*Master8[[#This Row],[Remise]]</f>
        <v>9.0129999999999999</v>
      </c>
    </row>
    <row r="333" spans="1:24" x14ac:dyDescent="0.25">
      <c r="A333" s="1" t="s">
        <v>1382</v>
      </c>
      <c r="B333" t="str">
        <f>IFERROR(VLOOKUP(Master8[[#This Row],[Cell_ID]],Registre_Maintenance[],2,FALSE),"")</f>
        <v>Kasai-Central</v>
      </c>
      <c r="C333" s="1" t="s">
        <v>909</v>
      </c>
      <c r="D333" s="2">
        <v>45221.772222222222</v>
      </c>
      <c r="E333" s="3">
        <v>45221.772222222222</v>
      </c>
      <c r="F333">
        <v>107</v>
      </c>
      <c r="G333">
        <f>Master8[[#This Row],[Duree_Panne_Min]]/60</f>
        <v>1.7833333333333334</v>
      </c>
      <c r="H333" s="1" t="s">
        <v>732</v>
      </c>
      <c r="I333">
        <f>IFERROR(VLOOKUP(Master8[[#This Row],[Cell_ID]],Registre_Maintenance[],3,FALSE),"")</f>
        <v>-4.4451280000000004</v>
      </c>
      <c r="J333">
        <f>IFERROR(VLOOKUP(Master8[[#This Row],[Cell_ID]],Registre_Maintenance[],4,FALSE),"")</f>
        <v>16.536944999999999</v>
      </c>
      <c r="K333" t="str">
        <f>IFERROR(VLOOKUP(Master8[[#This Row],[Cell_ID]],Registre_Maintenance[],5,FALSE),"")</f>
        <v>4G</v>
      </c>
      <c r="L333" t="str">
        <f>IFERROR(VLOOKUP(Master8[[#This Row],[Cell_ID]],Registre_Maintenance[],6,FALSE),"")</f>
        <v>Ericsson</v>
      </c>
      <c r="M333" s="1" t="str">
        <f>VLOOKUP(Master8[[#This Row],[Province_RDC]],Client[],2,FALSE)</f>
        <v>CLI-00060</v>
      </c>
      <c r="N333" s="1">
        <f>VLOOKUP(Master8[[#This Row],[Province_RDC]],Client[],3,FALSE)</f>
        <v>72</v>
      </c>
      <c r="O333" s="1" t="str">
        <f>VLOOKUP(Master8[[#This Row],[Province_RDC]],Client[],4,FALSE)</f>
        <v>Pro Monde</v>
      </c>
      <c r="P333" s="1">
        <f>VLOOKUP(Master8[[#This Row],[Province_RDC]],Client[],5,FALSE)</f>
        <v>160</v>
      </c>
      <c r="Q333" s="1">
        <f>VLOOKUP(Master8[[#This Row],[Province_RDC]],Client[],6,FALSE)</f>
        <v>90.13</v>
      </c>
      <c r="R333" s="1">
        <f>VLOOKUP(Master8[[#This Row],[Province_RDC]],Client[],7,FALSE)</f>
        <v>2</v>
      </c>
      <c r="S333" s="1" t="str">
        <f>IF(Master8[[#This Row],[Type_Forfait]]="Pro Monde","B2B","B2C")</f>
        <v>B2B</v>
      </c>
      <c r="T333" s="1">
        <f>Master8[[#This Row],[Anciennete_Mois]]/12</f>
        <v>6</v>
      </c>
      <c r="U333" s="1">
        <f>Master8[[#This Row],[Duree_Cumule_Panne_Min]]/60</f>
        <v>2.6666666666666665</v>
      </c>
      <c r="V33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3" s="6">
        <f>Master8[[#This Row],[Facture_Mensuelle]]*Master8[[#This Row],[Remise]]</f>
        <v>9.0129999999999999</v>
      </c>
    </row>
    <row r="334" spans="1:24" x14ac:dyDescent="0.25">
      <c r="A334" s="1" t="s">
        <v>1219</v>
      </c>
      <c r="B334" t="str">
        <f>IFERROR(VLOOKUP(Master8[[#This Row],[Cell_ID]],Registre_Maintenance[],2,FALSE),"")</f>
        <v>Kasai-Central</v>
      </c>
      <c r="C334" s="1" t="s">
        <v>740</v>
      </c>
      <c r="D334" s="2">
        <v>45221.180555555547</v>
      </c>
      <c r="E334" s="3">
        <v>45221.180555555547</v>
      </c>
      <c r="F334">
        <v>8</v>
      </c>
      <c r="G334">
        <f>Master8[[#This Row],[Duree_Panne_Min]]/60</f>
        <v>0.13333333333333333</v>
      </c>
      <c r="H334" s="1" t="s">
        <v>732</v>
      </c>
      <c r="I334">
        <f>IFERROR(VLOOKUP(Master8[[#This Row],[Cell_ID]],Registre_Maintenance[],3,FALSE),"")</f>
        <v>-1.648264</v>
      </c>
      <c r="J334">
        <f>IFERROR(VLOOKUP(Master8[[#This Row],[Cell_ID]],Registre_Maintenance[],4,FALSE),"")</f>
        <v>28.866143999999998</v>
      </c>
      <c r="K334" t="str">
        <f>IFERROR(VLOOKUP(Master8[[#This Row],[Cell_ID]],Registre_Maintenance[],5,FALSE),"")</f>
        <v>5G</v>
      </c>
      <c r="L334" t="str">
        <f>IFERROR(VLOOKUP(Master8[[#This Row],[Cell_ID]],Registre_Maintenance[],6,FALSE),"")</f>
        <v>Ericsson</v>
      </c>
      <c r="M334" s="1" t="str">
        <f>VLOOKUP(Master8[[#This Row],[Province_RDC]],Client[],2,FALSE)</f>
        <v>CLI-00060</v>
      </c>
      <c r="N334" s="1">
        <f>VLOOKUP(Master8[[#This Row],[Province_RDC]],Client[],3,FALSE)</f>
        <v>72</v>
      </c>
      <c r="O334" s="1" t="str">
        <f>VLOOKUP(Master8[[#This Row],[Province_RDC]],Client[],4,FALSE)</f>
        <v>Pro Monde</v>
      </c>
      <c r="P334" s="1">
        <f>VLOOKUP(Master8[[#This Row],[Province_RDC]],Client[],5,FALSE)</f>
        <v>160</v>
      </c>
      <c r="Q334" s="1">
        <f>VLOOKUP(Master8[[#This Row],[Province_RDC]],Client[],6,FALSE)</f>
        <v>90.13</v>
      </c>
      <c r="R334" s="1">
        <f>VLOOKUP(Master8[[#This Row],[Province_RDC]],Client[],7,FALSE)</f>
        <v>2</v>
      </c>
      <c r="S334" s="1" t="str">
        <f>IF(Master8[[#This Row],[Type_Forfait]]="Pro Monde","B2B","B2C")</f>
        <v>B2B</v>
      </c>
      <c r="T334" s="1">
        <f>Master8[[#This Row],[Anciennete_Mois]]/12</f>
        <v>6</v>
      </c>
      <c r="U334" s="1">
        <f>Master8[[#This Row],[Duree_Cumule_Panne_Min]]/60</f>
        <v>2.6666666666666665</v>
      </c>
      <c r="V33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4" s="6">
        <f>Master8[[#This Row],[Facture_Mensuelle]]*Master8[[#This Row],[Remise]]</f>
        <v>9.0129999999999999</v>
      </c>
    </row>
    <row r="335" spans="1:24" x14ac:dyDescent="0.25">
      <c r="A335" s="1" t="s">
        <v>902</v>
      </c>
      <c r="B335" t="str">
        <f>IFERROR(VLOOKUP(Master8[[#This Row],[Cell_ID]],Registre_Maintenance[],2,FALSE),"")</f>
        <v>Kasai-Central</v>
      </c>
      <c r="C335" s="1" t="s">
        <v>909</v>
      </c>
      <c r="D335" s="2">
        <v>45218.378472222219</v>
      </c>
      <c r="E335" s="3">
        <v>45218.378472222219</v>
      </c>
      <c r="F335">
        <v>102</v>
      </c>
      <c r="G335">
        <f>Master8[[#This Row],[Duree_Panne_Min]]/60</f>
        <v>1.7</v>
      </c>
      <c r="H335" s="1" t="s">
        <v>732</v>
      </c>
      <c r="I335">
        <f>IFERROR(VLOOKUP(Master8[[#This Row],[Cell_ID]],Registre_Maintenance[],3,FALSE),"")</f>
        <v>-4.4451280000000004</v>
      </c>
      <c r="J335">
        <f>IFERROR(VLOOKUP(Master8[[#This Row],[Cell_ID]],Registre_Maintenance[],4,FALSE),"")</f>
        <v>16.536944999999999</v>
      </c>
      <c r="K335" t="str">
        <f>IFERROR(VLOOKUP(Master8[[#This Row],[Cell_ID]],Registre_Maintenance[],5,FALSE),"")</f>
        <v>4G</v>
      </c>
      <c r="L335" t="str">
        <f>IFERROR(VLOOKUP(Master8[[#This Row],[Cell_ID]],Registre_Maintenance[],6,FALSE),"")</f>
        <v>Ericsson</v>
      </c>
      <c r="M335" s="1" t="str">
        <f>VLOOKUP(Master8[[#This Row],[Province_RDC]],Client[],2,FALSE)</f>
        <v>CLI-00060</v>
      </c>
      <c r="N335" s="1">
        <f>VLOOKUP(Master8[[#This Row],[Province_RDC]],Client[],3,FALSE)</f>
        <v>72</v>
      </c>
      <c r="O335" s="1" t="str">
        <f>VLOOKUP(Master8[[#This Row],[Province_RDC]],Client[],4,FALSE)</f>
        <v>Pro Monde</v>
      </c>
      <c r="P335" s="1">
        <f>VLOOKUP(Master8[[#This Row],[Province_RDC]],Client[],5,FALSE)</f>
        <v>160</v>
      </c>
      <c r="Q335" s="1">
        <f>VLOOKUP(Master8[[#This Row],[Province_RDC]],Client[],6,FALSE)</f>
        <v>90.13</v>
      </c>
      <c r="R335" s="1">
        <f>VLOOKUP(Master8[[#This Row],[Province_RDC]],Client[],7,FALSE)</f>
        <v>2</v>
      </c>
      <c r="S335" s="1" t="str">
        <f>IF(Master8[[#This Row],[Type_Forfait]]="Pro Monde","B2B","B2C")</f>
        <v>B2B</v>
      </c>
      <c r="T335" s="1">
        <f>Master8[[#This Row],[Anciennete_Mois]]/12</f>
        <v>6</v>
      </c>
      <c r="U335" s="1">
        <f>Master8[[#This Row],[Duree_Cumule_Panne_Min]]/60</f>
        <v>2.6666666666666665</v>
      </c>
      <c r="V33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5" s="6">
        <f>Master8[[#This Row],[Facture_Mensuelle]]*Master8[[#This Row],[Remise]]</f>
        <v>9.0129999999999999</v>
      </c>
    </row>
    <row r="336" spans="1:24" x14ac:dyDescent="0.25">
      <c r="A336" s="1" t="s">
        <v>1382</v>
      </c>
      <c r="B336" t="str">
        <f>IFERROR(VLOOKUP(Master8[[#This Row],[Cell_ID]],Registre_Maintenance[],2,FALSE),"")</f>
        <v>Kasai-Central</v>
      </c>
      <c r="C336" s="1" t="s">
        <v>1386</v>
      </c>
      <c r="D336" s="2">
        <v>45217.578472222223</v>
      </c>
      <c r="E336" s="3">
        <v>45217.578472222223</v>
      </c>
      <c r="F336">
        <v>93</v>
      </c>
      <c r="G336">
        <f>Master8[[#This Row],[Duree_Panne_Min]]/60</f>
        <v>1.55</v>
      </c>
      <c r="H336" s="1" t="s">
        <v>735</v>
      </c>
      <c r="I336">
        <f>IFERROR(VLOOKUP(Master8[[#This Row],[Cell_ID]],Registre_Maintenance[],3,FALSE),"")</f>
        <v>-10.735106</v>
      </c>
      <c r="J336">
        <f>IFERROR(VLOOKUP(Master8[[#This Row],[Cell_ID]],Registre_Maintenance[],4,FALSE),"")</f>
        <v>27.868673999999999</v>
      </c>
      <c r="K336" t="str">
        <f>IFERROR(VLOOKUP(Master8[[#This Row],[Cell_ID]],Registre_Maintenance[],5,FALSE),"")</f>
        <v>3G</v>
      </c>
      <c r="L336" t="str">
        <f>IFERROR(VLOOKUP(Master8[[#This Row],[Cell_ID]],Registre_Maintenance[],6,FALSE),"")</f>
        <v>Ericsson</v>
      </c>
      <c r="M336" s="1" t="str">
        <f>VLOOKUP(Master8[[#This Row],[Province_RDC]],Client[],2,FALSE)</f>
        <v>CLI-00060</v>
      </c>
      <c r="N336" s="1">
        <f>VLOOKUP(Master8[[#This Row],[Province_RDC]],Client[],3,FALSE)</f>
        <v>72</v>
      </c>
      <c r="O336" s="1" t="str">
        <f>VLOOKUP(Master8[[#This Row],[Province_RDC]],Client[],4,FALSE)</f>
        <v>Pro Monde</v>
      </c>
      <c r="P336" s="1">
        <f>VLOOKUP(Master8[[#This Row],[Province_RDC]],Client[],5,FALSE)</f>
        <v>160</v>
      </c>
      <c r="Q336" s="1">
        <f>VLOOKUP(Master8[[#This Row],[Province_RDC]],Client[],6,FALSE)</f>
        <v>90.13</v>
      </c>
      <c r="R336" s="1">
        <f>VLOOKUP(Master8[[#This Row],[Province_RDC]],Client[],7,FALSE)</f>
        <v>2</v>
      </c>
      <c r="S336" s="1" t="str">
        <f>IF(Master8[[#This Row],[Type_Forfait]]="Pro Monde","B2B","B2C")</f>
        <v>B2B</v>
      </c>
      <c r="T336" s="1">
        <f>Master8[[#This Row],[Anciennete_Mois]]/12</f>
        <v>6</v>
      </c>
      <c r="U336" s="1">
        <f>Master8[[#This Row],[Duree_Cumule_Panne_Min]]/60</f>
        <v>2.6666666666666665</v>
      </c>
      <c r="V33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6" s="6">
        <f>Master8[[#This Row],[Facture_Mensuelle]]*Master8[[#This Row],[Remise]]</f>
        <v>9.0129999999999999</v>
      </c>
    </row>
    <row r="337" spans="1:24" x14ac:dyDescent="0.25">
      <c r="A337" s="1" t="s">
        <v>779</v>
      </c>
      <c r="B337" t="str">
        <f>IFERROR(VLOOKUP(Master8[[#This Row],[Cell_ID]],Registre_Maintenance[],2,FALSE),"")</f>
        <v>Kasai-Central</v>
      </c>
      <c r="C337" s="1" t="s">
        <v>815</v>
      </c>
      <c r="D337" s="2">
        <v>45216.457638888889</v>
      </c>
      <c r="E337" s="3">
        <v>45216.457638888889</v>
      </c>
      <c r="F337">
        <v>39</v>
      </c>
      <c r="G337">
        <f>Master8[[#This Row],[Duree_Panne_Min]]/60</f>
        <v>0.65</v>
      </c>
      <c r="H337" s="1" t="s">
        <v>732</v>
      </c>
      <c r="I337">
        <f>IFERROR(VLOOKUP(Master8[[#This Row],[Cell_ID]],Registre_Maintenance[],3,FALSE),"")</f>
        <v>-9.5266249999999992</v>
      </c>
      <c r="J337">
        <f>IFERROR(VLOOKUP(Master8[[#This Row],[Cell_ID]],Registre_Maintenance[],4,FALSE),"")</f>
        <v>27.889690999999999</v>
      </c>
      <c r="K337" t="str">
        <f>IFERROR(VLOOKUP(Master8[[#This Row],[Cell_ID]],Registre_Maintenance[],5,FALSE),"")</f>
        <v>4G</v>
      </c>
      <c r="L337" t="str">
        <f>IFERROR(VLOOKUP(Master8[[#This Row],[Cell_ID]],Registre_Maintenance[],6,FALSE),"")</f>
        <v>Ericsson</v>
      </c>
      <c r="M337" s="1" t="str">
        <f>VLOOKUP(Master8[[#This Row],[Province_RDC]],Client[],2,FALSE)</f>
        <v>CLI-00060</v>
      </c>
      <c r="N337" s="1">
        <f>VLOOKUP(Master8[[#This Row],[Province_RDC]],Client[],3,FALSE)</f>
        <v>72</v>
      </c>
      <c r="O337" s="1" t="str">
        <f>VLOOKUP(Master8[[#This Row],[Province_RDC]],Client[],4,FALSE)</f>
        <v>Pro Monde</v>
      </c>
      <c r="P337" s="1">
        <f>VLOOKUP(Master8[[#This Row],[Province_RDC]],Client[],5,FALSE)</f>
        <v>160</v>
      </c>
      <c r="Q337" s="1">
        <f>VLOOKUP(Master8[[#This Row],[Province_RDC]],Client[],6,FALSE)</f>
        <v>90.13</v>
      </c>
      <c r="R337" s="1">
        <f>VLOOKUP(Master8[[#This Row],[Province_RDC]],Client[],7,FALSE)</f>
        <v>2</v>
      </c>
      <c r="S337" s="1" t="str">
        <f>IF(Master8[[#This Row],[Type_Forfait]]="Pro Monde","B2B","B2C")</f>
        <v>B2B</v>
      </c>
      <c r="T337" s="1">
        <f>Master8[[#This Row],[Anciennete_Mois]]/12</f>
        <v>6</v>
      </c>
      <c r="U337" s="1">
        <f>Master8[[#This Row],[Duree_Cumule_Panne_Min]]/60</f>
        <v>2.6666666666666665</v>
      </c>
      <c r="V33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7" s="6">
        <f>Master8[[#This Row],[Facture_Mensuelle]]*Master8[[#This Row],[Remise]]</f>
        <v>9.0129999999999999</v>
      </c>
    </row>
    <row r="338" spans="1:24" x14ac:dyDescent="0.25">
      <c r="A338" s="1" t="s">
        <v>1114</v>
      </c>
      <c r="B338" t="str">
        <f>IFERROR(VLOOKUP(Master8[[#This Row],[Cell_ID]],Registre_Maintenance[],2,FALSE),"")</f>
        <v>Kasai-Central</v>
      </c>
      <c r="C338" s="1" t="s">
        <v>1121</v>
      </c>
      <c r="D338" s="2">
        <v>45215.015972222223</v>
      </c>
      <c r="E338" s="3">
        <v>45215.015972222223</v>
      </c>
      <c r="F338">
        <v>74</v>
      </c>
      <c r="G338">
        <f>Master8[[#This Row],[Duree_Panne_Min]]/60</f>
        <v>1.2333333333333334</v>
      </c>
      <c r="H338" s="1" t="s">
        <v>732</v>
      </c>
      <c r="I338">
        <f>IFERROR(VLOOKUP(Master8[[#This Row],[Cell_ID]],Registre_Maintenance[],3,FALSE),"")</f>
        <v>-5.8352820000000003</v>
      </c>
      <c r="J338">
        <f>IFERROR(VLOOKUP(Master8[[#This Row],[Cell_ID]],Registre_Maintenance[],4,FALSE),"")</f>
        <v>26.603978000000001</v>
      </c>
      <c r="K338" t="str">
        <f>IFERROR(VLOOKUP(Master8[[#This Row],[Cell_ID]],Registre_Maintenance[],5,FALSE),"")</f>
        <v>4G</v>
      </c>
      <c r="L338" t="str">
        <f>IFERROR(VLOOKUP(Master8[[#This Row],[Cell_ID]],Registre_Maintenance[],6,FALSE),"")</f>
        <v>Huawei</v>
      </c>
      <c r="M338" s="1" t="str">
        <f>VLOOKUP(Master8[[#This Row],[Province_RDC]],Client[],2,FALSE)</f>
        <v>CLI-00060</v>
      </c>
      <c r="N338" s="1">
        <f>VLOOKUP(Master8[[#This Row],[Province_RDC]],Client[],3,FALSE)</f>
        <v>72</v>
      </c>
      <c r="O338" s="1" t="str">
        <f>VLOOKUP(Master8[[#This Row],[Province_RDC]],Client[],4,FALSE)</f>
        <v>Pro Monde</v>
      </c>
      <c r="P338" s="1">
        <f>VLOOKUP(Master8[[#This Row],[Province_RDC]],Client[],5,FALSE)</f>
        <v>160</v>
      </c>
      <c r="Q338" s="1">
        <f>VLOOKUP(Master8[[#This Row],[Province_RDC]],Client[],6,FALSE)</f>
        <v>90.13</v>
      </c>
      <c r="R338" s="1">
        <f>VLOOKUP(Master8[[#This Row],[Province_RDC]],Client[],7,FALSE)</f>
        <v>2</v>
      </c>
      <c r="S338" s="1" t="str">
        <f>IF(Master8[[#This Row],[Type_Forfait]]="Pro Monde","B2B","B2C")</f>
        <v>B2B</v>
      </c>
      <c r="T338" s="1">
        <f>Master8[[#This Row],[Anciennete_Mois]]/12</f>
        <v>6</v>
      </c>
      <c r="U338" s="1">
        <f>Master8[[#This Row],[Duree_Cumule_Panne_Min]]/60</f>
        <v>2.6666666666666665</v>
      </c>
      <c r="V33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8" s="6">
        <f>Master8[[#This Row],[Facture_Mensuelle]]*Master8[[#This Row],[Remise]]</f>
        <v>9.0129999999999999</v>
      </c>
    </row>
    <row r="339" spans="1:24" x14ac:dyDescent="0.25">
      <c r="A339" s="1" t="s">
        <v>1219</v>
      </c>
      <c r="B339" t="str">
        <f>IFERROR(VLOOKUP(Master8[[#This Row],[Cell_ID]],Registre_Maintenance[],2,FALSE),"")</f>
        <v>Kasai-Central</v>
      </c>
      <c r="C339" s="1" t="s">
        <v>1239</v>
      </c>
      <c r="D339" s="2">
        <v>45212.568055555559</v>
      </c>
      <c r="E339" s="3">
        <v>45212.568055555559</v>
      </c>
      <c r="F339">
        <v>42</v>
      </c>
      <c r="G339">
        <f>Master8[[#This Row],[Duree_Panne_Min]]/60</f>
        <v>0.7</v>
      </c>
      <c r="H339" s="1" t="s">
        <v>735</v>
      </c>
      <c r="I339">
        <f>IFERROR(VLOOKUP(Master8[[#This Row],[Cell_ID]],Registre_Maintenance[],3,FALSE),"")</f>
        <v>-7.3379339999999997</v>
      </c>
      <c r="J339">
        <f>IFERROR(VLOOKUP(Master8[[#This Row],[Cell_ID]],Registre_Maintenance[],4,FALSE),"")</f>
        <v>28.404001999999998</v>
      </c>
      <c r="K339" t="str">
        <f>IFERROR(VLOOKUP(Master8[[#This Row],[Cell_ID]],Registre_Maintenance[],5,FALSE),"")</f>
        <v>3G</v>
      </c>
      <c r="L339" t="str">
        <f>IFERROR(VLOOKUP(Master8[[#This Row],[Cell_ID]],Registre_Maintenance[],6,FALSE),"")</f>
        <v>Nokia</v>
      </c>
      <c r="M339" s="1" t="str">
        <f>VLOOKUP(Master8[[#This Row],[Province_RDC]],Client[],2,FALSE)</f>
        <v>CLI-00060</v>
      </c>
      <c r="N339" s="1">
        <f>VLOOKUP(Master8[[#This Row],[Province_RDC]],Client[],3,FALSE)</f>
        <v>72</v>
      </c>
      <c r="O339" s="1" t="str">
        <f>VLOOKUP(Master8[[#This Row],[Province_RDC]],Client[],4,FALSE)</f>
        <v>Pro Monde</v>
      </c>
      <c r="P339" s="1">
        <f>VLOOKUP(Master8[[#This Row],[Province_RDC]],Client[],5,FALSE)</f>
        <v>160</v>
      </c>
      <c r="Q339" s="1">
        <f>VLOOKUP(Master8[[#This Row],[Province_RDC]],Client[],6,FALSE)</f>
        <v>90.13</v>
      </c>
      <c r="R339" s="1">
        <f>VLOOKUP(Master8[[#This Row],[Province_RDC]],Client[],7,FALSE)</f>
        <v>2</v>
      </c>
      <c r="S339" s="1" t="str">
        <f>IF(Master8[[#This Row],[Type_Forfait]]="Pro Monde","B2B","B2C")</f>
        <v>B2B</v>
      </c>
      <c r="T339" s="1">
        <f>Master8[[#This Row],[Anciennete_Mois]]/12</f>
        <v>6</v>
      </c>
      <c r="U339" s="1">
        <f>Master8[[#This Row],[Duree_Cumule_Panne_Min]]/60</f>
        <v>2.6666666666666665</v>
      </c>
      <c r="V33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3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39" s="6">
        <f>Master8[[#This Row],[Facture_Mensuelle]]*Master8[[#This Row],[Remise]]</f>
        <v>9.0129999999999999</v>
      </c>
    </row>
    <row r="340" spans="1:24" x14ac:dyDescent="0.25">
      <c r="A340" s="1" t="s">
        <v>902</v>
      </c>
      <c r="B340" t="str">
        <f>IFERROR(VLOOKUP(Master8[[#This Row],[Cell_ID]],Registre_Maintenance[],2,FALSE),"")</f>
        <v>Kasai-Central</v>
      </c>
      <c r="C340" s="1" t="s">
        <v>863</v>
      </c>
      <c r="D340" s="2">
        <v>45209.824305555558</v>
      </c>
      <c r="E340" s="3">
        <v>45209.824305555558</v>
      </c>
      <c r="F340">
        <v>93</v>
      </c>
      <c r="G340">
        <f>Master8[[#This Row],[Duree_Panne_Min]]/60</f>
        <v>1.55</v>
      </c>
      <c r="H340" s="1" t="s">
        <v>737</v>
      </c>
      <c r="I340">
        <f>IFERROR(VLOOKUP(Master8[[#This Row],[Cell_ID]],Registre_Maintenance[],3,FALSE),"")</f>
        <v>-10.414493</v>
      </c>
      <c r="J340">
        <f>IFERROR(VLOOKUP(Master8[[#This Row],[Cell_ID]],Registre_Maintenance[],4,FALSE),"")</f>
        <v>12.333356999999999</v>
      </c>
      <c r="K340" t="str">
        <f>IFERROR(VLOOKUP(Master8[[#This Row],[Cell_ID]],Registre_Maintenance[],5,FALSE),"")</f>
        <v>3G</v>
      </c>
      <c r="L340" t="str">
        <f>IFERROR(VLOOKUP(Master8[[#This Row],[Cell_ID]],Registre_Maintenance[],6,FALSE),"")</f>
        <v>Ericsson</v>
      </c>
      <c r="M340" s="1" t="str">
        <f>VLOOKUP(Master8[[#This Row],[Province_RDC]],Client[],2,FALSE)</f>
        <v>CLI-00060</v>
      </c>
      <c r="N340" s="1">
        <f>VLOOKUP(Master8[[#This Row],[Province_RDC]],Client[],3,FALSE)</f>
        <v>72</v>
      </c>
      <c r="O340" s="1" t="str">
        <f>VLOOKUP(Master8[[#This Row],[Province_RDC]],Client[],4,FALSE)</f>
        <v>Pro Monde</v>
      </c>
      <c r="P340" s="1">
        <f>VLOOKUP(Master8[[#This Row],[Province_RDC]],Client[],5,FALSE)</f>
        <v>160</v>
      </c>
      <c r="Q340" s="1">
        <f>VLOOKUP(Master8[[#This Row],[Province_RDC]],Client[],6,FALSE)</f>
        <v>90.13</v>
      </c>
      <c r="R340" s="1">
        <f>VLOOKUP(Master8[[#This Row],[Province_RDC]],Client[],7,FALSE)</f>
        <v>2</v>
      </c>
      <c r="S340" s="1" t="str">
        <f>IF(Master8[[#This Row],[Type_Forfait]]="Pro Monde","B2B","B2C")</f>
        <v>B2B</v>
      </c>
      <c r="T340" s="1">
        <f>Master8[[#This Row],[Anciennete_Mois]]/12</f>
        <v>6</v>
      </c>
      <c r="U340" s="1">
        <f>Master8[[#This Row],[Duree_Cumule_Panne_Min]]/60</f>
        <v>2.6666666666666665</v>
      </c>
      <c r="V34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0" s="6">
        <f>Master8[[#This Row],[Facture_Mensuelle]]*Master8[[#This Row],[Remise]]</f>
        <v>9.0129999999999999</v>
      </c>
    </row>
    <row r="341" spans="1:24" x14ac:dyDescent="0.25">
      <c r="A341" s="1" t="s">
        <v>1404</v>
      </c>
      <c r="B341" t="str">
        <f>IFERROR(VLOOKUP(Master8[[#This Row],[Cell_ID]],Registre_Maintenance[],2,FALSE),"")</f>
        <v>Kasai-Central</v>
      </c>
      <c r="C341" s="1" t="s">
        <v>1397</v>
      </c>
      <c r="D341" s="2">
        <v>45208.558333333327</v>
      </c>
      <c r="E341" s="3">
        <v>45208.558333333327</v>
      </c>
      <c r="F341">
        <v>44</v>
      </c>
      <c r="G341">
        <f>Master8[[#This Row],[Duree_Panne_Min]]/60</f>
        <v>0.73333333333333328</v>
      </c>
      <c r="H341" s="1" t="s">
        <v>737</v>
      </c>
      <c r="I341">
        <f>IFERROR(VLOOKUP(Master8[[#This Row],[Cell_ID]],Registre_Maintenance[],3,FALSE),"")</f>
        <v>-8.0800809999999998</v>
      </c>
      <c r="J341">
        <f>IFERROR(VLOOKUP(Master8[[#This Row],[Cell_ID]],Registre_Maintenance[],4,FALSE),"")</f>
        <v>30.147970999999998</v>
      </c>
      <c r="K341" t="str">
        <f>IFERROR(VLOOKUP(Master8[[#This Row],[Cell_ID]],Registre_Maintenance[],5,FALSE),"")</f>
        <v>5G</v>
      </c>
      <c r="L341" t="str">
        <f>IFERROR(VLOOKUP(Master8[[#This Row],[Cell_ID]],Registre_Maintenance[],6,FALSE),"")</f>
        <v>Huawei</v>
      </c>
      <c r="M341" s="1" t="str">
        <f>VLOOKUP(Master8[[#This Row],[Province_RDC]],Client[],2,FALSE)</f>
        <v>CLI-00060</v>
      </c>
      <c r="N341" s="1">
        <f>VLOOKUP(Master8[[#This Row],[Province_RDC]],Client[],3,FALSE)</f>
        <v>72</v>
      </c>
      <c r="O341" s="1" t="str">
        <f>VLOOKUP(Master8[[#This Row],[Province_RDC]],Client[],4,FALSE)</f>
        <v>Pro Monde</v>
      </c>
      <c r="P341" s="1">
        <f>VLOOKUP(Master8[[#This Row],[Province_RDC]],Client[],5,FALSE)</f>
        <v>160</v>
      </c>
      <c r="Q341" s="1">
        <f>VLOOKUP(Master8[[#This Row],[Province_RDC]],Client[],6,FALSE)</f>
        <v>90.13</v>
      </c>
      <c r="R341" s="1">
        <f>VLOOKUP(Master8[[#This Row],[Province_RDC]],Client[],7,FALSE)</f>
        <v>2</v>
      </c>
      <c r="S341" s="1" t="str">
        <f>IF(Master8[[#This Row],[Type_Forfait]]="Pro Monde","B2B","B2C")</f>
        <v>B2B</v>
      </c>
      <c r="T341" s="1">
        <f>Master8[[#This Row],[Anciennete_Mois]]/12</f>
        <v>6</v>
      </c>
      <c r="U341" s="1">
        <f>Master8[[#This Row],[Duree_Cumule_Panne_Min]]/60</f>
        <v>2.6666666666666665</v>
      </c>
      <c r="V34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1" s="6">
        <f>Master8[[#This Row],[Facture_Mensuelle]]*Master8[[#This Row],[Remise]]</f>
        <v>9.0129999999999999</v>
      </c>
    </row>
    <row r="342" spans="1:24" x14ac:dyDescent="0.25">
      <c r="A342" s="1" t="s">
        <v>1138</v>
      </c>
      <c r="B342" t="str">
        <f>IFERROR(VLOOKUP(Master8[[#This Row],[Cell_ID]],Registre_Maintenance[],2,FALSE),"")</f>
        <v>Kasai-Central</v>
      </c>
      <c r="C342" s="1" t="s">
        <v>1142</v>
      </c>
      <c r="D342" s="2">
        <v>45207.011111111111</v>
      </c>
      <c r="E342" s="3">
        <v>45207.011111111111</v>
      </c>
      <c r="F342">
        <v>32</v>
      </c>
      <c r="G342">
        <f>Master8[[#This Row],[Duree_Panne_Min]]/60</f>
        <v>0.53333333333333333</v>
      </c>
      <c r="H342" s="1" t="s">
        <v>732</v>
      </c>
      <c r="I342">
        <f>IFERROR(VLOOKUP(Master8[[#This Row],[Cell_ID]],Registre_Maintenance[],3,FALSE),"")</f>
        <v>1.897178</v>
      </c>
      <c r="J342">
        <f>IFERROR(VLOOKUP(Master8[[#This Row],[Cell_ID]],Registre_Maintenance[],4,FALSE),"")</f>
        <v>23.902604</v>
      </c>
      <c r="K342" t="str">
        <f>IFERROR(VLOOKUP(Master8[[#This Row],[Cell_ID]],Registre_Maintenance[],5,FALSE),"")</f>
        <v>3G</v>
      </c>
      <c r="L342" t="str">
        <f>IFERROR(VLOOKUP(Master8[[#This Row],[Cell_ID]],Registre_Maintenance[],6,FALSE),"")</f>
        <v>Nokia</v>
      </c>
      <c r="M342" s="1" t="str">
        <f>VLOOKUP(Master8[[#This Row],[Province_RDC]],Client[],2,FALSE)</f>
        <v>CLI-00060</v>
      </c>
      <c r="N342" s="1">
        <f>VLOOKUP(Master8[[#This Row],[Province_RDC]],Client[],3,FALSE)</f>
        <v>72</v>
      </c>
      <c r="O342" s="1" t="str">
        <f>VLOOKUP(Master8[[#This Row],[Province_RDC]],Client[],4,FALSE)</f>
        <v>Pro Monde</v>
      </c>
      <c r="P342" s="1">
        <f>VLOOKUP(Master8[[#This Row],[Province_RDC]],Client[],5,FALSE)</f>
        <v>160</v>
      </c>
      <c r="Q342" s="1">
        <f>VLOOKUP(Master8[[#This Row],[Province_RDC]],Client[],6,FALSE)</f>
        <v>90.13</v>
      </c>
      <c r="R342" s="1">
        <f>VLOOKUP(Master8[[#This Row],[Province_RDC]],Client[],7,FALSE)</f>
        <v>2</v>
      </c>
      <c r="S342" s="1" t="str">
        <f>IF(Master8[[#This Row],[Type_Forfait]]="Pro Monde","B2B","B2C")</f>
        <v>B2B</v>
      </c>
      <c r="T342" s="1">
        <f>Master8[[#This Row],[Anciennete_Mois]]/12</f>
        <v>6</v>
      </c>
      <c r="U342" s="1">
        <f>Master8[[#This Row],[Duree_Cumule_Panne_Min]]/60</f>
        <v>2.6666666666666665</v>
      </c>
      <c r="V34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2" s="6">
        <f>Master8[[#This Row],[Facture_Mensuelle]]*Master8[[#This Row],[Remise]]</f>
        <v>9.0129999999999999</v>
      </c>
    </row>
    <row r="343" spans="1:24" x14ac:dyDescent="0.25">
      <c r="A343" s="1" t="s">
        <v>861</v>
      </c>
      <c r="B343" t="str">
        <f>IFERROR(VLOOKUP(Master8[[#This Row],[Cell_ID]],Registre_Maintenance[],2,FALSE),"")</f>
        <v>Kasai-Central</v>
      </c>
      <c r="C343" s="1" t="s">
        <v>878</v>
      </c>
      <c r="D343" s="2">
        <v>45206.027083333327</v>
      </c>
      <c r="E343" s="3">
        <v>45206.027083333327</v>
      </c>
      <c r="F343">
        <v>36</v>
      </c>
      <c r="G343">
        <f>Master8[[#This Row],[Duree_Panne_Min]]/60</f>
        <v>0.6</v>
      </c>
      <c r="H343" s="1" t="s">
        <v>737</v>
      </c>
      <c r="I343">
        <f>IFERROR(VLOOKUP(Master8[[#This Row],[Cell_ID]],Registre_Maintenance[],3,FALSE),"")</f>
        <v>-3.111418</v>
      </c>
      <c r="J343">
        <f>IFERROR(VLOOKUP(Master8[[#This Row],[Cell_ID]],Registre_Maintenance[],4,FALSE),"")</f>
        <v>14.144854</v>
      </c>
      <c r="K343" t="str">
        <f>IFERROR(VLOOKUP(Master8[[#This Row],[Cell_ID]],Registre_Maintenance[],5,FALSE),"")</f>
        <v>4G</v>
      </c>
      <c r="L343" t="str">
        <f>IFERROR(VLOOKUP(Master8[[#This Row],[Cell_ID]],Registre_Maintenance[],6,FALSE),"")</f>
        <v>ZTE</v>
      </c>
      <c r="M343" s="1" t="str">
        <f>VLOOKUP(Master8[[#This Row],[Province_RDC]],Client[],2,FALSE)</f>
        <v>CLI-00060</v>
      </c>
      <c r="N343" s="1">
        <f>VLOOKUP(Master8[[#This Row],[Province_RDC]],Client[],3,FALSE)</f>
        <v>72</v>
      </c>
      <c r="O343" s="1" t="str">
        <f>VLOOKUP(Master8[[#This Row],[Province_RDC]],Client[],4,FALSE)</f>
        <v>Pro Monde</v>
      </c>
      <c r="P343" s="1">
        <f>VLOOKUP(Master8[[#This Row],[Province_RDC]],Client[],5,FALSE)</f>
        <v>160</v>
      </c>
      <c r="Q343" s="1">
        <f>VLOOKUP(Master8[[#This Row],[Province_RDC]],Client[],6,FALSE)</f>
        <v>90.13</v>
      </c>
      <c r="R343" s="1">
        <f>VLOOKUP(Master8[[#This Row],[Province_RDC]],Client[],7,FALSE)</f>
        <v>2</v>
      </c>
      <c r="S343" s="1" t="str">
        <f>IF(Master8[[#This Row],[Type_Forfait]]="Pro Monde","B2B","B2C")</f>
        <v>B2B</v>
      </c>
      <c r="T343" s="1">
        <f>Master8[[#This Row],[Anciennete_Mois]]/12</f>
        <v>6</v>
      </c>
      <c r="U343" s="1">
        <f>Master8[[#This Row],[Duree_Cumule_Panne_Min]]/60</f>
        <v>2.6666666666666665</v>
      </c>
      <c r="V34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3" s="6">
        <f>Master8[[#This Row],[Facture_Mensuelle]]*Master8[[#This Row],[Remise]]</f>
        <v>9.0129999999999999</v>
      </c>
    </row>
    <row r="344" spans="1:24" x14ac:dyDescent="0.25">
      <c r="A344" s="1" t="s">
        <v>861</v>
      </c>
      <c r="B344" t="str">
        <f>IFERROR(VLOOKUP(Master8[[#This Row],[Cell_ID]],Registre_Maintenance[],2,FALSE),"")</f>
        <v>Kasai-Central</v>
      </c>
      <c r="C344" s="1" t="s">
        <v>863</v>
      </c>
      <c r="D344" s="2">
        <v>45204.81527777778</v>
      </c>
      <c r="E344" s="3">
        <v>45204.81527777778</v>
      </c>
      <c r="F344">
        <v>71</v>
      </c>
      <c r="G344">
        <f>Master8[[#This Row],[Duree_Panne_Min]]/60</f>
        <v>1.1833333333333333</v>
      </c>
      <c r="H344" s="1" t="s">
        <v>737</v>
      </c>
      <c r="I344">
        <f>IFERROR(VLOOKUP(Master8[[#This Row],[Cell_ID]],Registre_Maintenance[],3,FALSE),"")</f>
        <v>-10.414493</v>
      </c>
      <c r="J344">
        <f>IFERROR(VLOOKUP(Master8[[#This Row],[Cell_ID]],Registre_Maintenance[],4,FALSE),"")</f>
        <v>12.333356999999999</v>
      </c>
      <c r="K344" t="str">
        <f>IFERROR(VLOOKUP(Master8[[#This Row],[Cell_ID]],Registre_Maintenance[],5,FALSE),"")</f>
        <v>3G</v>
      </c>
      <c r="L344" t="str">
        <f>IFERROR(VLOOKUP(Master8[[#This Row],[Cell_ID]],Registre_Maintenance[],6,FALSE),"")</f>
        <v>Ericsson</v>
      </c>
      <c r="M344" s="1" t="str">
        <f>VLOOKUP(Master8[[#This Row],[Province_RDC]],Client[],2,FALSE)</f>
        <v>CLI-00060</v>
      </c>
      <c r="N344" s="1">
        <f>VLOOKUP(Master8[[#This Row],[Province_RDC]],Client[],3,FALSE)</f>
        <v>72</v>
      </c>
      <c r="O344" s="1" t="str">
        <f>VLOOKUP(Master8[[#This Row],[Province_RDC]],Client[],4,FALSE)</f>
        <v>Pro Monde</v>
      </c>
      <c r="P344" s="1">
        <f>VLOOKUP(Master8[[#This Row],[Province_RDC]],Client[],5,FALSE)</f>
        <v>160</v>
      </c>
      <c r="Q344" s="1">
        <f>VLOOKUP(Master8[[#This Row],[Province_RDC]],Client[],6,FALSE)</f>
        <v>90.13</v>
      </c>
      <c r="R344" s="1">
        <f>VLOOKUP(Master8[[#This Row],[Province_RDC]],Client[],7,FALSE)</f>
        <v>2</v>
      </c>
      <c r="S344" s="1" t="str">
        <f>IF(Master8[[#This Row],[Type_Forfait]]="Pro Monde","B2B","B2C")</f>
        <v>B2B</v>
      </c>
      <c r="T344" s="1">
        <f>Master8[[#This Row],[Anciennete_Mois]]/12</f>
        <v>6</v>
      </c>
      <c r="U344" s="1">
        <f>Master8[[#This Row],[Duree_Cumule_Panne_Min]]/60</f>
        <v>2.6666666666666665</v>
      </c>
      <c r="V34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4" s="6">
        <f>Master8[[#This Row],[Facture_Mensuelle]]*Master8[[#This Row],[Remise]]</f>
        <v>9.0129999999999999</v>
      </c>
    </row>
    <row r="345" spans="1:24" x14ac:dyDescent="0.25">
      <c r="A345" s="1" t="s">
        <v>1219</v>
      </c>
      <c r="B345" t="str">
        <f>IFERROR(VLOOKUP(Master8[[#This Row],[Cell_ID]],Registre_Maintenance[],2,FALSE),"")</f>
        <v>Kasai-Central</v>
      </c>
      <c r="C345" s="1" t="s">
        <v>1240</v>
      </c>
      <c r="D345" s="2">
        <v>45204.76666666667</v>
      </c>
      <c r="E345" s="3">
        <v>45204.76666666667</v>
      </c>
      <c r="F345">
        <v>9</v>
      </c>
      <c r="G345">
        <f>Master8[[#This Row],[Duree_Panne_Min]]/60</f>
        <v>0.15</v>
      </c>
      <c r="H345" s="1" t="s">
        <v>737</v>
      </c>
      <c r="I345">
        <f>IFERROR(VLOOKUP(Master8[[#This Row],[Cell_ID]],Registre_Maintenance[],3,FALSE),"")</f>
        <v>-12.560556999999999</v>
      </c>
      <c r="J345">
        <f>IFERROR(VLOOKUP(Master8[[#This Row],[Cell_ID]],Registre_Maintenance[],4,FALSE),"")</f>
        <v>13.204014000000001</v>
      </c>
      <c r="K345" t="str">
        <f>IFERROR(VLOOKUP(Master8[[#This Row],[Cell_ID]],Registre_Maintenance[],5,FALSE),"")</f>
        <v>4G</v>
      </c>
      <c r="L345" t="str">
        <f>IFERROR(VLOOKUP(Master8[[#This Row],[Cell_ID]],Registre_Maintenance[],6,FALSE),"")</f>
        <v>Ericsson</v>
      </c>
      <c r="M345" s="1" t="str">
        <f>VLOOKUP(Master8[[#This Row],[Province_RDC]],Client[],2,FALSE)</f>
        <v>CLI-00060</v>
      </c>
      <c r="N345" s="1">
        <f>VLOOKUP(Master8[[#This Row],[Province_RDC]],Client[],3,FALSE)</f>
        <v>72</v>
      </c>
      <c r="O345" s="1" t="str">
        <f>VLOOKUP(Master8[[#This Row],[Province_RDC]],Client[],4,FALSE)</f>
        <v>Pro Monde</v>
      </c>
      <c r="P345" s="1">
        <f>VLOOKUP(Master8[[#This Row],[Province_RDC]],Client[],5,FALSE)</f>
        <v>160</v>
      </c>
      <c r="Q345" s="1">
        <f>VLOOKUP(Master8[[#This Row],[Province_RDC]],Client[],6,FALSE)</f>
        <v>90.13</v>
      </c>
      <c r="R345" s="1">
        <f>VLOOKUP(Master8[[#This Row],[Province_RDC]],Client[],7,FALSE)</f>
        <v>2</v>
      </c>
      <c r="S345" s="1" t="str">
        <f>IF(Master8[[#This Row],[Type_Forfait]]="Pro Monde","B2B","B2C")</f>
        <v>B2B</v>
      </c>
      <c r="T345" s="1">
        <f>Master8[[#This Row],[Anciennete_Mois]]/12</f>
        <v>6</v>
      </c>
      <c r="U345" s="1">
        <f>Master8[[#This Row],[Duree_Cumule_Panne_Min]]/60</f>
        <v>2.6666666666666665</v>
      </c>
      <c r="V34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5" s="6">
        <f>Master8[[#This Row],[Facture_Mensuelle]]*Master8[[#This Row],[Remise]]</f>
        <v>9.0129999999999999</v>
      </c>
    </row>
    <row r="346" spans="1:24" x14ac:dyDescent="0.25">
      <c r="A346" s="1" t="s">
        <v>1114</v>
      </c>
      <c r="B346" t="str">
        <f>IFERROR(VLOOKUP(Master8[[#This Row],[Cell_ID]],Registre_Maintenance[],2,FALSE),"")</f>
        <v>Kasai-Central</v>
      </c>
      <c r="C346" s="1" t="s">
        <v>878</v>
      </c>
      <c r="D346" s="2">
        <v>45204.572222222218</v>
      </c>
      <c r="E346" s="3">
        <v>45204.572222222218</v>
      </c>
      <c r="F346">
        <v>88</v>
      </c>
      <c r="G346">
        <f>Master8[[#This Row],[Duree_Panne_Min]]/60</f>
        <v>1.4666666666666666</v>
      </c>
      <c r="H346" s="1" t="s">
        <v>737</v>
      </c>
      <c r="I346">
        <f>IFERROR(VLOOKUP(Master8[[#This Row],[Cell_ID]],Registre_Maintenance[],3,FALSE),"")</f>
        <v>-3.111418</v>
      </c>
      <c r="J346">
        <f>IFERROR(VLOOKUP(Master8[[#This Row],[Cell_ID]],Registre_Maintenance[],4,FALSE),"")</f>
        <v>14.144854</v>
      </c>
      <c r="K346" t="str">
        <f>IFERROR(VLOOKUP(Master8[[#This Row],[Cell_ID]],Registre_Maintenance[],5,FALSE),"")</f>
        <v>4G</v>
      </c>
      <c r="L346" t="str">
        <f>IFERROR(VLOOKUP(Master8[[#This Row],[Cell_ID]],Registre_Maintenance[],6,FALSE),"")</f>
        <v>ZTE</v>
      </c>
      <c r="M346" s="1" t="str">
        <f>VLOOKUP(Master8[[#This Row],[Province_RDC]],Client[],2,FALSE)</f>
        <v>CLI-00060</v>
      </c>
      <c r="N346" s="1">
        <f>VLOOKUP(Master8[[#This Row],[Province_RDC]],Client[],3,FALSE)</f>
        <v>72</v>
      </c>
      <c r="O346" s="1" t="str">
        <f>VLOOKUP(Master8[[#This Row],[Province_RDC]],Client[],4,FALSE)</f>
        <v>Pro Monde</v>
      </c>
      <c r="P346" s="1">
        <f>VLOOKUP(Master8[[#This Row],[Province_RDC]],Client[],5,FALSE)</f>
        <v>160</v>
      </c>
      <c r="Q346" s="1">
        <f>VLOOKUP(Master8[[#This Row],[Province_RDC]],Client[],6,FALSE)</f>
        <v>90.13</v>
      </c>
      <c r="R346" s="1">
        <f>VLOOKUP(Master8[[#This Row],[Province_RDC]],Client[],7,FALSE)</f>
        <v>2</v>
      </c>
      <c r="S346" s="1" t="str">
        <f>IF(Master8[[#This Row],[Type_Forfait]]="Pro Monde","B2B","B2C")</f>
        <v>B2B</v>
      </c>
      <c r="T346" s="1">
        <f>Master8[[#This Row],[Anciennete_Mois]]/12</f>
        <v>6</v>
      </c>
      <c r="U346" s="1">
        <f>Master8[[#This Row],[Duree_Cumule_Panne_Min]]/60</f>
        <v>2.6666666666666665</v>
      </c>
      <c r="V34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6" s="6">
        <f>Master8[[#This Row],[Facture_Mensuelle]]*Master8[[#This Row],[Remise]]</f>
        <v>9.0129999999999999</v>
      </c>
    </row>
    <row r="347" spans="1:24" x14ac:dyDescent="0.25">
      <c r="A347" s="1" t="s">
        <v>1114</v>
      </c>
      <c r="B347" t="str">
        <f>IFERROR(VLOOKUP(Master8[[#This Row],[Cell_ID]],Registre_Maintenance[],2,FALSE),"")</f>
        <v>Kasai-Central</v>
      </c>
      <c r="C347" s="1" t="s">
        <v>863</v>
      </c>
      <c r="D347" s="2">
        <v>45203.250694444447</v>
      </c>
      <c r="E347" s="3">
        <v>45203.250694444447</v>
      </c>
      <c r="F347">
        <v>49</v>
      </c>
      <c r="G347">
        <f>Master8[[#This Row],[Duree_Panne_Min]]/60</f>
        <v>0.81666666666666665</v>
      </c>
      <c r="H347" s="1" t="s">
        <v>735</v>
      </c>
      <c r="I347">
        <f>IFERROR(VLOOKUP(Master8[[#This Row],[Cell_ID]],Registre_Maintenance[],3,FALSE),"")</f>
        <v>-10.414493</v>
      </c>
      <c r="J347">
        <f>IFERROR(VLOOKUP(Master8[[#This Row],[Cell_ID]],Registre_Maintenance[],4,FALSE),"")</f>
        <v>12.333356999999999</v>
      </c>
      <c r="K347" t="str">
        <f>IFERROR(VLOOKUP(Master8[[#This Row],[Cell_ID]],Registre_Maintenance[],5,FALSE),"")</f>
        <v>3G</v>
      </c>
      <c r="L347" t="str">
        <f>IFERROR(VLOOKUP(Master8[[#This Row],[Cell_ID]],Registre_Maintenance[],6,FALSE),"")</f>
        <v>Ericsson</v>
      </c>
      <c r="M347" s="1" t="str">
        <f>VLOOKUP(Master8[[#This Row],[Province_RDC]],Client[],2,FALSE)</f>
        <v>CLI-00060</v>
      </c>
      <c r="N347" s="1">
        <f>VLOOKUP(Master8[[#This Row],[Province_RDC]],Client[],3,FALSE)</f>
        <v>72</v>
      </c>
      <c r="O347" s="1" t="str">
        <f>VLOOKUP(Master8[[#This Row],[Province_RDC]],Client[],4,FALSE)</f>
        <v>Pro Monde</v>
      </c>
      <c r="P347" s="1">
        <f>VLOOKUP(Master8[[#This Row],[Province_RDC]],Client[],5,FALSE)</f>
        <v>160</v>
      </c>
      <c r="Q347" s="1">
        <f>VLOOKUP(Master8[[#This Row],[Province_RDC]],Client[],6,FALSE)</f>
        <v>90.13</v>
      </c>
      <c r="R347" s="1">
        <f>VLOOKUP(Master8[[#This Row],[Province_RDC]],Client[],7,FALSE)</f>
        <v>2</v>
      </c>
      <c r="S347" s="1" t="str">
        <f>IF(Master8[[#This Row],[Type_Forfait]]="Pro Monde","B2B","B2C")</f>
        <v>B2B</v>
      </c>
      <c r="T347" s="1">
        <f>Master8[[#This Row],[Anciennete_Mois]]/12</f>
        <v>6</v>
      </c>
      <c r="U347" s="1">
        <f>Master8[[#This Row],[Duree_Cumule_Panne_Min]]/60</f>
        <v>2.6666666666666665</v>
      </c>
      <c r="V34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7" s="6">
        <f>Master8[[#This Row],[Facture_Mensuelle]]*Master8[[#This Row],[Remise]]</f>
        <v>9.0129999999999999</v>
      </c>
    </row>
    <row r="348" spans="1:24" x14ac:dyDescent="0.25">
      <c r="A348" s="1" t="s">
        <v>1308</v>
      </c>
      <c r="B348" t="str">
        <f>IFERROR(VLOOKUP(Master8[[#This Row],[Cell_ID]],Registre_Maintenance[],2,FALSE),"")</f>
        <v>Kasai-Central</v>
      </c>
      <c r="C348" s="1" t="s">
        <v>878</v>
      </c>
      <c r="D348" s="2">
        <v>45202.747916666667</v>
      </c>
      <c r="E348" s="3">
        <v>45202.747916666667</v>
      </c>
      <c r="F348">
        <v>28</v>
      </c>
      <c r="G348">
        <f>Master8[[#This Row],[Duree_Panne_Min]]/60</f>
        <v>0.46666666666666667</v>
      </c>
      <c r="H348" s="1" t="s">
        <v>735</v>
      </c>
      <c r="I348">
        <f>IFERROR(VLOOKUP(Master8[[#This Row],[Cell_ID]],Registre_Maintenance[],3,FALSE),"")</f>
        <v>-3.111418</v>
      </c>
      <c r="J348">
        <f>IFERROR(VLOOKUP(Master8[[#This Row],[Cell_ID]],Registre_Maintenance[],4,FALSE),"")</f>
        <v>14.144854</v>
      </c>
      <c r="K348" t="str">
        <f>IFERROR(VLOOKUP(Master8[[#This Row],[Cell_ID]],Registre_Maintenance[],5,FALSE),"")</f>
        <v>4G</v>
      </c>
      <c r="L348" t="str">
        <f>IFERROR(VLOOKUP(Master8[[#This Row],[Cell_ID]],Registre_Maintenance[],6,FALSE),"")</f>
        <v>ZTE</v>
      </c>
      <c r="M348" s="1" t="str">
        <f>VLOOKUP(Master8[[#This Row],[Province_RDC]],Client[],2,FALSE)</f>
        <v>CLI-00060</v>
      </c>
      <c r="N348" s="1">
        <f>VLOOKUP(Master8[[#This Row],[Province_RDC]],Client[],3,FALSE)</f>
        <v>72</v>
      </c>
      <c r="O348" s="1" t="str">
        <f>VLOOKUP(Master8[[#This Row],[Province_RDC]],Client[],4,FALSE)</f>
        <v>Pro Monde</v>
      </c>
      <c r="P348" s="1">
        <f>VLOOKUP(Master8[[#This Row],[Province_RDC]],Client[],5,FALSE)</f>
        <v>160</v>
      </c>
      <c r="Q348" s="1">
        <f>VLOOKUP(Master8[[#This Row],[Province_RDC]],Client[],6,FALSE)</f>
        <v>90.13</v>
      </c>
      <c r="R348" s="1">
        <f>VLOOKUP(Master8[[#This Row],[Province_RDC]],Client[],7,FALSE)</f>
        <v>2</v>
      </c>
      <c r="S348" s="1" t="str">
        <f>IF(Master8[[#This Row],[Type_Forfait]]="Pro Monde","B2B","B2C")</f>
        <v>B2B</v>
      </c>
      <c r="T348" s="1">
        <f>Master8[[#This Row],[Anciennete_Mois]]/12</f>
        <v>6</v>
      </c>
      <c r="U348" s="1">
        <f>Master8[[#This Row],[Duree_Cumule_Panne_Min]]/60</f>
        <v>2.6666666666666665</v>
      </c>
      <c r="V34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8" s="6">
        <f>Master8[[#This Row],[Facture_Mensuelle]]*Master8[[#This Row],[Remise]]</f>
        <v>9.0129999999999999</v>
      </c>
    </row>
    <row r="349" spans="1:24" x14ac:dyDescent="0.25">
      <c r="A349" s="1" t="s">
        <v>730</v>
      </c>
      <c r="B349" t="str">
        <f>IFERROR(VLOOKUP(Master8[[#This Row],[Cell_ID]],Registre_Maintenance[],2,FALSE),"")</f>
        <v>Kasai-Central</v>
      </c>
      <c r="C349" s="1" t="s">
        <v>740</v>
      </c>
      <c r="D349" s="2">
        <v>45202.259722222218</v>
      </c>
      <c r="E349" s="3">
        <v>45202.259722222218</v>
      </c>
      <c r="F349">
        <v>79</v>
      </c>
      <c r="G349">
        <f>Master8[[#This Row],[Duree_Panne_Min]]/60</f>
        <v>1.3166666666666667</v>
      </c>
      <c r="H349" s="1" t="s">
        <v>732</v>
      </c>
      <c r="I349">
        <f>IFERROR(VLOOKUP(Master8[[#This Row],[Cell_ID]],Registre_Maintenance[],3,FALSE),"")</f>
        <v>-1.648264</v>
      </c>
      <c r="J349">
        <f>IFERROR(VLOOKUP(Master8[[#This Row],[Cell_ID]],Registre_Maintenance[],4,FALSE),"")</f>
        <v>28.866143999999998</v>
      </c>
      <c r="K349" t="str">
        <f>IFERROR(VLOOKUP(Master8[[#This Row],[Cell_ID]],Registre_Maintenance[],5,FALSE),"")</f>
        <v>5G</v>
      </c>
      <c r="L349" t="str">
        <f>IFERROR(VLOOKUP(Master8[[#This Row],[Cell_ID]],Registre_Maintenance[],6,FALSE),"")</f>
        <v>Ericsson</v>
      </c>
      <c r="M349" s="1" t="str">
        <f>VLOOKUP(Master8[[#This Row],[Province_RDC]],Client[],2,FALSE)</f>
        <v>CLI-00060</v>
      </c>
      <c r="N349" s="1">
        <f>VLOOKUP(Master8[[#This Row],[Province_RDC]],Client[],3,FALSE)</f>
        <v>72</v>
      </c>
      <c r="O349" s="1" t="str">
        <f>VLOOKUP(Master8[[#This Row],[Province_RDC]],Client[],4,FALSE)</f>
        <v>Pro Monde</v>
      </c>
      <c r="P349" s="1">
        <f>VLOOKUP(Master8[[#This Row],[Province_RDC]],Client[],5,FALSE)</f>
        <v>160</v>
      </c>
      <c r="Q349" s="1">
        <f>VLOOKUP(Master8[[#This Row],[Province_RDC]],Client[],6,FALSE)</f>
        <v>90.13</v>
      </c>
      <c r="R349" s="1">
        <f>VLOOKUP(Master8[[#This Row],[Province_RDC]],Client[],7,FALSE)</f>
        <v>2</v>
      </c>
      <c r="S349" s="1" t="str">
        <f>IF(Master8[[#This Row],[Type_Forfait]]="Pro Monde","B2B","B2C")</f>
        <v>B2B</v>
      </c>
      <c r="T349" s="1">
        <f>Master8[[#This Row],[Anciennete_Mois]]/12</f>
        <v>6</v>
      </c>
      <c r="U349" s="1">
        <f>Master8[[#This Row],[Duree_Cumule_Panne_Min]]/60</f>
        <v>2.6666666666666665</v>
      </c>
      <c r="V34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4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49" s="6">
        <f>Master8[[#This Row],[Facture_Mensuelle]]*Master8[[#This Row],[Remise]]</f>
        <v>9.0129999999999999</v>
      </c>
    </row>
    <row r="350" spans="1:24" x14ac:dyDescent="0.25">
      <c r="A350" s="1" t="s">
        <v>939</v>
      </c>
      <c r="B350" t="str">
        <f>IFERROR(VLOOKUP(Master8[[#This Row],[Cell_ID]],Registre_Maintenance[],2,FALSE),"")</f>
        <v>Kasai</v>
      </c>
      <c r="C350" s="1" t="s">
        <v>970</v>
      </c>
      <c r="D350" s="2">
        <v>45225.622916666667</v>
      </c>
      <c r="E350" s="3">
        <v>45225.622916666667</v>
      </c>
      <c r="F350">
        <v>86</v>
      </c>
      <c r="G350">
        <f>Master8[[#This Row],[Duree_Panne_Min]]/60</f>
        <v>1.4333333333333333</v>
      </c>
      <c r="H350" s="1" t="s">
        <v>732</v>
      </c>
      <c r="I350">
        <f>IFERROR(VLOOKUP(Master8[[#This Row],[Cell_ID]],Registre_Maintenance[],3,FALSE),"")</f>
        <v>-10.165072</v>
      </c>
      <c r="J350">
        <f>IFERROR(VLOOKUP(Master8[[#This Row],[Cell_ID]],Registre_Maintenance[],4,FALSE),"")</f>
        <v>29.428024000000001</v>
      </c>
      <c r="K350" t="str">
        <f>IFERROR(VLOOKUP(Master8[[#This Row],[Cell_ID]],Registre_Maintenance[],5,FALSE),"")</f>
        <v>5G</v>
      </c>
      <c r="L350" t="str">
        <f>IFERROR(VLOOKUP(Master8[[#This Row],[Cell_ID]],Registre_Maintenance[],6,FALSE),"")</f>
        <v>Huawei</v>
      </c>
      <c r="M350" s="1" t="str">
        <f>VLOOKUP(Master8[[#This Row],[Province_RDC]],Client[],2,FALSE)</f>
        <v>CLI-00559</v>
      </c>
      <c r="N350" s="1">
        <f>VLOOKUP(Master8[[#This Row],[Province_RDC]],Client[],3,FALSE)</f>
        <v>99</v>
      </c>
      <c r="O350" s="1" t="str">
        <f>VLOOKUP(Master8[[#This Row],[Province_RDC]],Client[],4,FALSE)</f>
        <v>Bloqué 5Go</v>
      </c>
      <c r="P350" s="1">
        <f>VLOOKUP(Master8[[#This Row],[Province_RDC]],Client[],5,FALSE)</f>
        <v>369</v>
      </c>
      <c r="Q350" s="1">
        <f>VLOOKUP(Master8[[#This Row],[Province_RDC]],Client[],6,FALSE)</f>
        <v>67.209999999999994</v>
      </c>
      <c r="R350" s="1">
        <f>VLOOKUP(Master8[[#This Row],[Province_RDC]],Client[],7,FALSE)</f>
        <v>3</v>
      </c>
      <c r="S350" s="1" t="str">
        <f>IF(Master8[[#This Row],[Type_Forfait]]="Pro Monde","B2B","B2C")</f>
        <v>B2C</v>
      </c>
      <c r="T350" s="1">
        <f>Master8[[#This Row],[Anciennete_Mois]]/12</f>
        <v>8.25</v>
      </c>
      <c r="U350" s="1">
        <f>Master8[[#This Row],[Duree_Cumule_Panne_Min]]/60</f>
        <v>6.15</v>
      </c>
      <c r="V35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0" s="6">
        <f>Master8[[#This Row],[Facture_Mensuelle]]*Master8[[#This Row],[Remise]]</f>
        <v>30.244499999999999</v>
      </c>
    </row>
    <row r="351" spans="1:24" x14ac:dyDescent="0.25">
      <c r="A351" s="1" t="s">
        <v>730</v>
      </c>
      <c r="B351" t="str">
        <f>IFERROR(VLOOKUP(Master8[[#This Row],[Cell_ID]],Registre_Maintenance[],2,FALSE),"")</f>
        <v>Kasai</v>
      </c>
      <c r="C351" s="1" t="s">
        <v>765</v>
      </c>
      <c r="D351" s="2">
        <v>45221.836111111108</v>
      </c>
      <c r="E351" s="3">
        <v>45221.836111111108</v>
      </c>
      <c r="F351">
        <v>6</v>
      </c>
      <c r="G351">
        <f>Master8[[#This Row],[Duree_Panne_Min]]/60</f>
        <v>0.1</v>
      </c>
      <c r="H351" s="1" t="s">
        <v>737</v>
      </c>
      <c r="I351">
        <f>IFERROR(VLOOKUP(Master8[[#This Row],[Cell_ID]],Registre_Maintenance[],3,FALSE),"")</f>
        <v>-4.9789079999999997</v>
      </c>
      <c r="J351">
        <f>IFERROR(VLOOKUP(Master8[[#This Row],[Cell_ID]],Registre_Maintenance[],4,FALSE),"")</f>
        <v>28.506295000000001</v>
      </c>
      <c r="K351" t="str">
        <f>IFERROR(VLOOKUP(Master8[[#This Row],[Cell_ID]],Registre_Maintenance[],5,FALSE),"")</f>
        <v>4G</v>
      </c>
      <c r="L351" t="str">
        <f>IFERROR(VLOOKUP(Master8[[#This Row],[Cell_ID]],Registre_Maintenance[],6,FALSE),"")</f>
        <v>Huawei</v>
      </c>
      <c r="M351" s="1" t="str">
        <f>VLOOKUP(Master8[[#This Row],[Province_RDC]],Client[],2,FALSE)</f>
        <v>CLI-00559</v>
      </c>
      <c r="N351" s="1">
        <f>VLOOKUP(Master8[[#This Row],[Province_RDC]],Client[],3,FALSE)</f>
        <v>99</v>
      </c>
      <c r="O351" s="1" t="str">
        <f>VLOOKUP(Master8[[#This Row],[Province_RDC]],Client[],4,FALSE)</f>
        <v>Bloqué 5Go</v>
      </c>
      <c r="P351" s="1">
        <f>VLOOKUP(Master8[[#This Row],[Province_RDC]],Client[],5,FALSE)</f>
        <v>369</v>
      </c>
      <c r="Q351" s="1">
        <f>VLOOKUP(Master8[[#This Row],[Province_RDC]],Client[],6,FALSE)</f>
        <v>67.209999999999994</v>
      </c>
      <c r="R351" s="1">
        <f>VLOOKUP(Master8[[#This Row],[Province_RDC]],Client[],7,FALSE)</f>
        <v>3</v>
      </c>
      <c r="S351" s="1" t="str">
        <f>IF(Master8[[#This Row],[Type_Forfait]]="Pro Monde","B2B","B2C")</f>
        <v>B2C</v>
      </c>
      <c r="T351" s="1">
        <f>Master8[[#This Row],[Anciennete_Mois]]/12</f>
        <v>8.25</v>
      </c>
      <c r="U351" s="1">
        <f>Master8[[#This Row],[Duree_Cumule_Panne_Min]]/60</f>
        <v>6.15</v>
      </c>
      <c r="V35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1" s="6">
        <f>Master8[[#This Row],[Facture_Mensuelle]]*Master8[[#This Row],[Remise]]</f>
        <v>30.244499999999999</v>
      </c>
    </row>
    <row r="352" spans="1:24" x14ac:dyDescent="0.25">
      <c r="A352" s="1" t="s">
        <v>939</v>
      </c>
      <c r="B352" t="str">
        <f>IFERROR(VLOOKUP(Master8[[#This Row],[Cell_ID]],Registre_Maintenance[],2,FALSE),"")</f>
        <v>Kasai</v>
      </c>
      <c r="C352" s="1" t="s">
        <v>970</v>
      </c>
      <c r="D352" s="2">
        <v>45221.313194444447</v>
      </c>
      <c r="E352" s="3">
        <v>45221.313194444447</v>
      </c>
      <c r="F352">
        <v>34</v>
      </c>
      <c r="G352">
        <f>Master8[[#This Row],[Duree_Panne_Min]]/60</f>
        <v>0.56666666666666665</v>
      </c>
      <c r="H352" s="1" t="s">
        <v>735</v>
      </c>
      <c r="I352">
        <f>IFERROR(VLOOKUP(Master8[[#This Row],[Cell_ID]],Registre_Maintenance[],3,FALSE),"")</f>
        <v>-10.165072</v>
      </c>
      <c r="J352">
        <f>IFERROR(VLOOKUP(Master8[[#This Row],[Cell_ID]],Registre_Maintenance[],4,FALSE),"")</f>
        <v>29.428024000000001</v>
      </c>
      <c r="K352" t="str">
        <f>IFERROR(VLOOKUP(Master8[[#This Row],[Cell_ID]],Registre_Maintenance[],5,FALSE),"")</f>
        <v>5G</v>
      </c>
      <c r="L352" t="str">
        <f>IFERROR(VLOOKUP(Master8[[#This Row],[Cell_ID]],Registre_Maintenance[],6,FALSE),"")</f>
        <v>Huawei</v>
      </c>
      <c r="M352" s="1" t="str">
        <f>VLOOKUP(Master8[[#This Row],[Province_RDC]],Client[],2,FALSE)</f>
        <v>CLI-00559</v>
      </c>
      <c r="N352" s="1">
        <f>VLOOKUP(Master8[[#This Row],[Province_RDC]],Client[],3,FALSE)</f>
        <v>99</v>
      </c>
      <c r="O352" s="1" t="str">
        <f>VLOOKUP(Master8[[#This Row],[Province_RDC]],Client[],4,FALSE)</f>
        <v>Bloqué 5Go</v>
      </c>
      <c r="P352" s="1">
        <f>VLOOKUP(Master8[[#This Row],[Province_RDC]],Client[],5,FALSE)</f>
        <v>369</v>
      </c>
      <c r="Q352" s="1">
        <f>VLOOKUP(Master8[[#This Row],[Province_RDC]],Client[],6,FALSE)</f>
        <v>67.209999999999994</v>
      </c>
      <c r="R352" s="1">
        <f>VLOOKUP(Master8[[#This Row],[Province_RDC]],Client[],7,FALSE)</f>
        <v>3</v>
      </c>
      <c r="S352" s="1" t="str">
        <f>IF(Master8[[#This Row],[Type_Forfait]]="Pro Monde","B2B","B2C")</f>
        <v>B2C</v>
      </c>
      <c r="T352" s="1">
        <f>Master8[[#This Row],[Anciennete_Mois]]/12</f>
        <v>8.25</v>
      </c>
      <c r="U352" s="1">
        <f>Master8[[#This Row],[Duree_Cumule_Panne_Min]]/60</f>
        <v>6.15</v>
      </c>
      <c r="V35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2" s="6">
        <f>Master8[[#This Row],[Facture_Mensuelle]]*Master8[[#This Row],[Remise]]</f>
        <v>30.244499999999999</v>
      </c>
    </row>
    <row r="353" spans="1:24" x14ac:dyDescent="0.25">
      <c r="A353" s="1" t="s">
        <v>730</v>
      </c>
      <c r="B353" t="str">
        <f>IFERROR(VLOOKUP(Master8[[#This Row],[Cell_ID]],Registre_Maintenance[],2,FALSE),"")</f>
        <v>Kasai</v>
      </c>
      <c r="C353" s="1" t="s">
        <v>767</v>
      </c>
      <c r="D353" s="2">
        <v>45217.96875</v>
      </c>
      <c r="E353" s="3">
        <v>45217.96875</v>
      </c>
      <c r="F353">
        <v>97</v>
      </c>
      <c r="G353">
        <f>Master8[[#This Row],[Duree_Panne_Min]]/60</f>
        <v>1.6166666666666667</v>
      </c>
      <c r="H353" s="1" t="s">
        <v>735</v>
      </c>
      <c r="I353">
        <f>IFERROR(VLOOKUP(Master8[[#This Row],[Cell_ID]],Registre_Maintenance[],3,FALSE),"")</f>
        <v>-10.059846</v>
      </c>
      <c r="J353">
        <f>IFERROR(VLOOKUP(Master8[[#This Row],[Cell_ID]],Registre_Maintenance[],4,FALSE),"")</f>
        <v>14.375757999999999</v>
      </c>
      <c r="K353" t="str">
        <f>IFERROR(VLOOKUP(Master8[[#This Row],[Cell_ID]],Registre_Maintenance[],5,FALSE),"")</f>
        <v>4G</v>
      </c>
      <c r="L353" t="str">
        <f>IFERROR(VLOOKUP(Master8[[#This Row],[Cell_ID]],Registre_Maintenance[],6,FALSE),"")</f>
        <v>Huawei</v>
      </c>
      <c r="M353" s="1" t="str">
        <f>VLOOKUP(Master8[[#This Row],[Province_RDC]],Client[],2,FALSE)</f>
        <v>CLI-00559</v>
      </c>
      <c r="N353" s="1">
        <f>VLOOKUP(Master8[[#This Row],[Province_RDC]],Client[],3,FALSE)</f>
        <v>99</v>
      </c>
      <c r="O353" s="1" t="str">
        <f>VLOOKUP(Master8[[#This Row],[Province_RDC]],Client[],4,FALSE)</f>
        <v>Bloqué 5Go</v>
      </c>
      <c r="P353" s="1">
        <f>VLOOKUP(Master8[[#This Row],[Province_RDC]],Client[],5,FALSE)</f>
        <v>369</v>
      </c>
      <c r="Q353" s="1">
        <f>VLOOKUP(Master8[[#This Row],[Province_RDC]],Client[],6,FALSE)</f>
        <v>67.209999999999994</v>
      </c>
      <c r="R353" s="1">
        <f>VLOOKUP(Master8[[#This Row],[Province_RDC]],Client[],7,FALSE)</f>
        <v>3</v>
      </c>
      <c r="S353" s="1" t="str">
        <f>IF(Master8[[#This Row],[Type_Forfait]]="Pro Monde","B2B","B2C")</f>
        <v>B2C</v>
      </c>
      <c r="T353" s="1">
        <f>Master8[[#This Row],[Anciennete_Mois]]/12</f>
        <v>8.25</v>
      </c>
      <c r="U353" s="1">
        <f>Master8[[#This Row],[Duree_Cumule_Panne_Min]]/60</f>
        <v>6.15</v>
      </c>
      <c r="V35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3" s="6">
        <f>Master8[[#This Row],[Facture_Mensuelle]]*Master8[[#This Row],[Remise]]</f>
        <v>30.244499999999999</v>
      </c>
    </row>
    <row r="354" spans="1:24" x14ac:dyDescent="0.25">
      <c r="A354" s="1" t="s">
        <v>1219</v>
      </c>
      <c r="B354" t="str">
        <f>IFERROR(VLOOKUP(Master8[[#This Row],[Cell_ID]],Registre_Maintenance[],2,FALSE),"")</f>
        <v>Kasai</v>
      </c>
      <c r="C354" s="1" t="s">
        <v>1229</v>
      </c>
      <c r="D354" s="2">
        <v>45216.232638888891</v>
      </c>
      <c r="E354" s="3">
        <v>45216.232638888891</v>
      </c>
      <c r="F354">
        <v>11</v>
      </c>
      <c r="G354">
        <f>Master8[[#This Row],[Duree_Panne_Min]]/60</f>
        <v>0.18333333333333332</v>
      </c>
      <c r="H354" s="1" t="s">
        <v>737</v>
      </c>
      <c r="I354">
        <f>IFERROR(VLOOKUP(Master8[[#This Row],[Cell_ID]],Registre_Maintenance[],3,FALSE),"")</f>
        <v>-3.8119990000000001</v>
      </c>
      <c r="J354">
        <f>IFERROR(VLOOKUP(Master8[[#This Row],[Cell_ID]],Registre_Maintenance[],4,FALSE),"")</f>
        <v>20.420048000000001</v>
      </c>
      <c r="K354" t="str">
        <f>IFERROR(VLOOKUP(Master8[[#This Row],[Cell_ID]],Registre_Maintenance[],5,FALSE),"")</f>
        <v>3G</v>
      </c>
      <c r="L354" t="str">
        <f>IFERROR(VLOOKUP(Master8[[#This Row],[Cell_ID]],Registre_Maintenance[],6,FALSE),"")</f>
        <v>ZTE</v>
      </c>
      <c r="M354" s="1" t="str">
        <f>VLOOKUP(Master8[[#This Row],[Province_RDC]],Client[],2,FALSE)</f>
        <v>CLI-00559</v>
      </c>
      <c r="N354" s="1">
        <f>VLOOKUP(Master8[[#This Row],[Province_RDC]],Client[],3,FALSE)</f>
        <v>99</v>
      </c>
      <c r="O354" s="1" t="str">
        <f>VLOOKUP(Master8[[#This Row],[Province_RDC]],Client[],4,FALSE)</f>
        <v>Bloqué 5Go</v>
      </c>
      <c r="P354" s="1">
        <f>VLOOKUP(Master8[[#This Row],[Province_RDC]],Client[],5,FALSE)</f>
        <v>369</v>
      </c>
      <c r="Q354" s="1">
        <f>VLOOKUP(Master8[[#This Row],[Province_RDC]],Client[],6,FALSE)</f>
        <v>67.209999999999994</v>
      </c>
      <c r="R354" s="1">
        <f>VLOOKUP(Master8[[#This Row],[Province_RDC]],Client[],7,FALSE)</f>
        <v>3</v>
      </c>
      <c r="S354" s="1" t="str">
        <f>IF(Master8[[#This Row],[Type_Forfait]]="Pro Monde","B2B","B2C")</f>
        <v>B2C</v>
      </c>
      <c r="T354" s="1">
        <f>Master8[[#This Row],[Anciennete_Mois]]/12</f>
        <v>8.25</v>
      </c>
      <c r="U354" s="1">
        <f>Master8[[#This Row],[Duree_Cumule_Panne_Min]]/60</f>
        <v>6.15</v>
      </c>
      <c r="V35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4" s="6">
        <f>Master8[[#This Row],[Facture_Mensuelle]]*Master8[[#This Row],[Remise]]</f>
        <v>30.244499999999999</v>
      </c>
    </row>
    <row r="355" spans="1:24" x14ac:dyDescent="0.25">
      <c r="A355" s="1" t="s">
        <v>1330</v>
      </c>
      <c r="B355" t="str">
        <f>IFERROR(VLOOKUP(Master8[[#This Row],[Cell_ID]],Registre_Maintenance[],2,FALSE),"")</f>
        <v>Kasai</v>
      </c>
      <c r="C355" s="1" t="s">
        <v>1331</v>
      </c>
      <c r="D355" s="2">
        <v>45215.776388888888</v>
      </c>
      <c r="E355" s="3">
        <v>45215.776388888888</v>
      </c>
      <c r="F355">
        <v>87</v>
      </c>
      <c r="G355">
        <f>Master8[[#This Row],[Duree_Panne_Min]]/60</f>
        <v>1.45</v>
      </c>
      <c r="H355" s="1" t="s">
        <v>737</v>
      </c>
      <c r="I355">
        <f>IFERROR(VLOOKUP(Master8[[#This Row],[Cell_ID]],Registre_Maintenance[],3,FALSE),"")</f>
        <v>2.5665840000000002</v>
      </c>
      <c r="J355">
        <f>IFERROR(VLOOKUP(Master8[[#This Row],[Cell_ID]],Registre_Maintenance[],4,FALSE),"")</f>
        <v>15.764796</v>
      </c>
      <c r="K355" t="str">
        <f>IFERROR(VLOOKUP(Master8[[#This Row],[Cell_ID]],Registre_Maintenance[],5,FALSE),"")</f>
        <v>3G</v>
      </c>
      <c r="L355" t="str">
        <f>IFERROR(VLOOKUP(Master8[[#This Row],[Cell_ID]],Registre_Maintenance[],6,FALSE),"")</f>
        <v>ZTE</v>
      </c>
      <c r="M355" s="1" t="str">
        <f>VLOOKUP(Master8[[#This Row],[Province_RDC]],Client[],2,FALSE)</f>
        <v>CLI-00559</v>
      </c>
      <c r="N355" s="1">
        <f>VLOOKUP(Master8[[#This Row],[Province_RDC]],Client[],3,FALSE)</f>
        <v>99</v>
      </c>
      <c r="O355" s="1" t="str">
        <f>VLOOKUP(Master8[[#This Row],[Province_RDC]],Client[],4,FALSE)</f>
        <v>Bloqué 5Go</v>
      </c>
      <c r="P355" s="1">
        <f>VLOOKUP(Master8[[#This Row],[Province_RDC]],Client[],5,FALSE)</f>
        <v>369</v>
      </c>
      <c r="Q355" s="1">
        <f>VLOOKUP(Master8[[#This Row],[Province_RDC]],Client[],6,FALSE)</f>
        <v>67.209999999999994</v>
      </c>
      <c r="R355" s="1">
        <f>VLOOKUP(Master8[[#This Row],[Province_RDC]],Client[],7,FALSE)</f>
        <v>3</v>
      </c>
      <c r="S355" s="1" t="str">
        <f>IF(Master8[[#This Row],[Type_Forfait]]="Pro Monde","B2B","B2C")</f>
        <v>B2C</v>
      </c>
      <c r="T355" s="1">
        <f>Master8[[#This Row],[Anciennete_Mois]]/12</f>
        <v>8.25</v>
      </c>
      <c r="U355" s="1">
        <f>Master8[[#This Row],[Duree_Cumule_Panne_Min]]/60</f>
        <v>6.15</v>
      </c>
      <c r="V35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5" s="6">
        <f>Master8[[#This Row],[Facture_Mensuelle]]*Master8[[#This Row],[Remise]]</f>
        <v>30.244499999999999</v>
      </c>
    </row>
    <row r="356" spans="1:24" x14ac:dyDescent="0.25">
      <c r="A356" s="1" t="s">
        <v>1114</v>
      </c>
      <c r="B356" t="str">
        <f>IFERROR(VLOOKUP(Master8[[#This Row],[Cell_ID]],Registre_Maintenance[],2,FALSE),"")</f>
        <v>Kasai</v>
      </c>
      <c r="C356" s="1" t="s">
        <v>930</v>
      </c>
      <c r="D356" s="2">
        <v>45210.895833333343</v>
      </c>
      <c r="E356" s="3">
        <v>45210.895833333343</v>
      </c>
      <c r="F356">
        <v>110</v>
      </c>
      <c r="G356">
        <f>Master8[[#This Row],[Duree_Panne_Min]]/60</f>
        <v>1.8333333333333333</v>
      </c>
      <c r="H356" s="1" t="s">
        <v>737</v>
      </c>
      <c r="I356">
        <f>IFERROR(VLOOKUP(Master8[[#This Row],[Cell_ID]],Registre_Maintenance[],3,FALSE),"")</f>
        <v>-4.351254</v>
      </c>
      <c r="J356">
        <f>IFERROR(VLOOKUP(Master8[[#This Row],[Cell_ID]],Registre_Maintenance[],4,FALSE),"")</f>
        <v>30.097408999999999</v>
      </c>
      <c r="K356" t="str">
        <f>IFERROR(VLOOKUP(Master8[[#This Row],[Cell_ID]],Registre_Maintenance[],5,FALSE),"")</f>
        <v>5G</v>
      </c>
      <c r="L356" t="str">
        <f>IFERROR(VLOOKUP(Master8[[#This Row],[Cell_ID]],Registre_Maintenance[],6,FALSE),"")</f>
        <v>Nokia</v>
      </c>
      <c r="M356" s="1" t="str">
        <f>VLOOKUP(Master8[[#This Row],[Province_RDC]],Client[],2,FALSE)</f>
        <v>CLI-00559</v>
      </c>
      <c r="N356" s="1">
        <f>VLOOKUP(Master8[[#This Row],[Province_RDC]],Client[],3,FALSE)</f>
        <v>99</v>
      </c>
      <c r="O356" s="1" t="str">
        <f>VLOOKUP(Master8[[#This Row],[Province_RDC]],Client[],4,FALSE)</f>
        <v>Bloqué 5Go</v>
      </c>
      <c r="P356" s="1">
        <f>VLOOKUP(Master8[[#This Row],[Province_RDC]],Client[],5,FALSE)</f>
        <v>369</v>
      </c>
      <c r="Q356" s="1">
        <f>VLOOKUP(Master8[[#This Row],[Province_RDC]],Client[],6,FALSE)</f>
        <v>67.209999999999994</v>
      </c>
      <c r="R356" s="1">
        <f>VLOOKUP(Master8[[#This Row],[Province_RDC]],Client[],7,FALSE)</f>
        <v>3</v>
      </c>
      <c r="S356" s="1" t="str">
        <f>IF(Master8[[#This Row],[Type_Forfait]]="Pro Monde","B2B","B2C")</f>
        <v>B2C</v>
      </c>
      <c r="T356" s="1">
        <f>Master8[[#This Row],[Anciennete_Mois]]/12</f>
        <v>8.25</v>
      </c>
      <c r="U356" s="1">
        <f>Master8[[#This Row],[Duree_Cumule_Panne_Min]]/60</f>
        <v>6.15</v>
      </c>
      <c r="V35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6" s="6">
        <f>Master8[[#This Row],[Facture_Mensuelle]]*Master8[[#This Row],[Remise]]</f>
        <v>30.244499999999999</v>
      </c>
    </row>
    <row r="357" spans="1:24" x14ac:dyDescent="0.25">
      <c r="A357" s="1" t="s">
        <v>1261</v>
      </c>
      <c r="B357" t="str">
        <f>IFERROR(VLOOKUP(Master8[[#This Row],[Cell_ID]],Registre_Maintenance[],2,FALSE),"")</f>
        <v>Kasai</v>
      </c>
      <c r="C357" s="1" t="s">
        <v>1264</v>
      </c>
      <c r="D357" s="2">
        <v>45209.907638888893</v>
      </c>
      <c r="E357" s="3">
        <v>45209.907638888893</v>
      </c>
      <c r="F357">
        <v>99</v>
      </c>
      <c r="G357">
        <f>Master8[[#This Row],[Duree_Panne_Min]]/60</f>
        <v>1.65</v>
      </c>
      <c r="H357" s="1" t="s">
        <v>737</v>
      </c>
      <c r="I357">
        <f>IFERROR(VLOOKUP(Master8[[#This Row],[Cell_ID]],Registre_Maintenance[],3,FALSE),"")</f>
        <v>-7.6757720000000003</v>
      </c>
      <c r="J357">
        <f>IFERROR(VLOOKUP(Master8[[#This Row],[Cell_ID]],Registre_Maintenance[],4,FALSE),"")</f>
        <v>30.222971000000001</v>
      </c>
      <c r="K357" t="str">
        <f>IFERROR(VLOOKUP(Master8[[#This Row],[Cell_ID]],Registre_Maintenance[],5,FALSE),"")</f>
        <v>5G</v>
      </c>
      <c r="L357" t="str">
        <f>IFERROR(VLOOKUP(Master8[[#This Row],[Cell_ID]],Registre_Maintenance[],6,FALSE),"")</f>
        <v>Ericsson</v>
      </c>
      <c r="M357" s="1" t="str">
        <f>VLOOKUP(Master8[[#This Row],[Province_RDC]],Client[],2,FALSE)</f>
        <v>CLI-00559</v>
      </c>
      <c r="N357" s="1">
        <f>VLOOKUP(Master8[[#This Row],[Province_RDC]],Client[],3,FALSE)</f>
        <v>99</v>
      </c>
      <c r="O357" s="1" t="str">
        <f>VLOOKUP(Master8[[#This Row],[Province_RDC]],Client[],4,FALSE)</f>
        <v>Bloqué 5Go</v>
      </c>
      <c r="P357" s="1">
        <f>VLOOKUP(Master8[[#This Row],[Province_RDC]],Client[],5,FALSE)</f>
        <v>369</v>
      </c>
      <c r="Q357" s="1">
        <f>VLOOKUP(Master8[[#This Row],[Province_RDC]],Client[],6,FALSE)</f>
        <v>67.209999999999994</v>
      </c>
      <c r="R357" s="1">
        <f>VLOOKUP(Master8[[#This Row],[Province_RDC]],Client[],7,FALSE)</f>
        <v>3</v>
      </c>
      <c r="S357" s="1" t="str">
        <f>IF(Master8[[#This Row],[Type_Forfait]]="Pro Monde","B2B","B2C")</f>
        <v>B2C</v>
      </c>
      <c r="T357" s="1">
        <f>Master8[[#This Row],[Anciennete_Mois]]/12</f>
        <v>8.25</v>
      </c>
      <c r="U357" s="1">
        <f>Master8[[#This Row],[Duree_Cumule_Panne_Min]]/60</f>
        <v>6.15</v>
      </c>
      <c r="V35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7" s="6">
        <f>Master8[[#This Row],[Facture_Mensuelle]]*Master8[[#This Row],[Remise]]</f>
        <v>30.244499999999999</v>
      </c>
    </row>
    <row r="358" spans="1:24" x14ac:dyDescent="0.25">
      <c r="A358" s="1" t="s">
        <v>902</v>
      </c>
      <c r="B358" t="str">
        <f>IFERROR(VLOOKUP(Master8[[#This Row],[Cell_ID]],Registre_Maintenance[],2,FALSE),"")</f>
        <v>Kasai</v>
      </c>
      <c r="C358" s="1" t="s">
        <v>930</v>
      </c>
      <c r="D358" s="2">
        <v>45208.169444444437</v>
      </c>
      <c r="E358" s="3">
        <v>45208.169444444437</v>
      </c>
      <c r="F358">
        <v>47</v>
      </c>
      <c r="G358">
        <f>Master8[[#This Row],[Duree_Panne_Min]]/60</f>
        <v>0.78333333333333333</v>
      </c>
      <c r="H358" s="1" t="s">
        <v>732</v>
      </c>
      <c r="I358">
        <f>IFERROR(VLOOKUP(Master8[[#This Row],[Cell_ID]],Registre_Maintenance[],3,FALSE),"")</f>
        <v>-4.351254</v>
      </c>
      <c r="J358">
        <f>IFERROR(VLOOKUP(Master8[[#This Row],[Cell_ID]],Registre_Maintenance[],4,FALSE),"")</f>
        <v>30.097408999999999</v>
      </c>
      <c r="K358" t="str">
        <f>IFERROR(VLOOKUP(Master8[[#This Row],[Cell_ID]],Registre_Maintenance[],5,FALSE),"")</f>
        <v>5G</v>
      </c>
      <c r="L358" t="str">
        <f>IFERROR(VLOOKUP(Master8[[#This Row],[Cell_ID]],Registre_Maintenance[],6,FALSE),"")</f>
        <v>Nokia</v>
      </c>
      <c r="M358" s="1" t="str">
        <f>VLOOKUP(Master8[[#This Row],[Province_RDC]],Client[],2,FALSE)</f>
        <v>CLI-00559</v>
      </c>
      <c r="N358" s="1">
        <f>VLOOKUP(Master8[[#This Row],[Province_RDC]],Client[],3,FALSE)</f>
        <v>99</v>
      </c>
      <c r="O358" s="1" t="str">
        <f>VLOOKUP(Master8[[#This Row],[Province_RDC]],Client[],4,FALSE)</f>
        <v>Bloqué 5Go</v>
      </c>
      <c r="P358" s="1">
        <f>VLOOKUP(Master8[[#This Row],[Province_RDC]],Client[],5,FALSE)</f>
        <v>369</v>
      </c>
      <c r="Q358" s="1">
        <f>VLOOKUP(Master8[[#This Row],[Province_RDC]],Client[],6,FALSE)</f>
        <v>67.209999999999994</v>
      </c>
      <c r="R358" s="1">
        <f>VLOOKUP(Master8[[#This Row],[Province_RDC]],Client[],7,FALSE)</f>
        <v>3</v>
      </c>
      <c r="S358" s="1" t="str">
        <f>IF(Master8[[#This Row],[Type_Forfait]]="Pro Monde","B2B","B2C")</f>
        <v>B2C</v>
      </c>
      <c r="T358" s="1">
        <f>Master8[[#This Row],[Anciennete_Mois]]/12</f>
        <v>8.25</v>
      </c>
      <c r="U358" s="1">
        <f>Master8[[#This Row],[Duree_Cumule_Panne_Min]]/60</f>
        <v>6.15</v>
      </c>
      <c r="V35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8" s="6">
        <f>Master8[[#This Row],[Facture_Mensuelle]]*Master8[[#This Row],[Remise]]</f>
        <v>30.244499999999999</v>
      </c>
    </row>
    <row r="359" spans="1:24" x14ac:dyDescent="0.25">
      <c r="A359" s="1" t="s">
        <v>1059</v>
      </c>
      <c r="B359" t="str">
        <f>IFERROR(VLOOKUP(Master8[[#This Row],[Cell_ID]],Registre_Maintenance[],2,FALSE),"")</f>
        <v>Kasai</v>
      </c>
      <c r="C359" s="1" t="s">
        <v>1079</v>
      </c>
      <c r="D359" s="2">
        <v>45205.169444444437</v>
      </c>
      <c r="E359" s="3">
        <v>45205.169444444437</v>
      </c>
      <c r="F359">
        <v>18</v>
      </c>
      <c r="G359">
        <f>Master8[[#This Row],[Duree_Panne_Min]]/60</f>
        <v>0.3</v>
      </c>
      <c r="H359" s="1" t="s">
        <v>735</v>
      </c>
      <c r="I359">
        <f>IFERROR(VLOOKUP(Master8[[#This Row],[Cell_ID]],Registre_Maintenance[],3,FALSE),"")</f>
        <v>4.8689660000000003</v>
      </c>
      <c r="J359">
        <f>IFERROR(VLOOKUP(Master8[[#This Row],[Cell_ID]],Registre_Maintenance[],4,FALSE),"")</f>
        <v>25.112373000000002</v>
      </c>
      <c r="K359" t="str">
        <f>IFERROR(VLOOKUP(Master8[[#This Row],[Cell_ID]],Registre_Maintenance[],5,FALSE),"")</f>
        <v>3G</v>
      </c>
      <c r="L359" t="str">
        <f>IFERROR(VLOOKUP(Master8[[#This Row],[Cell_ID]],Registre_Maintenance[],6,FALSE),"")</f>
        <v>Huawei</v>
      </c>
      <c r="M359" s="1" t="str">
        <f>VLOOKUP(Master8[[#This Row],[Province_RDC]],Client[],2,FALSE)</f>
        <v>CLI-00559</v>
      </c>
      <c r="N359" s="1">
        <f>VLOOKUP(Master8[[#This Row],[Province_RDC]],Client[],3,FALSE)</f>
        <v>99</v>
      </c>
      <c r="O359" s="1" t="str">
        <f>VLOOKUP(Master8[[#This Row],[Province_RDC]],Client[],4,FALSE)</f>
        <v>Bloqué 5Go</v>
      </c>
      <c r="P359" s="1">
        <f>VLOOKUP(Master8[[#This Row],[Province_RDC]],Client[],5,FALSE)</f>
        <v>369</v>
      </c>
      <c r="Q359" s="1">
        <f>VLOOKUP(Master8[[#This Row],[Province_RDC]],Client[],6,FALSE)</f>
        <v>67.209999999999994</v>
      </c>
      <c r="R359" s="1">
        <f>VLOOKUP(Master8[[#This Row],[Province_RDC]],Client[],7,FALSE)</f>
        <v>3</v>
      </c>
      <c r="S359" s="1" t="str">
        <f>IF(Master8[[#This Row],[Type_Forfait]]="Pro Monde","B2B","B2C")</f>
        <v>B2C</v>
      </c>
      <c r="T359" s="1">
        <f>Master8[[#This Row],[Anciennete_Mois]]/12</f>
        <v>8.25</v>
      </c>
      <c r="U359" s="1">
        <f>Master8[[#This Row],[Duree_Cumule_Panne_Min]]/60</f>
        <v>6.15</v>
      </c>
      <c r="V35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5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59" s="6">
        <f>Master8[[#This Row],[Facture_Mensuelle]]*Master8[[#This Row],[Remise]]</f>
        <v>30.244499999999999</v>
      </c>
    </row>
    <row r="360" spans="1:24" x14ac:dyDescent="0.25">
      <c r="A360" s="1" t="s">
        <v>902</v>
      </c>
      <c r="B360" t="str">
        <f>IFERROR(VLOOKUP(Master8[[#This Row],[Cell_ID]],Registre_Maintenance[],2,FALSE),"")</f>
        <v>Kasai</v>
      </c>
      <c r="C360" s="1" t="s">
        <v>765</v>
      </c>
      <c r="D360" s="2">
        <v>45205.052777777782</v>
      </c>
      <c r="E360" s="3">
        <v>45205.052777777782</v>
      </c>
      <c r="F360">
        <v>102</v>
      </c>
      <c r="G360">
        <f>Master8[[#This Row],[Duree_Panne_Min]]/60</f>
        <v>1.7</v>
      </c>
      <c r="H360" s="1" t="s">
        <v>735</v>
      </c>
      <c r="I360">
        <f>IFERROR(VLOOKUP(Master8[[#This Row],[Cell_ID]],Registre_Maintenance[],3,FALSE),"")</f>
        <v>-4.9789079999999997</v>
      </c>
      <c r="J360">
        <f>IFERROR(VLOOKUP(Master8[[#This Row],[Cell_ID]],Registre_Maintenance[],4,FALSE),"")</f>
        <v>28.506295000000001</v>
      </c>
      <c r="K360" t="str">
        <f>IFERROR(VLOOKUP(Master8[[#This Row],[Cell_ID]],Registre_Maintenance[],5,FALSE),"")</f>
        <v>4G</v>
      </c>
      <c r="L360" t="str">
        <f>IFERROR(VLOOKUP(Master8[[#This Row],[Cell_ID]],Registre_Maintenance[],6,FALSE),"")</f>
        <v>Huawei</v>
      </c>
      <c r="M360" s="1" t="str">
        <f>VLOOKUP(Master8[[#This Row],[Province_RDC]],Client[],2,FALSE)</f>
        <v>CLI-00559</v>
      </c>
      <c r="N360" s="1">
        <f>VLOOKUP(Master8[[#This Row],[Province_RDC]],Client[],3,FALSE)</f>
        <v>99</v>
      </c>
      <c r="O360" s="1" t="str">
        <f>VLOOKUP(Master8[[#This Row],[Province_RDC]],Client[],4,FALSE)</f>
        <v>Bloqué 5Go</v>
      </c>
      <c r="P360" s="1">
        <f>VLOOKUP(Master8[[#This Row],[Province_RDC]],Client[],5,FALSE)</f>
        <v>369</v>
      </c>
      <c r="Q360" s="1">
        <f>VLOOKUP(Master8[[#This Row],[Province_RDC]],Client[],6,FALSE)</f>
        <v>67.209999999999994</v>
      </c>
      <c r="R360" s="1">
        <f>VLOOKUP(Master8[[#This Row],[Province_RDC]],Client[],7,FALSE)</f>
        <v>3</v>
      </c>
      <c r="S360" s="1" t="str">
        <f>IF(Master8[[#This Row],[Type_Forfait]]="Pro Monde","B2B","B2C")</f>
        <v>B2C</v>
      </c>
      <c r="T360" s="1">
        <f>Master8[[#This Row],[Anciennete_Mois]]/12</f>
        <v>8.25</v>
      </c>
      <c r="U360" s="1">
        <f>Master8[[#This Row],[Duree_Cumule_Panne_Min]]/60</f>
        <v>6.15</v>
      </c>
      <c r="V36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6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60" s="6">
        <f>Master8[[#This Row],[Facture_Mensuelle]]*Master8[[#This Row],[Remise]]</f>
        <v>30.244499999999999</v>
      </c>
    </row>
    <row r="361" spans="1:24" x14ac:dyDescent="0.25">
      <c r="A361" s="1" t="s">
        <v>1288</v>
      </c>
      <c r="B361" t="str">
        <f>IFERROR(VLOOKUP(Master8[[#This Row],[Cell_ID]],Registre_Maintenance[],2,FALSE),"")</f>
        <v>Kasai</v>
      </c>
      <c r="C361" s="1" t="s">
        <v>970</v>
      </c>
      <c r="D361" s="2">
        <v>45200.078472222223</v>
      </c>
      <c r="E361" s="3">
        <v>45200.078472222223</v>
      </c>
      <c r="F361">
        <v>40</v>
      </c>
      <c r="G361">
        <f>Master8[[#This Row],[Duree_Panne_Min]]/60</f>
        <v>0.66666666666666663</v>
      </c>
      <c r="H361" s="1" t="s">
        <v>732</v>
      </c>
      <c r="I361">
        <f>IFERROR(VLOOKUP(Master8[[#This Row],[Cell_ID]],Registre_Maintenance[],3,FALSE),"")</f>
        <v>-10.165072</v>
      </c>
      <c r="J361">
        <f>IFERROR(VLOOKUP(Master8[[#This Row],[Cell_ID]],Registre_Maintenance[],4,FALSE),"")</f>
        <v>29.428024000000001</v>
      </c>
      <c r="K361" t="str">
        <f>IFERROR(VLOOKUP(Master8[[#This Row],[Cell_ID]],Registre_Maintenance[],5,FALSE),"")</f>
        <v>5G</v>
      </c>
      <c r="L361" t="str">
        <f>IFERROR(VLOOKUP(Master8[[#This Row],[Cell_ID]],Registre_Maintenance[],6,FALSE),"")</f>
        <v>Huawei</v>
      </c>
      <c r="M361" s="1" t="str">
        <f>VLOOKUP(Master8[[#This Row],[Province_RDC]],Client[],2,FALSE)</f>
        <v>CLI-00559</v>
      </c>
      <c r="N361" s="1">
        <f>VLOOKUP(Master8[[#This Row],[Province_RDC]],Client[],3,FALSE)</f>
        <v>99</v>
      </c>
      <c r="O361" s="1" t="str">
        <f>VLOOKUP(Master8[[#This Row],[Province_RDC]],Client[],4,FALSE)</f>
        <v>Bloqué 5Go</v>
      </c>
      <c r="P361" s="1">
        <f>VLOOKUP(Master8[[#This Row],[Province_RDC]],Client[],5,FALSE)</f>
        <v>369</v>
      </c>
      <c r="Q361" s="1">
        <f>VLOOKUP(Master8[[#This Row],[Province_RDC]],Client[],6,FALSE)</f>
        <v>67.209999999999994</v>
      </c>
      <c r="R361" s="1">
        <f>VLOOKUP(Master8[[#This Row],[Province_RDC]],Client[],7,FALSE)</f>
        <v>3</v>
      </c>
      <c r="S361" s="1" t="str">
        <f>IF(Master8[[#This Row],[Type_Forfait]]="Pro Monde","B2B","B2C")</f>
        <v>B2C</v>
      </c>
      <c r="T361" s="1">
        <f>Master8[[#This Row],[Anciennete_Mois]]/12</f>
        <v>8.25</v>
      </c>
      <c r="U361" s="1">
        <f>Master8[[#This Row],[Duree_Cumule_Panne_Min]]/60</f>
        <v>6.15</v>
      </c>
      <c r="V36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6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61" s="6">
        <f>Master8[[#This Row],[Facture_Mensuelle]]*Master8[[#This Row],[Remise]]</f>
        <v>30.244499999999999</v>
      </c>
    </row>
    <row r="362" spans="1:24" x14ac:dyDescent="0.25">
      <c r="A362" s="1" t="s">
        <v>1024</v>
      </c>
      <c r="B362" t="str">
        <f>IFERROR(VLOOKUP(Master8[[#This Row],[Cell_ID]],Registre_Maintenance[],2,FALSE),"")</f>
        <v>Ituri</v>
      </c>
      <c r="C362" s="1" t="s">
        <v>1029</v>
      </c>
      <c r="D362" s="2">
        <v>45230.997916666667</v>
      </c>
      <c r="E362" s="3">
        <v>45230.997916666667</v>
      </c>
      <c r="F362">
        <v>72</v>
      </c>
      <c r="G362">
        <f>Master8[[#This Row],[Duree_Panne_Min]]/60</f>
        <v>1.2</v>
      </c>
      <c r="H362" s="1" t="s">
        <v>737</v>
      </c>
      <c r="I362">
        <f>IFERROR(VLOOKUP(Master8[[#This Row],[Cell_ID]],Registre_Maintenance[],3,FALSE),"")</f>
        <v>-1.9120569999999999</v>
      </c>
      <c r="J362">
        <f>IFERROR(VLOOKUP(Master8[[#This Row],[Cell_ID]],Registre_Maintenance[],4,FALSE),"")</f>
        <v>15.236072999999999</v>
      </c>
      <c r="K362" t="str">
        <f>IFERROR(VLOOKUP(Master8[[#This Row],[Cell_ID]],Registre_Maintenance[],5,FALSE),"")</f>
        <v>5G</v>
      </c>
      <c r="L362" t="str">
        <f>IFERROR(VLOOKUP(Master8[[#This Row],[Cell_ID]],Registre_Maintenance[],6,FALSE),"")</f>
        <v>Huawei</v>
      </c>
      <c r="M362" s="1" t="str">
        <f>VLOOKUP(Master8[[#This Row],[Province_RDC]],Client[],2,FALSE)</f>
        <v>CLI-00041</v>
      </c>
      <c r="N362" s="1">
        <f>VLOOKUP(Master8[[#This Row],[Province_RDC]],Client[],3,FALSE)</f>
        <v>103</v>
      </c>
      <c r="O362" s="1" t="str">
        <f>VLOOKUP(Master8[[#This Row],[Province_RDC]],Client[],4,FALSE)</f>
        <v>Pro Monde</v>
      </c>
      <c r="P362" s="1">
        <f>VLOOKUP(Master8[[#This Row],[Province_RDC]],Client[],5,FALSE)</f>
        <v>105</v>
      </c>
      <c r="Q362" s="1">
        <f>VLOOKUP(Master8[[#This Row],[Province_RDC]],Client[],6,FALSE)</f>
        <v>61.52</v>
      </c>
      <c r="R362" s="1">
        <f>VLOOKUP(Master8[[#This Row],[Province_RDC]],Client[],7,FALSE)</f>
        <v>3</v>
      </c>
      <c r="S362" s="1" t="str">
        <f>IF(Master8[[#This Row],[Type_Forfait]]="Pro Monde","B2B","B2C")</f>
        <v>B2B</v>
      </c>
      <c r="T362" s="1">
        <f>Master8[[#This Row],[Anciennete_Mois]]/12</f>
        <v>8.5833333333333339</v>
      </c>
      <c r="U362" s="1">
        <f>Master8[[#This Row],[Duree_Cumule_Panne_Min]]/60</f>
        <v>1.75</v>
      </c>
      <c r="V36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2" s="6">
        <f>Master8[[#This Row],[Facture_Mensuelle]]*Master8[[#This Row],[Remise]]</f>
        <v>6.152000000000001</v>
      </c>
    </row>
    <row r="363" spans="1:24" x14ac:dyDescent="0.25">
      <c r="A363" s="1" t="s">
        <v>1345</v>
      </c>
      <c r="B363" t="str">
        <f>IFERROR(VLOOKUP(Master8[[#This Row],[Cell_ID]],Registre_Maintenance[],2,FALSE),"")</f>
        <v>Ituri</v>
      </c>
      <c r="C363" s="1" t="s">
        <v>1027</v>
      </c>
      <c r="D363" s="2">
        <v>45228.880555555559</v>
      </c>
      <c r="E363" s="3">
        <v>45228.880555555559</v>
      </c>
      <c r="F363">
        <v>112</v>
      </c>
      <c r="G363">
        <f>Master8[[#This Row],[Duree_Panne_Min]]/60</f>
        <v>1.8666666666666667</v>
      </c>
      <c r="H363" s="1" t="s">
        <v>737</v>
      </c>
      <c r="I363">
        <f>IFERROR(VLOOKUP(Master8[[#This Row],[Cell_ID]],Registre_Maintenance[],3,FALSE),"")</f>
        <v>-4.1250960000000001</v>
      </c>
      <c r="J363">
        <f>IFERROR(VLOOKUP(Master8[[#This Row],[Cell_ID]],Registre_Maintenance[],4,FALSE),"")</f>
        <v>27.799897999999999</v>
      </c>
      <c r="K363" t="str">
        <f>IFERROR(VLOOKUP(Master8[[#This Row],[Cell_ID]],Registre_Maintenance[],5,FALSE),"")</f>
        <v>3G</v>
      </c>
      <c r="L363" t="str">
        <f>IFERROR(VLOOKUP(Master8[[#This Row],[Cell_ID]],Registre_Maintenance[],6,FALSE),"")</f>
        <v>Nokia</v>
      </c>
      <c r="M363" s="1" t="str">
        <f>VLOOKUP(Master8[[#This Row],[Province_RDC]],Client[],2,FALSE)</f>
        <v>CLI-00041</v>
      </c>
      <c r="N363" s="1">
        <f>VLOOKUP(Master8[[#This Row],[Province_RDC]],Client[],3,FALSE)</f>
        <v>103</v>
      </c>
      <c r="O363" s="1" t="str">
        <f>VLOOKUP(Master8[[#This Row],[Province_RDC]],Client[],4,FALSE)</f>
        <v>Pro Monde</v>
      </c>
      <c r="P363" s="1">
        <f>VLOOKUP(Master8[[#This Row],[Province_RDC]],Client[],5,FALSE)</f>
        <v>105</v>
      </c>
      <c r="Q363" s="1">
        <f>VLOOKUP(Master8[[#This Row],[Province_RDC]],Client[],6,FALSE)</f>
        <v>61.52</v>
      </c>
      <c r="R363" s="1">
        <f>VLOOKUP(Master8[[#This Row],[Province_RDC]],Client[],7,FALSE)</f>
        <v>3</v>
      </c>
      <c r="S363" s="1" t="str">
        <f>IF(Master8[[#This Row],[Type_Forfait]]="Pro Monde","B2B","B2C")</f>
        <v>B2B</v>
      </c>
      <c r="T363" s="1">
        <f>Master8[[#This Row],[Anciennete_Mois]]/12</f>
        <v>8.5833333333333339</v>
      </c>
      <c r="U363" s="1">
        <f>Master8[[#This Row],[Duree_Cumule_Panne_Min]]/60</f>
        <v>1.75</v>
      </c>
      <c r="V36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3" s="6">
        <f>Master8[[#This Row],[Facture_Mensuelle]]*Master8[[#This Row],[Remise]]</f>
        <v>6.152000000000001</v>
      </c>
    </row>
    <row r="364" spans="1:24" x14ac:dyDescent="0.25">
      <c r="A364" s="1" t="s">
        <v>1024</v>
      </c>
      <c r="B364" t="str">
        <f>IFERROR(VLOOKUP(Master8[[#This Row],[Cell_ID]],Registre_Maintenance[],2,FALSE),"")</f>
        <v>Ituri</v>
      </c>
      <c r="C364" s="1" t="s">
        <v>1005</v>
      </c>
      <c r="D364" s="2">
        <v>45227.915277777778</v>
      </c>
      <c r="E364" s="3">
        <v>45227.915277777778</v>
      </c>
      <c r="F364">
        <v>26</v>
      </c>
      <c r="G364">
        <f>Master8[[#This Row],[Duree_Panne_Min]]/60</f>
        <v>0.43333333333333335</v>
      </c>
      <c r="H364" s="1" t="s">
        <v>735</v>
      </c>
      <c r="I364">
        <f>IFERROR(VLOOKUP(Master8[[#This Row],[Cell_ID]],Registre_Maintenance[],3,FALSE),"")</f>
        <v>-3.7720639999999999</v>
      </c>
      <c r="J364">
        <f>IFERROR(VLOOKUP(Master8[[#This Row],[Cell_ID]],Registre_Maintenance[],4,FALSE),"")</f>
        <v>16.006277999999998</v>
      </c>
      <c r="K364" t="str">
        <f>IFERROR(VLOOKUP(Master8[[#This Row],[Cell_ID]],Registre_Maintenance[],5,FALSE),"")</f>
        <v>5G</v>
      </c>
      <c r="L364" t="str">
        <f>IFERROR(VLOOKUP(Master8[[#This Row],[Cell_ID]],Registre_Maintenance[],6,FALSE),"")</f>
        <v>ZTE</v>
      </c>
      <c r="M364" s="1" t="str">
        <f>VLOOKUP(Master8[[#This Row],[Province_RDC]],Client[],2,FALSE)</f>
        <v>CLI-00041</v>
      </c>
      <c r="N364" s="1">
        <f>VLOOKUP(Master8[[#This Row],[Province_RDC]],Client[],3,FALSE)</f>
        <v>103</v>
      </c>
      <c r="O364" s="1" t="str">
        <f>VLOOKUP(Master8[[#This Row],[Province_RDC]],Client[],4,FALSE)</f>
        <v>Pro Monde</v>
      </c>
      <c r="P364" s="1">
        <f>VLOOKUP(Master8[[#This Row],[Province_RDC]],Client[],5,FALSE)</f>
        <v>105</v>
      </c>
      <c r="Q364" s="1">
        <f>VLOOKUP(Master8[[#This Row],[Province_RDC]],Client[],6,FALSE)</f>
        <v>61.52</v>
      </c>
      <c r="R364" s="1">
        <f>VLOOKUP(Master8[[#This Row],[Province_RDC]],Client[],7,FALSE)</f>
        <v>3</v>
      </c>
      <c r="S364" s="1" t="str">
        <f>IF(Master8[[#This Row],[Type_Forfait]]="Pro Monde","B2B","B2C")</f>
        <v>B2B</v>
      </c>
      <c r="T364" s="1">
        <f>Master8[[#This Row],[Anciennete_Mois]]/12</f>
        <v>8.5833333333333339</v>
      </c>
      <c r="U364" s="1">
        <f>Master8[[#This Row],[Duree_Cumule_Panne_Min]]/60</f>
        <v>1.75</v>
      </c>
      <c r="V36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4" s="6">
        <f>Master8[[#This Row],[Facture_Mensuelle]]*Master8[[#This Row],[Remise]]</f>
        <v>6.152000000000001</v>
      </c>
    </row>
    <row r="365" spans="1:24" x14ac:dyDescent="0.25">
      <c r="A365" s="1" t="s">
        <v>1024</v>
      </c>
      <c r="B365" t="str">
        <f>IFERROR(VLOOKUP(Master8[[#This Row],[Cell_ID]],Registre_Maintenance[],2,FALSE),"")</f>
        <v>Ituri</v>
      </c>
      <c r="C365" s="1" t="s">
        <v>1027</v>
      </c>
      <c r="D365" s="2">
        <v>45220.11041666667</v>
      </c>
      <c r="E365" s="3">
        <v>45220.11041666667</v>
      </c>
      <c r="F365">
        <v>111</v>
      </c>
      <c r="G365">
        <f>Master8[[#This Row],[Duree_Panne_Min]]/60</f>
        <v>1.85</v>
      </c>
      <c r="H365" s="1" t="s">
        <v>737</v>
      </c>
      <c r="I365">
        <f>IFERROR(VLOOKUP(Master8[[#This Row],[Cell_ID]],Registre_Maintenance[],3,FALSE),"")</f>
        <v>-4.1250960000000001</v>
      </c>
      <c r="J365">
        <f>IFERROR(VLOOKUP(Master8[[#This Row],[Cell_ID]],Registre_Maintenance[],4,FALSE),"")</f>
        <v>27.799897999999999</v>
      </c>
      <c r="K365" t="str">
        <f>IFERROR(VLOOKUP(Master8[[#This Row],[Cell_ID]],Registre_Maintenance[],5,FALSE),"")</f>
        <v>3G</v>
      </c>
      <c r="L365" t="str">
        <f>IFERROR(VLOOKUP(Master8[[#This Row],[Cell_ID]],Registre_Maintenance[],6,FALSE),"")</f>
        <v>Nokia</v>
      </c>
      <c r="M365" s="1" t="str">
        <f>VLOOKUP(Master8[[#This Row],[Province_RDC]],Client[],2,FALSE)</f>
        <v>CLI-00041</v>
      </c>
      <c r="N365" s="1">
        <f>VLOOKUP(Master8[[#This Row],[Province_RDC]],Client[],3,FALSE)</f>
        <v>103</v>
      </c>
      <c r="O365" s="1" t="str">
        <f>VLOOKUP(Master8[[#This Row],[Province_RDC]],Client[],4,FALSE)</f>
        <v>Pro Monde</v>
      </c>
      <c r="P365" s="1">
        <f>VLOOKUP(Master8[[#This Row],[Province_RDC]],Client[],5,FALSE)</f>
        <v>105</v>
      </c>
      <c r="Q365" s="1">
        <f>VLOOKUP(Master8[[#This Row],[Province_RDC]],Client[],6,FALSE)</f>
        <v>61.52</v>
      </c>
      <c r="R365" s="1">
        <f>VLOOKUP(Master8[[#This Row],[Province_RDC]],Client[],7,FALSE)</f>
        <v>3</v>
      </c>
      <c r="S365" s="1" t="str">
        <f>IF(Master8[[#This Row],[Type_Forfait]]="Pro Monde","B2B","B2C")</f>
        <v>B2B</v>
      </c>
      <c r="T365" s="1">
        <f>Master8[[#This Row],[Anciennete_Mois]]/12</f>
        <v>8.5833333333333339</v>
      </c>
      <c r="U365" s="1">
        <f>Master8[[#This Row],[Duree_Cumule_Panne_Min]]/60</f>
        <v>1.75</v>
      </c>
      <c r="V36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5" s="6">
        <f>Master8[[#This Row],[Facture_Mensuelle]]*Master8[[#This Row],[Remise]]</f>
        <v>6.152000000000001</v>
      </c>
    </row>
    <row r="366" spans="1:24" x14ac:dyDescent="0.25">
      <c r="A366" s="1" t="s">
        <v>1059</v>
      </c>
      <c r="B366" t="str">
        <f>IFERROR(VLOOKUP(Master8[[#This Row],[Cell_ID]],Registre_Maintenance[],2,FALSE),"")</f>
        <v>Ituri</v>
      </c>
      <c r="C366" s="1" t="s">
        <v>1005</v>
      </c>
      <c r="D366" s="2">
        <v>45218.991666666669</v>
      </c>
      <c r="E366" s="3">
        <v>45218.991666666669</v>
      </c>
      <c r="F366">
        <v>82</v>
      </c>
      <c r="G366">
        <f>Master8[[#This Row],[Duree_Panne_Min]]/60</f>
        <v>1.3666666666666667</v>
      </c>
      <c r="H366" s="1" t="s">
        <v>732</v>
      </c>
      <c r="I366">
        <f>IFERROR(VLOOKUP(Master8[[#This Row],[Cell_ID]],Registre_Maintenance[],3,FALSE),"")</f>
        <v>-3.7720639999999999</v>
      </c>
      <c r="J366">
        <f>IFERROR(VLOOKUP(Master8[[#This Row],[Cell_ID]],Registre_Maintenance[],4,FALSE),"")</f>
        <v>16.006277999999998</v>
      </c>
      <c r="K366" t="str">
        <f>IFERROR(VLOOKUP(Master8[[#This Row],[Cell_ID]],Registre_Maintenance[],5,FALSE),"")</f>
        <v>5G</v>
      </c>
      <c r="L366" t="str">
        <f>IFERROR(VLOOKUP(Master8[[#This Row],[Cell_ID]],Registre_Maintenance[],6,FALSE),"")</f>
        <v>ZTE</v>
      </c>
      <c r="M366" s="1" t="str">
        <f>VLOOKUP(Master8[[#This Row],[Province_RDC]],Client[],2,FALSE)</f>
        <v>CLI-00041</v>
      </c>
      <c r="N366" s="1">
        <f>VLOOKUP(Master8[[#This Row],[Province_RDC]],Client[],3,FALSE)</f>
        <v>103</v>
      </c>
      <c r="O366" s="1" t="str">
        <f>VLOOKUP(Master8[[#This Row],[Province_RDC]],Client[],4,FALSE)</f>
        <v>Pro Monde</v>
      </c>
      <c r="P366" s="1">
        <f>VLOOKUP(Master8[[#This Row],[Province_RDC]],Client[],5,FALSE)</f>
        <v>105</v>
      </c>
      <c r="Q366" s="1">
        <f>VLOOKUP(Master8[[#This Row],[Province_RDC]],Client[],6,FALSE)</f>
        <v>61.52</v>
      </c>
      <c r="R366" s="1">
        <f>VLOOKUP(Master8[[#This Row],[Province_RDC]],Client[],7,FALSE)</f>
        <v>3</v>
      </c>
      <c r="S366" s="1" t="str">
        <f>IF(Master8[[#This Row],[Type_Forfait]]="Pro Monde","B2B","B2C")</f>
        <v>B2B</v>
      </c>
      <c r="T366" s="1">
        <f>Master8[[#This Row],[Anciennete_Mois]]/12</f>
        <v>8.5833333333333339</v>
      </c>
      <c r="U366" s="1">
        <f>Master8[[#This Row],[Duree_Cumule_Panne_Min]]/60</f>
        <v>1.75</v>
      </c>
      <c r="V36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6" s="6">
        <f>Master8[[#This Row],[Facture_Mensuelle]]*Master8[[#This Row],[Remise]]</f>
        <v>6.152000000000001</v>
      </c>
    </row>
    <row r="367" spans="1:24" x14ac:dyDescent="0.25">
      <c r="A367" s="1" t="s">
        <v>1059</v>
      </c>
      <c r="B367" t="str">
        <f>IFERROR(VLOOKUP(Master8[[#This Row],[Cell_ID]],Registre_Maintenance[],2,FALSE),"")</f>
        <v>Ituri</v>
      </c>
      <c r="C367" s="1" t="s">
        <v>1063</v>
      </c>
      <c r="D367" s="2">
        <v>45216.760416666657</v>
      </c>
      <c r="E367" s="3">
        <v>45216.760416666657</v>
      </c>
      <c r="F367">
        <v>48</v>
      </c>
      <c r="G367">
        <f>Master8[[#This Row],[Duree_Panne_Min]]/60</f>
        <v>0.8</v>
      </c>
      <c r="H367" s="1" t="s">
        <v>732</v>
      </c>
      <c r="I367">
        <f>IFERROR(VLOOKUP(Master8[[#This Row],[Cell_ID]],Registre_Maintenance[],3,FALSE),"")</f>
        <v>-11.002602</v>
      </c>
      <c r="J367">
        <f>IFERROR(VLOOKUP(Master8[[#This Row],[Cell_ID]],Registre_Maintenance[],4,FALSE),"")</f>
        <v>23.918247999999998</v>
      </c>
      <c r="K367" t="str">
        <f>IFERROR(VLOOKUP(Master8[[#This Row],[Cell_ID]],Registre_Maintenance[],5,FALSE),"")</f>
        <v>5G</v>
      </c>
      <c r="L367" t="str">
        <f>IFERROR(VLOOKUP(Master8[[#This Row],[Cell_ID]],Registre_Maintenance[],6,FALSE),"")</f>
        <v>ZTE</v>
      </c>
      <c r="M367" s="1" t="str">
        <f>VLOOKUP(Master8[[#This Row],[Province_RDC]],Client[],2,FALSE)</f>
        <v>CLI-00041</v>
      </c>
      <c r="N367" s="1">
        <f>VLOOKUP(Master8[[#This Row],[Province_RDC]],Client[],3,FALSE)</f>
        <v>103</v>
      </c>
      <c r="O367" s="1" t="str">
        <f>VLOOKUP(Master8[[#This Row],[Province_RDC]],Client[],4,FALSE)</f>
        <v>Pro Monde</v>
      </c>
      <c r="P367" s="1">
        <f>VLOOKUP(Master8[[#This Row],[Province_RDC]],Client[],5,FALSE)</f>
        <v>105</v>
      </c>
      <c r="Q367" s="1">
        <f>VLOOKUP(Master8[[#This Row],[Province_RDC]],Client[],6,FALSE)</f>
        <v>61.52</v>
      </c>
      <c r="R367" s="1">
        <f>VLOOKUP(Master8[[#This Row],[Province_RDC]],Client[],7,FALSE)</f>
        <v>3</v>
      </c>
      <c r="S367" s="1" t="str">
        <f>IF(Master8[[#This Row],[Type_Forfait]]="Pro Monde","B2B","B2C")</f>
        <v>B2B</v>
      </c>
      <c r="T367" s="1">
        <f>Master8[[#This Row],[Anciennete_Mois]]/12</f>
        <v>8.5833333333333339</v>
      </c>
      <c r="U367" s="1">
        <f>Master8[[#This Row],[Duree_Cumule_Panne_Min]]/60</f>
        <v>1.75</v>
      </c>
      <c r="V36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7" s="6">
        <f>Master8[[#This Row],[Facture_Mensuelle]]*Master8[[#This Row],[Remise]]</f>
        <v>6.152000000000001</v>
      </c>
    </row>
    <row r="368" spans="1:24" x14ac:dyDescent="0.25">
      <c r="A368" s="1" t="s">
        <v>1059</v>
      </c>
      <c r="B368" t="str">
        <f>IFERROR(VLOOKUP(Master8[[#This Row],[Cell_ID]],Registre_Maintenance[],2,FALSE),"")</f>
        <v>Ituri</v>
      </c>
      <c r="C368" s="1" t="s">
        <v>1068</v>
      </c>
      <c r="D368" s="2">
        <v>45216.709027777782</v>
      </c>
      <c r="E368" s="3">
        <v>45216.709027777782</v>
      </c>
      <c r="F368">
        <v>39</v>
      </c>
      <c r="G368">
        <f>Master8[[#This Row],[Duree_Panne_Min]]/60</f>
        <v>0.65</v>
      </c>
      <c r="H368" s="1" t="s">
        <v>732</v>
      </c>
      <c r="I368">
        <f>IFERROR(VLOOKUP(Master8[[#This Row],[Cell_ID]],Registre_Maintenance[],3,FALSE),"")</f>
        <v>-0.34051900000000002</v>
      </c>
      <c r="J368">
        <f>IFERROR(VLOOKUP(Master8[[#This Row],[Cell_ID]],Registre_Maintenance[],4,FALSE),"")</f>
        <v>17.079799000000001</v>
      </c>
      <c r="K368" t="str">
        <f>IFERROR(VLOOKUP(Master8[[#This Row],[Cell_ID]],Registre_Maintenance[],5,FALSE),"")</f>
        <v>5G</v>
      </c>
      <c r="L368" t="str">
        <f>IFERROR(VLOOKUP(Master8[[#This Row],[Cell_ID]],Registre_Maintenance[],6,FALSE),"")</f>
        <v>Ericsson</v>
      </c>
      <c r="M368" s="1" t="str">
        <f>VLOOKUP(Master8[[#This Row],[Province_RDC]],Client[],2,FALSE)</f>
        <v>CLI-00041</v>
      </c>
      <c r="N368" s="1">
        <f>VLOOKUP(Master8[[#This Row],[Province_RDC]],Client[],3,FALSE)</f>
        <v>103</v>
      </c>
      <c r="O368" s="1" t="str">
        <f>VLOOKUP(Master8[[#This Row],[Province_RDC]],Client[],4,FALSE)</f>
        <v>Pro Monde</v>
      </c>
      <c r="P368" s="1">
        <f>VLOOKUP(Master8[[#This Row],[Province_RDC]],Client[],5,FALSE)</f>
        <v>105</v>
      </c>
      <c r="Q368" s="1">
        <f>VLOOKUP(Master8[[#This Row],[Province_RDC]],Client[],6,FALSE)</f>
        <v>61.52</v>
      </c>
      <c r="R368" s="1">
        <f>VLOOKUP(Master8[[#This Row],[Province_RDC]],Client[],7,FALSE)</f>
        <v>3</v>
      </c>
      <c r="S368" s="1" t="str">
        <f>IF(Master8[[#This Row],[Type_Forfait]]="Pro Monde","B2B","B2C")</f>
        <v>B2B</v>
      </c>
      <c r="T368" s="1">
        <f>Master8[[#This Row],[Anciennete_Mois]]/12</f>
        <v>8.5833333333333339</v>
      </c>
      <c r="U368" s="1">
        <f>Master8[[#This Row],[Duree_Cumule_Panne_Min]]/60</f>
        <v>1.75</v>
      </c>
      <c r="V36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8" s="6">
        <f>Master8[[#This Row],[Facture_Mensuelle]]*Master8[[#This Row],[Remise]]</f>
        <v>6.152000000000001</v>
      </c>
    </row>
    <row r="369" spans="1:24" x14ac:dyDescent="0.25">
      <c r="A369" s="1" t="s">
        <v>1193</v>
      </c>
      <c r="B369" t="str">
        <f>IFERROR(VLOOKUP(Master8[[#This Row],[Cell_ID]],Registre_Maintenance[],2,FALSE),"")</f>
        <v>Ituri</v>
      </c>
      <c r="C369" s="1" t="s">
        <v>1207</v>
      </c>
      <c r="D369" s="2">
        <v>45211.337500000001</v>
      </c>
      <c r="E369" s="3">
        <v>45211.337500000001</v>
      </c>
      <c r="F369">
        <v>88</v>
      </c>
      <c r="G369">
        <f>Master8[[#This Row],[Duree_Panne_Min]]/60</f>
        <v>1.4666666666666666</v>
      </c>
      <c r="H369" s="1" t="s">
        <v>735</v>
      </c>
      <c r="I369">
        <f>IFERROR(VLOOKUP(Master8[[#This Row],[Cell_ID]],Registre_Maintenance[],3,FALSE),"")</f>
        <v>-12.364127999999999</v>
      </c>
      <c r="J369">
        <f>IFERROR(VLOOKUP(Master8[[#This Row],[Cell_ID]],Registre_Maintenance[],4,FALSE),"")</f>
        <v>19.576150999999999</v>
      </c>
      <c r="K369" t="str">
        <f>IFERROR(VLOOKUP(Master8[[#This Row],[Cell_ID]],Registre_Maintenance[],5,FALSE),"")</f>
        <v>3G</v>
      </c>
      <c r="L369" t="str">
        <f>IFERROR(VLOOKUP(Master8[[#This Row],[Cell_ID]],Registre_Maintenance[],6,FALSE),"")</f>
        <v>Nokia</v>
      </c>
      <c r="M369" s="1" t="str">
        <f>VLOOKUP(Master8[[#This Row],[Province_RDC]],Client[],2,FALSE)</f>
        <v>CLI-00041</v>
      </c>
      <c r="N369" s="1">
        <f>VLOOKUP(Master8[[#This Row],[Province_RDC]],Client[],3,FALSE)</f>
        <v>103</v>
      </c>
      <c r="O369" s="1" t="str">
        <f>VLOOKUP(Master8[[#This Row],[Province_RDC]],Client[],4,FALSE)</f>
        <v>Pro Monde</v>
      </c>
      <c r="P369" s="1">
        <f>VLOOKUP(Master8[[#This Row],[Province_RDC]],Client[],5,FALSE)</f>
        <v>105</v>
      </c>
      <c r="Q369" s="1">
        <f>VLOOKUP(Master8[[#This Row],[Province_RDC]],Client[],6,FALSE)</f>
        <v>61.52</v>
      </c>
      <c r="R369" s="1">
        <f>VLOOKUP(Master8[[#This Row],[Province_RDC]],Client[],7,FALSE)</f>
        <v>3</v>
      </c>
      <c r="S369" s="1" t="str">
        <f>IF(Master8[[#This Row],[Type_Forfait]]="Pro Monde","B2B","B2C")</f>
        <v>B2B</v>
      </c>
      <c r="T369" s="1">
        <f>Master8[[#This Row],[Anciennete_Mois]]/12</f>
        <v>8.5833333333333339</v>
      </c>
      <c r="U369" s="1">
        <f>Master8[[#This Row],[Duree_Cumule_Panne_Min]]/60</f>
        <v>1.75</v>
      </c>
      <c r="V36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6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69" s="6">
        <f>Master8[[#This Row],[Facture_Mensuelle]]*Master8[[#This Row],[Remise]]</f>
        <v>6.152000000000001</v>
      </c>
    </row>
    <row r="370" spans="1:24" x14ac:dyDescent="0.25">
      <c r="A370" s="1" t="s">
        <v>1193</v>
      </c>
      <c r="B370" t="str">
        <f>IFERROR(VLOOKUP(Master8[[#This Row],[Cell_ID]],Registre_Maintenance[],2,FALSE),"")</f>
        <v>Ituri</v>
      </c>
      <c r="C370" s="1" t="s">
        <v>1213</v>
      </c>
      <c r="D370" s="2">
        <v>45209.558333333327</v>
      </c>
      <c r="E370" s="3">
        <v>45209.558333333327</v>
      </c>
      <c r="F370">
        <v>66</v>
      </c>
      <c r="G370">
        <f>Master8[[#This Row],[Duree_Panne_Min]]/60</f>
        <v>1.1000000000000001</v>
      </c>
      <c r="H370" s="1" t="s">
        <v>735</v>
      </c>
      <c r="I370">
        <f>IFERROR(VLOOKUP(Master8[[#This Row],[Cell_ID]],Registre_Maintenance[],3,FALSE),"")</f>
        <v>-12.595355</v>
      </c>
      <c r="J370">
        <f>IFERROR(VLOOKUP(Master8[[#This Row],[Cell_ID]],Registre_Maintenance[],4,FALSE),"")</f>
        <v>17.897442000000002</v>
      </c>
      <c r="K370" t="str">
        <f>IFERROR(VLOOKUP(Master8[[#This Row],[Cell_ID]],Registre_Maintenance[],5,FALSE),"")</f>
        <v>4G</v>
      </c>
      <c r="L370" t="str">
        <f>IFERROR(VLOOKUP(Master8[[#This Row],[Cell_ID]],Registre_Maintenance[],6,FALSE),"")</f>
        <v>Huawei</v>
      </c>
      <c r="M370" s="1" t="str">
        <f>VLOOKUP(Master8[[#This Row],[Province_RDC]],Client[],2,FALSE)</f>
        <v>CLI-00041</v>
      </c>
      <c r="N370" s="1">
        <f>VLOOKUP(Master8[[#This Row],[Province_RDC]],Client[],3,FALSE)</f>
        <v>103</v>
      </c>
      <c r="O370" s="1" t="str">
        <f>VLOOKUP(Master8[[#This Row],[Province_RDC]],Client[],4,FALSE)</f>
        <v>Pro Monde</v>
      </c>
      <c r="P370" s="1">
        <f>VLOOKUP(Master8[[#This Row],[Province_RDC]],Client[],5,FALSE)</f>
        <v>105</v>
      </c>
      <c r="Q370" s="1">
        <f>VLOOKUP(Master8[[#This Row],[Province_RDC]],Client[],6,FALSE)</f>
        <v>61.52</v>
      </c>
      <c r="R370" s="1">
        <f>VLOOKUP(Master8[[#This Row],[Province_RDC]],Client[],7,FALSE)</f>
        <v>3</v>
      </c>
      <c r="S370" s="1" t="str">
        <f>IF(Master8[[#This Row],[Type_Forfait]]="Pro Monde","B2B","B2C")</f>
        <v>B2B</v>
      </c>
      <c r="T370" s="1">
        <f>Master8[[#This Row],[Anciennete_Mois]]/12</f>
        <v>8.5833333333333339</v>
      </c>
      <c r="U370" s="1">
        <f>Master8[[#This Row],[Duree_Cumule_Panne_Min]]/60</f>
        <v>1.75</v>
      </c>
      <c r="V37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7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70" s="6">
        <f>Master8[[#This Row],[Facture_Mensuelle]]*Master8[[#This Row],[Remise]]</f>
        <v>6.152000000000001</v>
      </c>
    </row>
    <row r="371" spans="1:24" x14ac:dyDescent="0.25">
      <c r="A371" s="1" t="s">
        <v>999</v>
      </c>
      <c r="B371" t="str">
        <f>IFERROR(VLOOKUP(Master8[[#This Row],[Cell_ID]],Registre_Maintenance[],2,FALSE),"")</f>
        <v>Ituri</v>
      </c>
      <c r="C371" s="1" t="s">
        <v>1005</v>
      </c>
      <c r="D371" s="2">
        <v>45207.57916666667</v>
      </c>
      <c r="E371" s="3">
        <v>45207.57916666667</v>
      </c>
      <c r="F371">
        <v>68</v>
      </c>
      <c r="G371">
        <f>Master8[[#This Row],[Duree_Panne_Min]]/60</f>
        <v>1.1333333333333333</v>
      </c>
      <c r="H371" s="1" t="s">
        <v>732</v>
      </c>
      <c r="I371">
        <f>IFERROR(VLOOKUP(Master8[[#This Row],[Cell_ID]],Registre_Maintenance[],3,FALSE),"")</f>
        <v>-3.7720639999999999</v>
      </c>
      <c r="J371">
        <f>IFERROR(VLOOKUP(Master8[[#This Row],[Cell_ID]],Registre_Maintenance[],4,FALSE),"")</f>
        <v>16.006277999999998</v>
      </c>
      <c r="K371" t="str">
        <f>IFERROR(VLOOKUP(Master8[[#This Row],[Cell_ID]],Registre_Maintenance[],5,FALSE),"")</f>
        <v>5G</v>
      </c>
      <c r="L371" t="str">
        <f>IFERROR(VLOOKUP(Master8[[#This Row],[Cell_ID]],Registre_Maintenance[],6,FALSE),"")</f>
        <v>ZTE</v>
      </c>
      <c r="M371" s="1" t="str">
        <f>VLOOKUP(Master8[[#This Row],[Province_RDC]],Client[],2,FALSE)</f>
        <v>CLI-00041</v>
      </c>
      <c r="N371" s="1">
        <f>VLOOKUP(Master8[[#This Row],[Province_RDC]],Client[],3,FALSE)</f>
        <v>103</v>
      </c>
      <c r="O371" s="1" t="str">
        <f>VLOOKUP(Master8[[#This Row],[Province_RDC]],Client[],4,FALSE)</f>
        <v>Pro Monde</v>
      </c>
      <c r="P371" s="1">
        <f>VLOOKUP(Master8[[#This Row],[Province_RDC]],Client[],5,FALSE)</f>
        <v>105</v>
      </c>
      <c r="Q371" s="1">
        <f>VLOOKUP(Master8[[#This Row],[Province_RDC]],Client[],6,FALSE)</f>
        <v>61.52</v>
      </c>
      <c r="R371" s="1">
        <f>VLOOKUP(Master8[[#This Row],[Province_RDC]],Client[],7,FALSE)</f>
        <v>3</v>
      </c>
      <c r="S371" s="1" t="str">
        <f>IF(Master8[[#This Row],[Type_Forfait]]="Pro Monde","B2B","B2C")</f>
        <v>B2B</v>
      </c>
      <c r="T371" s="1">
        <f>Master8[[#This Row],[Anciennete_Mois]]/12</f>
        <v>8.5833333333333339</v>
      </c>
      <c r="U371" s="1">
        <f>Master8[[#This Row],[Duree_Cumule_Panne_Min]]/60</f>
        <v>1.75</v>
      </c>
      <c r="V37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7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71" s="6">
        <f>Master8[[#This Row],[Facture_Mensuelle]]*Master8[[#This Row],[Remise]]</f>
        <v>6.152000000000001</v>
      </c>
    </row>
    <row r="372" spans="1:24" x14ac:dyDescent="0.25">
      <c r="A372" s="1" t="s">
        <v>1330</v>
      </c>
      <c r="B372" t="str">
        <f>IFERROR(VLOOKUP(Master8[[#This Row],[Cell_ID]],Registre_Maintenance[],2,FALSE),"")</f>
        <v>Ituri</v>
      </c>
      <c r="C372" s="1" t="s">
        <v>1068</v>
      </c>
      <c r="D372" s="2">
        <v>45201.245833333327</v>
      </c>
      <c r="E372" s="3">
        <v>45201.245833333327</v>
      </c>
      <c r="F372">
        <v>91</v>
      </c>
      <c r="G372">
        <f>Master8[[#This Row],[Duree_Panne_Min]]/60</f>
        <v>1.5166666666666666</v>
      </c>
      <c r="H372" s="1" t="s">
        <v>735</v>
      </c>
      <c r="I372">
        <f>IFERROR(VLOOKUP(Master8[[#This Row],[Cell_ID]],Registre_Maintenance[],3,FALSE),"")</f>
        <v>-0.34051900000000002</v>
      </c>
      <c r="J372">
        <f>IFERROR(VLOOKUP(Master8[[#This Row],[Cell_ID]],Registre_Maintenance[],4,FALSE),"")</f>
        <v>17.079799000000001</v>
      </c>
      <c r="K372" t="str">
        <f>IFERROR(VLOOKUP(Master8[[#This Row],[Cell_ID]],Registre_Maintenance[],5,FALSE),"")</f>
        <v>5G</v>
      </c>
      <c r="L372" t="str">
        <f>IFERROR(VLOOKUP(Master8[[#This Row],[Cell_ID]],Registre_Maintenance[],6,FALSE),"")</f>
        <v>Ericsson</v>
      </c>
      <c r="M372" s="1" t="str">
        <f>VLOOKUP(Master8[[#This Row],[Province_RDC]],Client[],2,FALSE)</f>
        <v>CLI-00041</v>
      </c>
      <c r="N372" s="1">
        <f>VLOOKUP(Master8[[#This Row],[Province_RDC]],Client[],3,FALSE)</f>
        <v>103</v>
      </c>
      <c r="O372" s="1" t="str">
        <f>VLOOKUP(Master8[[#This Row],[Province_RDC]],Client[],4,FALSE)</f>
        <v>Pro Monde</v>
      </c>
      <c r="P372" s="1">
        <f>VLOOKUP(Master8[[#This Row],[Province_RDC]],Client[],5,FALSE)</f>
        <v>105</v>
      </c>
      <c r="Q372" s="1">
        <f>VLOOKUP(Master8[[#This Row],[Province_RDC]],Client[],6,FALSE)</f>
        <v>61.52</v>
      </c>
      <c r="R372" s="1">
        <f>VLOOKUP(Master8[[#This Row],[Province_RDC]],Client[],7,FALSE)</f>
        <v>3</v>
      </c>
      <c r="S372" s="1" t="str">
        <f>IF(Master8[[#This Row],[Type_Forfait]]="Pro Monde","B2B","B2C")</f>
        <v>B2B</v>
      </c>
      <c r="T372" s="1">
        <f>Master8[[#This Row],[Anciennete_Mois]]/12</f>
        <v>8.5833333333333339</v>
      </c>
      <c r="U372" s="1">
        <f>Master8[[#This Row],[Duree_Cumule_Panne_Min]]/60</f>
        <v>1.75</v>
      </c>
      <c r="V37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7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72" s="6">
        <f>Master8[[#This Row],[Facture_Mensuelle]]*Master8[[#This Row],[Remise]]</f>
        <v>6.152000000000001</v>
      </c>
    </row>
    <row r="373" spans="1:24" x14ac:dyDescent="0.25">
      <c r="A373" s="1" t="s">
        <v>1382</v>
      </c>
      <c r="B373" t="str">
        <f>IFERROR(VLOOKUP(Master8[[#This Row],[Cell_ID]],Registre_Maintenance[],2,FALSE),"")</f>
        <v>Ituri</v>
      </c>
      <c r="C373" s="1" t="s">
        <v>1395</v>
      </c>
      <c r="D373" s="2">
        <v>45200.67083333333</v>
      </c>
      <c r="E373" s="3">
        <v>45200.67083333333</v>
      </c>
      <c r="F373">
        <v>74</v>
      </c>
      <c r="G373">
        <f>Master8[[#This Row],[Duree_Panne_Min]]/60</f>
        <v>1.2333333333333334</v>
      </c>
      <c r="H373" s="1" t="s">
        <v>737</v>
      </c>
      <c r="I373">
        <f>IFERROR(VLOOKUP(Master8[[#This Row],[Cell_ID]],Registre_Maintenance[],3,FALSE),"")</f>
        <v>-4.6426759999999998</v>
      </c>
      <c r="J373">
        <f>IFERROR(VLOOKUP(Master8[[#This Row],[Cell_ID]],Registre_Maintenance[],4,FALSE),"")</f>
        <v>22.124254000000001</v>
      </c>
      <c r="K373" t="str">
        <f>IFERROR(VLOOKUP(Master8[[#This Row],[Cell_ID]],Registre_Maintenance[],5,FALSE),"")</f>
        <v>4G</v>
      </c>
      <c r="L373" t="str">
        <f>IFERROR(VLOOKUP(Master8[[#This Row],[Cell_ID]],Registre_Maintenance[],6,FALSE),"")</f>
        <v>ZTE</v>
      </c>
      <c r="M373" s="1" t="str">
        <f>VLOOKUP(Master8[[#This Row],[Province_RDC]],Client[],2,FALSE)</f>
        <v>CLI-00041</v>
      </c>
      <c r="N373" s="1">
        <f>VLOOKUP(Master8[[#This Row],[Province_RDC]],Client[],3,FALSE)</f>
        <v>103</v>
      </c>
      <c r="O373" s="1" t="str">
        <f>VLOOKUP(Master8[[#This Row],[Province_RDC]],Client[],4,FALSE)</f>
        <v>Pro Monde</v>
      </c>
      <c r="P373" s="1">
        <f>VLOOKUP(Master8[[#This Row],[Province_RDC]],Client[],5,FALSE)</f>
        <v>105</v>
      </c>
      <c r="Q373" s="1">
        <f>VLOOKUP(Master8[[#This Row],[Province_RDC]],Client[],6,FALSE)</f>
        <v>61.52</v>
      </c>
      <c r="R373" s="1">
        <f>VLOOKUP(Master8[[#This Row],[Province_RDC]],Client[],7,FALSE)</f>
        <v>3</v>
      </c>
      <c r="S373" s="1" t="str">
        <f>IF(Master8[[#This Row],[Type_Forfait]]="Pro Monde","B2B","B2C")</f>
        <v>B2B</v>
      </c>
      <c r="T373" s="1">
        <f>Master8[[#This Row],[Anciennete_Mois]]/12</f>
        <v>8.5833333333333339</v>
      </c>
      <c r="U373" s="1">
        <f>Master8[[#This Row],[Duree_Cumule_Panne_Min]]/60</f>
        <v>1.75</v>
      </c>
      <c r="V37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0.1</v>
      </c>
      <c r="W37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0.1</v>
      </c>
      <c r="X373" s="6">
        <f>Master8[[#This Row],[Facture_Mensuelle]]*Master8[[#This Row],[Remise]]</f>
        <v>6.152000000000001</v>
      </c>
    </row>
    <row r="374" spans="1:24" x14ac:dyDescent="0.25">
      <c r="A374" s="1" t="s">
        <v>1193</v>
      </c>
      <c r="B374" t="str">
        <f>IFERROR(VLOOKUP(Master8[[#This Row],[Cell_ID]],Registre_Maintenance[],2,FALSE),"")</f>
        <v>Haut-Uele</v>
      </c>
      <c r="C374" s="1" t="s">
        <v>873</v>
      </c>
      <c r="D374" s="2">
        <v>45230.323611111111</v>
      </c>
      <c r="E374" s="3">
        <v>45230.323611111111</v>
      </c>
      <c r="F374">
        <v>105</v>
      </c>
      <c r="G374">
        <f>Master8[[#This Row],[Duree_Panne_Min]]/60</f>
        <v>1.75</v>
      </c>
      <c r="H374" s="1" t="s">
        <v>732</v>
      </c>
      <c r="I374">
        <f>IFERROR(VLOOKUP(Master8[[#This Row],[Cell_ID]],Registre_Maintenance[],3,FALSE),"")</f>
        <v>-4.4351269999999996</v>
      </c>
      <c r="J374">
        <f>IFERROR(VLOOKUP(Master8[[#This Row],[Cell_ID]],Registre_Maintenance[],4,FALSE),"")</f>
        <v>24.825467</v>
      </c>
      <c r="K374" t="str">
        <f>IFERROR(VLOOKUP(Master8[[#This Row],[Cell_ID]],Registre_Maintenance[],5,FALSE),"")</f>
        <v>4G</v>
      </c>
      <c r="L374" t="str">
        <f>IFERROR(VLOOKUP(Master8[[#This Row],[Cell_ID]],Registre_Maintenance[],6,FALSE),"")</f>
        <v>Huawei</v>
      </c>
      <c r="M374" s="1" t="str">
        <f>VLOOKUP(Master8[[#This Row],[Province_RDC]],Client[],2,FALSE)</f>
        <v>CLI-00439</v>
      </c>
      <c r="N374" s="1">
        <f>VLOOKUP(Master8[[#This Row],[Province_RDC]],Client[],3,FALSE)</f>
        <v>40</v>
      </c>
      <c r="O374" s="1" t="str">
        <f>VLOOKUP(Master8[[#This Row],[Province_RDC]],Client[],4,FALSE)</f>
        <v>Premium 5G 150Go</v>
      </c>
      <c r="P374" s="1">
        <f>VLOOKUP(Master8[[#This Row],[Province_RDC]],Client[],5,FALSE)</f>
        <v>345</v>
      </c>
      <c r="Q374" s="1">
        <f>VLOOKUP(Master8[[#This Row],[Province_RDC]],Client[],6,FALSE)</f>
        <v>89.55</v>
      </c>
      <c r="R374" s="1">
        <f>VLOOKUP(Master8[[#This Row],[Province_RDC]],Client[],7,FALSE)</f>
        <v>3</v>
      </c>
      <c r="S374" s="1" t="str">
        <f>IF(Master8[[#This Row],[Type_Forfait]]="Pro Monde","B2B","B2C")</f>
        <v>B2C</v>
      </c>
      <c r="T374" s="1">
        <f>Master8[[#This Row],[Anciennete_Mois]]/12</f>
        <v>3.3333333333333335</v>
      </c>
      <c r="U374" s="1">
        <f>Master8[[#This Row],[Duree_Cumule_Panne_Min]]/60</f>
        <v>5.75</v>
      </c>
      <c r="V37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4" s="6">
        <f>Master8[[#This Row],[Facture_Mensuelle]]*Master8[[#This Row],[Remise]]</f>
        <v>40.297499999999999</v>
      </c>
    </row>
    <row r="375" spans="1:24" x14ac:dyDescent="0.25">
      <c r="A375" s="1" t="s">
        <v>1165</v>
      </c>
      <c r="B375" t="str">
        <f>IFERROR(VLOOKUP(Master8[[#This Row],[Cell_ID]],Registre_Maintenance[],2,FALSE),"")</f>
        <v>Haut-Uele</v>
      </c>
      <c r="C375" s="1" t="s">
        <v>1174</v>
      </c>
      <c r="D375" s="2">
        <v>45229.620833333327</v>
      </c>
      <c r="E375" s="3">
        <v>45229.620833333327</v>
      </c>
      <c r="F375">
        <v>74</v>
      </c>
      <c r="G375">
        <f>Master8[[#This Row],[Duree_Panne_Min]]/60</f>
        <v>1.2333333333333334</v>
      </c>
      <c r="H375" s="1" t="s">
        <v>737</v>
      </c>
      <c r="I375">
        <f>IFERROR(VLOOKUP(Master8[[#This Row],[Cell_ID]],Registre_Maintenance[],3,FALSE),"")</f>
        <v>-12.488033</v>
      </c>
      <c r="J375">
        <f>IFERROR(VLOOKUP(Master8[[#This Row],[Cell_ID]],Registre_Maintenance[],4,FALSE),"")</f>
        <v>16.139648000000001</v>
      </c>
      <c r="K375" t="str">
        <f>IFERROR(VLOOKUP(Master8[[#This Row],[Cell_ID]],Registre_Maintenance[],5,FALSE),"")</f>
        <v>4G</v>
      </c>
      <c r="L375" t="str">
        <f>IFERROR(VLOOKUP(Master8[[#This Row],[Cell_ID]],Registre_Maintenance[],6,FALSE),"")</f>
        <v>Huawei</v>
      </c>
      <c r="M375" s="1" t="str">
        <f>VLOOKUP(Master8[[#This Row],[Province_RDC]],Client[],2,FALSE)</f>
        <v>CLI-00439</v>
      </c>
      <c r="N375" s="1">
        <f>VLOOKUP(Master8[[#This Row],[Province_RDC]],Client[],3,FALSE)</f>
        <v>40</v>
      </c>
      <c r="O375" s="1" t="str">
        <f>VLOOKUP(Master8[[#This Row],[Province_RDC]],Client[],4,FALSE)</f>
        <v>Premium 5G 150Go</v>
      </c>
      <c r="P375" s="1">
        <f>VLOOKUP(Master8[[#This Row],[Province_RDC]],Client[],5,FALSE)</f>
        <v>345</v>
      </c>
      <c r="Q375" s="1">
        <f>VLOOKUP(Master8[[#This Row],[Province_RDC]],Client[],6,FALSE)</f>
        <v>89.55</v>
      </c>
      <c r="R375" s="1">
        <f>VLOOKUP(Master8[[#This Row],[Province_RDC]],Client[],7,FALSE)</f>
        <v>3</v>
      </c>
      <c r="S375" s="1" t="str">
        <f>IF(Master8[[#This Row],[Type_Forfait]]="Pro Monde","B2B","B2C")</f>
        <v>B2C</v>
      </c>
      <c r="T375" s="1">
        <f>Master8[[#This Row],[Anciennete_Mois]]/12</f>
        <v>3.3333333333333335</v>
      </c>
      <c r="U375" s="1">
        <f>Master8[[#This Row],[Duree_Cumule_Panne_Min]]/60</f>
        <v>5.75</v>
      </c>
      <c r="V37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5" s="6">
        <f>Master8[[#This Row],[Facture_Mensuelle]]*Master8[[#This Row],[Remise]]</f>
        <v>40.297499999999999</v>
      </c>
    </row>
    <row r="376" spans="1:24" x14ac:dyDescent="0.25">
      <c r="A376" s="1" t="s">
        <v>1382</v>
      </c>
      <c r="B376" t="str">
        <f>IFERROR(VLOOKUP(Master8[[#This Row],[Cell_ID]],Registre_Maintenance[],2,FALSE),"")</f>
        <v>Haut-Uele</v>
      </c>
      <c r="C376" s="1" t="s">
        <v>881</v>
      </c>
      <c r="D376" s="2">
        <v>45228.57708333333</v>
      </c>
      <c r="E376" s="3">
        <v>45228.57708333333</v>
      </c>
      <c r="F376">
        <v>80</v>
      </c>
      <c r="G376">
        <f>Master8[[#This Row],[Duree_Panne_Min]]/60</f>
        <v>1.3333333333333333</v>
      </c>
      <c r="H376" s="1" t="s">
        <v>737</v>
      </c>
      <c r="I376">
        <f>IFERROR(VLOOKUP(Master8[[#This Row],[Cell_ID]],Registre_Maintenance[],3,FALSE),"")</f>
        <v>-1.8045979999999999</v>
      </c>
      <c r="J376">
        <f>IFERROR(VLOOKUP(Master8[[#This Row],[Cell_ID]],Registre_Maintenance[],4,FALSE),"")</f>
        <v>12.511096999999999</v>
      </c>
      <c r="K376" t="str">
        <f>IFERROR(VLOOKUP(Master8[[#This Row],[Cell_ID]],Registre_Maintenance[],5,FALSE),"")</f>
        <v>3G</v>
      </c>
      <c r="L376" t="str">
        <f>IFERROR(VLOOKUP(Master8[[#This Row],[Cell_ID]],Registre_Maintenance[],6,FALSE),"")</f>
        <v>Huawei</v>
      </c>
      <c r="M376" s="1" t="str">
        <f>VLOOKUP(Master8[[#This Row],[Province_RDC]],Client[],2,FALSE)</f>
        <v>CLI-00439</v>
      </c>
      <c r="N376" s="1">
        <f>VLOOKUP(Master8[[#This Row],[Province_RDC]],Client[],3,FALSE)</f>
        <v>40</v>
      </c>
      <c r="O376" s="1" t="str">
        <f>VLOOKUP(Master8[[#This Row],[Province_RDC]],Client[],4,FALSE)</f>
        <v>Premium 5G 150Go</v>
      </c>
      <c r="P376" s="1">
        <f>VLOOKUP(Master8[[#This Row],[Province_RDC]],Client[],5,FALSE)</f>
        <v>345</v>
      </c>
      <c r="Q376" s="1">
        <f>VLOOKUP(Master8[[#This Row],[Province_RDC]],Client[],6,FALSE)</f>
        <v>89.55</v>
      </c>
      <c r="R376" s="1">
        <f>VLOOKUP(Master8[[#This Row],[Province_RDC]],Client[],7,FALSE)</f>
        <v>3</v>
      </c>
      <c r="S376" s="1" t="str">
        <f>IF(Master8[[#This Row],[Type_Forfait]]="Pro Monde","B2B","B2C")</f>
        <v>B2C</v>
      </c>
      <c r="T376" s="1">
        <f>Master8[[#This Row],[Anciennete_Mois]]/12</f>
        <v>3.3333333333333335</v>
      </c>
      <c r="U376" s="1">
        <f>Master8[[#This Row],[Duree_Cumule_Panne_Min]]/60</f>
        <v>5.75</v>
      </c>
      <c r="V37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6" s="6">
        <f>Master8[[#This Row],[Facture_Mensuelle]]*Master8[[#This Row],[Remise]]</f>
        <v>40.297499999999999</v>
      </c>
    </row>
    <row r="377" spans="1:24" x14ac:dyDescent="0.25">
      <c r="A377" s="1" t="s">
        <v>861</v>
      </c>
      <c r="B377" t="str">
        <f>IFERROR(VLOOKUP(Master8[[#This Row],[Cell_ID]],Registre_Maintenance[],2,FALSE),"")</f>
        <v>Haut-Uele</v>
      </c>
      <c r="C377" s="1" t="s">
        <v>873</v>
      </c>
      <c r="D377" s="2">
        <v>45228.511805555558</v>
      </c>
      <c r="E377" s="3">
        <v>45228.511805555558</v>
      </c>
      <c r="F377">
        <v>64</v>
      </c>
      <c r="G377">
        <f>Master8[[#This Row],[Duree_Panne_Min]]/60</f>
        <v>1.0666666666666667</v>
      </c>
      <c r="H377" s="1" t="s">
        <v>735</v>
      </c>
      <c r="I377">
        <f>IFERROR(VLOOKUP(Master8[[#This Row],[Cell_ID]],Registre_Maintenance[],3,FALSE),"")</f>
        <v>-4.4351269999999996</v>
      </c>
      <c r="J377">
        <f>IFERROR(VLOOKUP(Master8[[#This Row],[Cell_ID]],Registre_Maintenance[],4,FALSE),"")</f>
        <v>24.825467</v>
      </c>
      <c r="K377" t="str">
        <f>IFERROR(VLOOKUP(Master8[[#This Row],[Cell_ID]],Registre_Maintenance[],5,FALSE),"")</f>
        <v>4G</v>
      </c>
      <c r="L377" t="str">
        <f>IFERROR(VLOOKUP(Master8[[#This Row],[Cell_ID]],Registre_Maintenance[],6,FALSE),"")</f>
        <v>Huawei</v>
      </c>
      <c r="M377" s="1" t="str">
        <f>VLOOKUP(Master8[[#This Row],[Province_RDC]],Client[],2,FALSE)</f>
        <v>CLI-00439</v>
      </c>
      <c r="N377" s="1">
        <f>VLOOKUP(Master8[[#This Row],[Province_RDC]],Client[],3,FALSE)</f>
        <v>40</v>
      </c>
      <c r="O377" s="1" t="str">
        <f>VLOOKUP(Master8[[#This Row],[Province_RDC]],Client[],4,FALSE)</f>
        <v>Premium 5G 150Go</v>
      </c>
      <c r="P377" s="1">
        <f>VLOOKUP(Master8[[#This Row],[Province_RDC]],Client[],5,FALSE)</f>
        <v>345</v>
      </c>
      <c r="Q377" s="1">
        <f>VLOOKUP(Master8[[#This Row],[Province_RDC]],Client[],6,FALSE)</f>
        <v>89.55</v>
      </c>
      <c r="R377" s="1">
        <f>VLOOKUP(Master8[[#This Row],[Province_RDC]],Client[],7,FALSE)</f>
        <v>3</v>
      </c>
      <c r="S377" s="1" t="str">
        <f>IF(Master8[[#This Row],[Type_Forfait]]="Pro Monde","B2B","B2C")</f>
        <v>B2C</v>
      </c>
      <c r="T377" s="1">
        <f>Master8[[#This Row],[Anciennete_Mois]]/12</f>
        <v>3.3333333333333335</v>
      </c>
      <c r="U377" s="1">
        <f>Master8[[#This Row],[Duree_Cumule_Panne_Min]]/60</f>
        <v>5.75</v>
      </c>
      <c r="V37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7" s="6">
        <f>Master8[[#This Row],[Facture_Mensuelle]]*Master8[[#This Row],[Remise]]</f>
        <v>40.297499999999999</v>
      </c>
    </row>
    <row r="378" spans="1:24" x14ac:dyDescent="0.25">
      <c r="A378" s="1" t="s">
        <v>1404</v>
      </c>
      <c r="B378" t="str">
        <f>IFERROR(VLOOKUP(Master8[[#This Row],[Cell_ID]],Registre_Maintenance[],2,FALSE),"")</f>
        <v>Haut-Uele</v>
      </c>
      <c r="C378" s="1" t="s">
        <v>1407</v>
      </c>
      <c r="D378" s="2">
        <v>45223.794444444437</v>
      </c>
      <c r="E378" s="3">
        <v>45223.794444444437</v>
      </c>
      <c r="F378">
        <v>97</v>
      </c>
      <c r="G378">
        <f>Master8[[#This Row],[Duree_Panne_Min]]/60</f>
        <v>1.6166666666666667</v>
      </c>
      <c r="H378" s="1" t="s">
        <v>732</v>
      </c>
      <c r="I378">
        <f>IFERROR(VLOOKUP(Master8[[#This Row],[Cell_ID]],Registre_Maintenance[],3,FALSE),"")</f>
        <v>1.0134879999999999</v>
      </c>
      <c r="J378">
        <f>IFERROR(VLOOKUP(Master8[[#This Row],[Cell_ID]],Registre_Maintenance[],4,FALSE),"")</f>
        <v>20.363515</v>
      </c>
      <c r="K378" t="str">
        <f>IFERROR(VLOOKUP(Master8[[#This Row],[Cell_ID]],Registre_Maintenance[],5,FALSE),"")</f>
        <v>4G</v>
      </c>
      <c r="L378" t="str">
        <f>IFERROR(VLOOKUP(Master8[[#This Row],[Cell_ID]],Registre_Maintenance[],6,FALSE),"")</f>
        <v>Nokia</v>
      </c>
      <c r="M378" s="1" t="str">
        <f>VLOOKUP(Master8[[#This Row],[Province_RDC]],Client[],2,FALSE)</f>
        <v>CLI-00439</v>
      </c>
      <c r="N378" s="1">
        <f>VLOOKUP(Master8[[#This Row],[Province_RDC]],Client[],3,FALSE)</f>
        <v>40</v>
      </c>
      <c r="O378" s="1" t="str">
        <f>VLOOKUP(Master8[[#This Row],[Province_RDC]],Client[],4,FALSE)</f>
        <v>Premium 5G 150Go</v>
      </c>
      <c r="P378" s="1">
        <f>VLOOKUP(Master8[[#This Row],[Province_RDC]],Client[],5,FALSE)</f>
        <v>345</v>
      </c>
      <c r="Q378" s="1">
        <f>VLOOKUP(Master8[[#This Row],[Province_RDC]],Client[],6,FALSE)</f>
        <v>89.55</v>
      </c>
      <c r="R378" s="1">
        <f>VLOOKUP(Master8[[#This Row],[Province_RDC]],Client[],7,FALSE)</f>
        <v>3</v>
      </c>
      <c r="S378" s="1" t="str">
        <f>IF(Master8[[#This Row],[Type_Forfait]]="Pro Monde","B2B","B2C")</f>
        <v>B2C</v>
      </c>
      <c r="T378" s="1">
        <f>Master8[[#This Row],[Anciennete_Mois]]/12</f>
        <v>3.3333333333333335</v>
      </c>
      <c r="U378" s="1">
        <f>Master8[[#This Row],[Duree_Cumule_Panne_Min]]/60</f>
        <v>5.75</v>
      </c>
      <c r="V37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8" s="6">
        <f>Master8[[#This Row],[Facture_Mensuelle]]*Master8[[#This Row],[Remise]]</f>
        <v>40.297499999999999</v>
      </c>
    </row>
    <row r="379" spans="1:24" x14ac:dyDescent="0.25">
      <c r="A379" s="1" t="s">
        <v>1288</v>
      </c>
      <c r="B379" t="str">
        <f>IFERROR(VLOOKUP(Master8[[#This Row],[Cell_ID]],Registre_Maintenance[],2,FALSE),"")</f>
        <v>Haut-Uele</v>
      </c>
      <c r="C379" s="1" t="s">
        <v>1305</v>
      </c>
      <c r="D379" s="2">
        <v>45222.479166666657</v>
      </c>
      <c r="E379" s="3">
        <v>45222.479166666657</v>
      </c>
      <c r="F379">
        <v>112</v>
      </c>
      <c r="G379">
        <f>Master8[[#This Row],[Duree_Panne_Min]]/60</f>
        <v>1.8666666666666667</v>
      </c>
      <c r="H379" s="1" t="s">
        <v>735</v>
      </c>
      <c r="I379">
        <f>IFERROR(VLOOKUP(Master8[[#This Row],[Cell_ID]],Registre_Maintenance[],3,FALSE),"")</f>
        <v>-8.8118569999999998</v>
      </c>
      <c r="J379">
        <f>IFERROR(VLOOKUP(Master8[[#This Row],[Cell_ID]],Registre_Maintenance[],4,FALSE),"")</f>
        <v>14.465711000000001</v>
      </c>
      <c r="K379" t="str">
        <f>IFERROR(VLOOKUP(Master8[[#This Row],[Cell_ID]],Registre_Maintenance[],5,FALSE),"")</f>
        <v>5G</v>
      </c>
      <c r="L379" t="str">
        <f>IFERROR(VLOOKUP(Master8[[#This Row],[Cell_ID]],Registre_Maintenance[],6,FALSE),"")</f>
        <v>Nokia</v>
      </c>
      <c r="M379" s="1" t="str">
        <f>VLOOKUP(Master8[[#This Row],[Province_RDC]],Client[],2,FALSE)</f>
        <v>CLI-00439</v>
      </c>
      <c r="N379" s="1">
        <f>VLOOKUP(Master8[[#This Row],[Province_RDC]],Client[],3,FALSE)</f>
        <v>40</v>
      </c>
      <c r="O379" s="1" t="str">
        <f>VLOOKUP(Master8[[#This Row],[Province_RDC]],Client[],4,FALSE)</f>
        <v>Premium 5G 150Go</v>
      </c>
      <c r="P379" s="1">
        <f>VLOOKUP(Master8[[#This Row],[Province_RDC]],Client[],5,FALSE)</f>
        <v>345</v>
      </c>
      <c r="Q379" s="1">
        <f>VLOOKUP(Master8[[#This Row],[Province_RDC]],Client[],6,FALSE)</f>
        <v>89.55</v>
      </c>
      <c r="R379" s="1">
        <f>VLOOKUP(Master8[[#This Row],[Province_RDC]],Client[],7,FALSE)</f>
        <v>3</v>
      </c>
      <c r="S379" s="1" t="str">
        <f>IF(Master8[[#This Row],[Type_Forfait]]="Pro Monde","B2B","B2C")</f>
        <v>B2C</v>
      </c>
      <c r="T379" s="1">
        <f>Master8[[#This Row],[Anciennete_Mois]]/12</f>
        <v>3.3333333333333335</v>
      </c>
      <c r="U379" s="1">
        <f>Master8[[#This Row],[Duree_Cumule_Panne_Min]]/60</f>
        <v>5.75</v>
      </c>
      <c r="V37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7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79" s="6">
        <f>Master8[[#This Row],[Facture_Mensuelle]]*Master8[[#This Row],[Remise]]</f>
        <v>40.297499999999999</v>
      </c>
    </row>
    <row r="380" spans="1:24" x14ac:dyDescent="0.25">
      <c r="A380" s="1" t="s">
        <v>1219</v>
      </c>
      <c r="B380" t="str">
        <f>IFERROR(VLOOKUP(Master8[[#This Row],[Cell_ID]],Registre_Maintenance[],2,FALSE),"")</f>
        <v>Haut-Uele</v>
      </c>
      <c r="C380" s="1" t="s">
        <v>1236</v>
      </c>
      <c r="D380" s="2">
        <v>45221.647916666669</v>
      </c>
      <c r="E380" s="3">
        <v>45221.647916666669</v>
      </c>
      <c r="F380">
        <v>67</v>
      </c>
      <c r="G380">
        <f>Master8[[#This Row],[Duree_Panne_Min]]/60</f>
        <v>1.1166666666666667</v>
      </c>
      <c r="H380" s="1" t="s">
        <v>732</v>
      </c>
      <c r="I380">
        <f>IFERROR(VLOOKUP(Master8[[#This Row],[Cell_ID]],Registre_Maintenance[],3,FALSE),"")</f>
        <v>-11.924048000000001</v>
      </c>
      <c r="J380">
        <f>IFERROR(VLOOKUP(Master8[[#This Row],[Cell_ID]],Registre_Maintenance[],4,FALSE),"")</f>
        <v>24.177174999999998</v>
      </c>
      <c r="K380" t="str">
        <f>IFERROR(VLOOKUP(Master8[[#This Row],[Cell_ID]],Registre_Maintenance[],5,FALSE),"")</f>
        <v>3G</v>
      </c>
      <c r="L380" t="str">
        <f>IFERROR(VLOOKUP(Master8[[#This Row],[Cell_ID]],Registre_Maintenance[],6,FALSE),"")</f>
        <v>Nokia</v>
      </c>
      <c r="M380" s="1" t="str">
        <f>VLOOKUP(Master8[[#This Row],[Province_RDC]],Client[],2,FALSE)</f>
        <v>CLI-00439</v>
      </c>
      <c r="N380" s="1">
        <f>VLOOKUP(Master8[[#This Row],[Province_RDC]],Client[],3,FALSE)</f>
        <v>40</v>
      </c>
      <c r="O380" s="1" t="str">
        <f>VLOOKUP(Master8[[#This Row],[Province_RDC]],Client[],4,FALSE)</f>
        <v>Premium 5G 150Go</v>
      </c>
      <c r="P380" s="1">
        <f>VLOOKUP(Master8[[#This Row],[Province_RDC]],Client[],5,FALSE)</f>
        <v>345</v>
      </c>
      <c r="Q380" s="1">
        <f>VLOOKUP(Master8[[#This Row],[Province_RDC]],Client[],6,FALSE)</f>
        <v>89.55</v>
      </c>
      <c r="R380" s="1">
        <f>VLOOKUP(Master8[[#This Row],[Province_RDC]],Client[],7,FALSE)</f>
        <v>3</v>
      </c>
      <c r="S380" s="1" t="str">
        <f>IF(Master8[[#This Row],[Type_Forfait]]="Pro Monde","B2B","B2C")</f>
        <v>B2C</v>
      </c>
      <c r="T380" s="1">
        <f>Master8[[#This Row],[Anciennete_Mois]]/12</f>
        <v>3.3333333333333335</v>
      </c>
      <c r="U380" s="1">
        <f>Master8[[#This Row],[Duree_Cumule_Panne_Min]]/60</f>
        <v>5.75</v>
      </c>
      <c r="V38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0" s="6">
        <f>Master8[[#This Row],[Facture_Mensuelle]]*Master8[[#This Row],[Remise]]</f>
        <v>40.297499999999999</v>
      </c>
    </row>
    <row r="381" spans="1:24" x14ac:dyDescent="0.25">
      <c r="A381" s="1" t="s">
        <v>1219</v>
      </c>
      <c r="B381" t="str">
        <f>IFERROR(VLOOKUP(Master8[[#This Row],[Cell_ID]],Registre_Maintenance[],2,FALSE),"")</f>
        <v>Haut-Uele</v>
      </c>
      <c r="C381" s="1" t="s">
        <v>1139</v>
      </c>
      <c r="D381" s="2">
        <v>45219.527083333327</v>
      </c>
      <c r="E381" s="3">
        <v>45219.527083333327</v>
      </c>
      <c r="F381">
        <v>95</v>
      </c>
      <c r="G381">
        <f>Master8[[#This Row],[Duree_Panne_Min]]/60</f>
        <v>1.5833333333333333</v>
      </c>
      <c r="H381" s="1" t="s">
        <v>732</v>
      </c>
      <c r="I381">
        <f>IFERROR(VLOOKUP(Master8[[#This Row],[Cell_ID]],Registre_Maintenance[],3,FALSE),"")</f>
        <v>-7.1483749999999997</v>
      </c>
      <c r="J381">
        <f>IFERROR(VLOOKUP(Master8[[#This Row],[Cell_ID]],Registre_Maintenance[],4,FALSE),"")</f>
        <v>26.014271000000001</v>
      </c>
      <c r="K381" t="str">
        <f>IFERROR(VLOOKUP(Master8[[#This Row],[Cell_ID]],Registre_Maintenance[],5,FALSE),"")</f>
        <v>5G</v>
      </c>
      <c r="L381" t="str">
        <f>IFERROR(VLOOKUP(Master8[[#This Row],[Cell_ID]],Registre_Maintenance[],6,FALSE),"")</f>
        <v>Huawei</v>
      </c>
      <c r="M381" s="1" t="str">
        <f>VLOOKUP(Master8[[#This Row],[Province_RDC]],Client[],2,FALSE)</f>
        <v>CLI-00439</v>
      </c>
      <c r="N381" s="1">
        <f>VLOOKUP(Master8[[#This Row],[Province_RDC]],Client[],3,FALSE)</f>
        <v>40</v>
      </c>
      <c r="O381" s="1" t="str">
        <f>VLOOKUP(Master8[[#This Row],[Province_RDC]],Client[],4,FALSE)</f>
        <v>Premium 5G 150Go</v>
      </c>
      <c r="P381" s="1">
        <f>VLOOKUP(Master8[[#This Row],[Province_RDC]],Client[],5,FALSE)</f>
        <v>345</v>
      </c>
      <c r="Q381" s="1">
        <f>VLOOKUP(Master8[[#This Row],[Province_RDC]],Client[],6,FALSE)</f>
        <v>89.55</v>
      </c>
      <c r="R381" s="1">
        <f>VLOOKUP(Master8[[#This Row],[Province_RDC]],Client[],7,FALSE)</f>
        <v>3</v>
      </c>
      <c r="S381" s="1" t="str">
        <f>IF(Master8[[#This Row],[Type_Forfait]]="Pro Monde","B2B","B2C")</f>
        <v>B2C</v>
      </c>
      <c r="T381" s="1">
        <f>Master8[[#This Row],[Anciennete_Mois]]/12</f>
        <v>3.3333333333333335</v>
      </c>
      <c r="U381" s="1">
        <f>Master8[[#This Row],[Duree_Cumule_Panne_Min]]/60</f>
        <v>5.75</v>
      </c>
      <c r="V38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1" s="6">
        <f>Master8[[#This Row],[Facture_Mensuelle]]*Master8[[#This Row],[Remise]]</f>
        <v>40.297499999999999</v>
      </c>
    </row>
    <row r="382" spans="1:24" x14ac:dyDescent="0.25">
      <c r="A382" s="1" t="s">
        <v>861</v>
      </c>
      <c r="B382" t="str">
        <f>IFERROR(VLOOKUP(Master8[[#This Row],[Cell_ID]],Registre_Maintenance[],2,FALSE),"")</f>
        <v>Haut-Uele</v>
      </c>
      <c r="C382" s="1" t="s">
        <v>881</v>
      </c>
      <c r="D382" s="2">
        <v>45218.270138888889</v>
      </c>
      <c r="E382" s="3">
        <v>45218.270138888889</v>
      </c>
      <c r="F382">
        <v>40</v>
      </c>
      <c r="G382">
        <f>Master8[[#This Row],[Duree_Panne_Min]]/60</f>
        <v>0.66666666666666663</v>
      </c>
      <c r="H382" s="1" t="s">
        <v>735</v>
      </c>
      <c r="I382">
        <f>IFERROR(VLOOKUP(Master8[[#This Row],[Cell_ID]],Registre_Maintenance[],3,FALSE),"")</f>
        <v>-1.8045979999999999</v>
      </c>
      <c r="J382">
        <f>IFERROR(VLOOKUP(Master8[[#This Row],[Cell_ID]],Registre_Maintenance[],4,FALSE),"")</f>
        <v>12.511096999999999</v>
      </c>
      <c r="K382" t="str">
        <f>IFERROR(VLOOKUP(Master8[[#This Row],[Cell_ID]],Registre_Maintenance[],5,FALSE),"")</f>
        <v>3G</v>
      </c>
      <c r="L382" t="str">
        <f>IFERROR(VLOOKUP(Master8[[#This Row],[Cell_ID]],Registre_Maintenance[],6,FALSE),"")</f>
        <v>Huawei</v>
      </c>
      <c r="M382" s="1" t="str">
        <f>VLOOKUP(Master8[[#This Row],[Province_RDC]],Client[],2,FALSE)</f>
        <v>CLI-00439</v>
      </c>
      <c r="N382" s="1">
        <f>VLOOKUP(Master8[[#This Row],[Province_RDC]],Client[],3,FALSE)</f>
        <v>40</v>
      </c>
      <c r="O382" s="1" t="str">
        <f>VLOOKUP(Master8[[#This Row],[Province_RDC]],Client[],4,FALSE)</f>
        <v>Premium 5G 150Go</v>
      </c>
      <c r="P382" s="1">
        <f>VLOOKUP(Master8[[#This Row],[Province_RDC]],Client[],5,FALSE)</f>
        <v>345</v>
      </c>
      <c r="Q382" s="1">
        <f>VLOOKUP(Master8[[#This Row],[Province_RDC]],Client[],6,FALSE)</f>
        <v>89.55</v>
      </c>
      <c r="R382" s="1">
        <f>VLOOKUP(Master8[[#This Row],[Province_RDC]],Client[],7,FALSE)</f>
        <v>3</v>
      </c>
      <c r="S382" s="1" t="str">
        <f>IF(Master8[[#This Row],[Type_Forfait]]="Pro Monde","B2B","B2C")</f>
        <v>B2C</v>
      </c>
      <c r="T382" s="1">
        <f>Master8[[#This Row],[Anciennete_Mois]]/12</f>
        <v>3.3333333333333335</v>
      </c>
      <c r="U382" s="1">
        <f>Master8[[#This Row],[Duree_Cumule_Panne_Min]]/60</f>
        <v>5.75</v>
      </c>
      <c r="V38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2" s="6">
        <f>Master8[[#This Row],[Facture_Mensuelle]]*Master8[[#This Row],[Remise]]</f>
        <v>40.297499999999999</v>
      </c>
    </row>
    <row r="383" spans="1:24" x14ac:dyDescent="0.25">
      <c r="A383" s="1" t="s">
        <v>1241</v>
      </c>
      <c r="B383" t="str">
        <f>IFERROR(VLOOKUP(Master8[[#This Row],[Cell_ID]],Registre_Maintenance[],2,FALSE),"")</f>
        <v>Haut-Uele</v>
      </c>
      <c r="C383" s="1" t="s">
        <v>1247</v>
      </c>
      <c r="D383" s="2">
        <v>45217.755555555559</v>
      </c>
      <c r="E383" s="3">
        <v>45217.755555555559</v>
      </c>
      <c r="F383">
        <v>100</v>
      </c>
      <c r="G383">
        <f>Master8[[#This Row],[Duree_Panne_Min]]/60</f>
        <v>1.6666666666666667</v>
      </c>
      <c r="H383" s="1" t="s">
        <v>732</v>
      </c>
      <c r="I383">
        <f>IFERROR(VLOOKUP(Master8[[#This Row],[Cell_ID]],Registre_Maintenance[],3,FALSE),"")</f>
        <v>-3.003879</v>
      </c>
      <c r="J383">
        <f>IFERROR(VLOOKUP(Master8[[#This Row],[Cell_ID]],Registre_Maintenance[],4,FALSE),"")</f>
        <v>23.633893</v>
      </c>
      <c r="K383" t="str">
        <f>IFERROR(VLOOKUP(Master8[[#This Row],[Cell_ID]],Registre_Maintenance[],5,FALSE),"")</f>
        <v>5G</v>
      </c>
      <c r="L383" t="str">
        <f>IFERROR(VLOOKUP(Master8[[#This Row],[Cell_ID]],Registre_Maintenance[],6,FALSE),"")</f>
        <v>Ericsson</v>
      </c>
      <c r="M383" s="1" t="str">
        <f>VLOOKUP(Master8[[#This Row],[Province_RDC]],Client[],2,FALSE)</f>
        <v>CLI-00439</v>
      </c>
      <c r="N383" s="1">
        <f>VLOOKUP(Master8[[#This Row],[Province_RDC]],Client[],3,FALSE)</f>
        <v>40</v>
      </c>
      <c r="O383" s="1" t="str">
        <f>VLOOKUP(Master8[[#This Row],[Province_RDC]],Client[],4,FALSE)</f>
        <v>Premium 5G 150Go</v>
      </c>
      <c r="P383" s="1">
        <f>VLOOKUP(Master8[[#This Row],[Province_RDC]],Client[],5,FALSE)</f>
        <v>345</v>
      </c>
      <c r="Q383" s="1">
        <f>VLOOKUP(Master8[[#This Row],[Province_RDC]],Client[],6,FALSE)</f>
        <v>89.55</v>
      </c>
      <c r="R383" s="1">
        <f>VLOOKUP(Master8[[#This Row],[Province_RDC]],Client[],7,FALSE)</f>
        <v>3</v>
      </c>
      <c r="S383" s="1" t="str">
        <f>IF(Master8[[#This Row],[Type_Forfait]]="Pro Monde","B2B","B2C")</f>
        <v>B2C</v>
      </c>
      <c r="T383" s="1">
        <f>Master8[[#This Row],[Anciennete_Mois]]/12</f>
        <v>3.3333333333333335</v>
      </c>
      <c r="U383" s="1">
        <f>Master8[[#This Row],[Duree_Cumule_Panne_Min]]/60</f>
        <v>5.75</v>
      </c>
      <c r="V38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3" s="6">
        <f>Master8[[#This Row],[Facture_Mensuelle]]*Master8[[#This Row],[Remise]]</f>
        <v>40.297499999999999</v>
      </c>
    </row>
    <row r="384" spans="1:24" x14ac:dyDescent="0.25">
      <c r="A384" s="1" t="s">
        <v>1288</v>
      </c>
      <c r="B384" t="str">
        <f>IFERROR(VLOOKUP(Master8[[#This Row],[Cell_ID]],Registre_Maintenance[],2,FALSE),"")</f>
        <v>Haut-Uele</v>
      </c>
      <c r="C384" s="1" t="s">
        <v>881</v>
      </c>
      <c r="D384" s="2">
        <v>45217.627083333333</v>
      </c>
      <c r="E384" s="3">
        <v>45217.627083333333</v>
      </c>
      <c r="F384">
        <v>33</v>
      </c>
      <c r="G384">
        <f>Master8[[#This Row],[Duree_Panne_Min]]/60</f>
        <v>0.55000000000000004</v>
      </c>
      <c r="H384" s="1" t="s">
        <v>732</v>
      </c>
      <c r="I384">
        <f>IFERROR(VLOOKUP(Master8[[#This Row],[Cell_ID]],Registre_Maintenance[],3,FALSE),"")</f>
        <v>-1.8045979999999999</v>
      </c>
      <c r="J384">
        <f>IFERROR(VLOOKUP(Master8[[#This Row],[Cell_ID]],Registre_Maintenance[],4,FALSE),"")</f>
        <v>12.511096999999999</v>
      </c>
      <c r="K384" t="str">
        <f>IFERROR(VLOOKUP(Master8[[#This Row],[Cell_ID]],Registre_Maintenance[],5,FALSE),"")</f>
        <v>3G</v>
      </c>
      <c r="L384" t="str">
        <f>IFERROR(VLOOKUP(Master8[[#This Row],[Cell_ID]],Registre_Maintenance[],6,FALSE),"")</f>
        <v>Huawei</v>
      </c>
      <c r="M384" s="1" t="str">
        <f>VLOOKUP(Master8[[#This Row],[Province_RDC]],Client[],2,FALSE)</f>
        <v>CLI-00439</v>
      </c>
      <c r="N384" s="1">
        <f>VLOOKUP(Master8[[#This Row],[Province_RDC]],Client[],3,FALSE)</f>
        <v>40</v>
      </c>
      <c r="O384" s="1" t="str">
        <f>VLOOKUP(Master8[[#This Row],[Province_RDC]],Client[],4,FALSE)</f>
        <v>Premium 5G 150Go</v>
      </c>
      <c r="P384" s="1">
        <f>VLOOKUP(Master8[[#This Row],[Province_RDC]],Client[],5,FALSE)</f>
        <v>345</v>
      </c>
      <c r="Q384" s="1">
        <f>VLOOKUP(Master8[[#This Row],[Province_RDC]],Client[],6,FALSE)</f>
        <v>89.55</v>
      </c>
      <c r="R384" s="1">
        <f>VLOOKUP(Master8[[#This Row],[Province_RDC]],Client[],7,FALSE)</f>
        <v>3</v>
      </c>
      <c r="S384" s="1" t="str">
        <f>IF(Master8[[#This Row],[Type_Forfait]]="Pro Monde","B2B","B2C")</f>
        <v>B2C</v>
      </c>
      <c r="T384" s="1">
        <f>Master8[[#This Row],[Anciennete_Mois]]/12</f>
        <v>3.3333333333333335</v>
      </c>
      <c r="U384" s="1">
        <f>Master8[[#This Row],[Duree_Cumule_Panne_Min]]/60</f>
        <v>5.75</v>
      </c>
      <c r="V38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4" s="6">
        <f>Master8[[#This Row],[Facture_Mensuelle]]*Master8[[#This Row],[Remise]]</f>
        <v>40.297499999999999</v>
      </c>
    </row>
    <row r="385" spans="1:24" x14ac:dyDescent="0.25">
      <c r="A385" s="1" t="s">
        <v>978</v>
      </c>
      <c r="B385" t="str">
        <f>IFERROR(VLOOKUP(Master8[[#This Row],[Cell_ID]],Registre_Maintenance[],2,FALSE),"")</f>
        <v>Haut-Uele</v>
      </c>
      <c r="C385" s="1" t="s">
        <v>881</v>
      </c>
      <c r="D385" s="2">
        <v>45212.599305555559</v>
      </c>
      <c r="E385" s="3">
        <v>45212.599305555559</v>
      </c>
      <c r="F385">
        <v>58</v>
      </c>
      <c r="G385">
        <f>Master8[[#This Row],[Duree_Panne_Min]]/60</f>
        <v>0.96666666666666667</v>
      </c>
      <c r="H385" s="1" t="s">
        <v>735</v>
      </c>
      <c r="I385">
        <f>IFERROR(VLOOKUP(Master8[[#This Row],[Cell_ID]],Registre_Maintenance[],3,FALSE),"")</f>
        <v>-1.8045979999999999</v>
      </c>
      <c r="J385">
        <f>IFERROR(VLOOKUP(Master8[[#This Row],[Cell_ID]],Registre_Maintenance[],4,FALSE),"")</f>
        <v>12.511096999999999</v>
      </c>
      <c r="K385" t="str">
        <f>IFERROR(VLOOKUP(Master8[[#This Row],[Cell_ID]],Registre_Maintenance[],5,FALSE),"")</f>
        <v>3G</v>
      </c>
      <c r="L385" t="str">
        <f>IFERROR(VLOOKUP(Master8[[#This Row],[Cell_ID]],Registre_Maintenance[],6,FALSE),"")</f>
        <v>Huawei</v>
      </c>
      <c r="M385" s="1" t="str">
        <f>VLOOKUP(Master8[[#This Row],[Province_RDC]],Client[],2,FALSE)</f>
        <v>CLI-00439</v>
      </c>
      <c r="N385" s="1">
        <f>VLOOKUP(Master8[[#This Row],[Province_RDC]],Client[],3,FALSE)</f>
        <v>40</v>
      </c>
      <c r="O385" s="1" t="str">
        <f>VLOOKUP(Master8[[#This Row],[Province_RDC]],Client[],4,FALSE)</f>
        <v>Premium 5G 150Go</v>
      </c>
      <c r="P385" s="1">
        <f>VLOOKUP(Master8[[#This Row],[Province_RDC]],Client[],5,FALSE)</f>
        <v>345</v>
      </c>
      <c r="Q385" s="1">
        <f>VLOOKUP(Master8[[#This Row],[Province_RDC]],Client[],6,FALSE)</f>
        <v>89.55</v>
      </c>
      <c r="R385" s="1">
        <f>VLOOKUP(Master8[[#This Row],[Province_RDC]],Client[],7,FALSE)</f>
        <v>3</v>
      </c>
      <c r="S385" s="1" t="str">
        <f>IF(Master8[[#This Row],[Type_Forfait]]="Pro Monde","B2B","B2C")</f>
        <v>B2C</v>
      </c>
      <c r="T385" s="1">
        <f>Master8[[#This Row],[Anciennete_Mois]]/12</f>
        <v>3.3333333333333335</v>
      </c>
      <c r="U385" s="1">
        <f>Master8[[#This Row],[Duree_Cumule_Panne_Min]]/60</f>
        <v>5.75</v>
      </c>
      <c r="V38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5" s="6">
        <f>Master8[[#This Row],[Facture_Mensuelle]]*Master8[[#This Row],[Remise]]</f>
        <v>40.297499999999999</v>
      </c>
    </row>
    <row r="386" spans="1:24" x14ac:dyDescent="0.25">
      <c r="A386" s="1" t="s">
        <v>1361</v>
      </c>
      <c r="B386" t="str">
        <f>IFERROR(VLOOKUP(Master8[[#This Row],[Cell_ID]],Registre_Maintenance[],2,FALSE),"")</f>
        <v>Haut-Uele</v>
      </c>
      <c r="C386" s="1" t="s">
        <v>1139</v>
      </c>
      <c r="D386" s="2">
        <v>45211.888888888891</v>
      </c>
      <c r="E386" s="3">
        <v>45211.888888888891</v>
      </c>
      <c r="F386">
        <v>87</v>
      </c>
      <c r="G386">
        <f>Master8[[#This Row],[Duree_Panne_Min]]/60</f>
        <v>1.45</v>
      </c>
      <c r="H386" s="1" t="s">
        <v>735</v>
      </c>
      <c r="I386">
        <f>IFERROR(VLOOKUP(Master8[[#This Row],[Cell_ID]],Registre_Maintenance[],3,FALSE),"")</f>
        <v>-7.1483749999999997</v>
      </c>
      <c r="J386">
        <f>IFERROR(VLOOKUP(Master8[[#This Row],[Cell_ID]],Registre_Maintenance[],4,FALSE),"")</f>
        <v>26.014271000000001</v>
      </c>
      <c r="K386" t="str">
        <f>IFERROR(VLOOKUP(Master8[[#This Row],[Cell_ID]],Registre_Maintenance[],5,FALSE),"")</f>
        <v>5G</v>
      </c>
      <c r="L386" t="str">
        <f>IFERROR(VLOOKUP(Master8[[#This Row],[Cell_ID]],Registre_Maintenance[],6,FALSE),"")</f>
        <v>Huawei</v>
      </c>
      <c r="M386" s="1" t="str">
        <f>VLOOKUP(Master8[[#This Row],[Province_RDC]],Client[],2,FALSE)</f>
        <v>CLI-00439</v>
      </c>
      <c r="N386" s="1">
        <f>VLOOKUP(Master8[[#This Row],[Province_RDC]],Client[],3,FALSE)</f>
        <v>40</v>
      </c>
      <c r="O386" s="1" t="str">
        <f>VLOOKUP(Master8[[#This Row],[Province_RDC]],Client[],4,FALSE)</f>
        <v>Premium 5G 150Go</v>
      </c>
      <c r="P386" s="1">
        <f>VLOOKUP(Master8[[#This Row],[Province_RDC]],Client[],5,FALSE)</f>
        <v>345</v>
      </c>
      <c r="Q386" s="1">
        <f>VLOOKUP(Master8[[#This Row],[Province_RDC]],Client[],6,FALSE)</f>
        <v>89.55</v>
      </c>
      <c r="R386" s="1">
        <f>VLOOKUP(Master8[[#This Row],[Province_RDC]],Client[],7,FALSE)</f>
        <v>3</v>
      </c>
      <c r="S386" s="1" t="str">
        <f>IF(Master8[[#This Row],[Type_Forfait]]="Pro Monde","B2B","B2C")</f>
        <v>B2C</v>
      </c>
      <c r="T386" s="1">
        <f>Master8[[#This Row],[Anciennete_Mois]]/12</f>
        <v>3.3333333333333335</v>
      </c>
      <c r="U386" s="1">
        <f>Master8[[#This Row],[Duree_Cumule_Panne_Min]]/60</f>
        <v>5.75</v>
      </c>
      <c r="V38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6" s="6">
        <f>Master8[[#This Row],[Facture_Mensuelle]]*Master8[[#This Row],[Remise]]</f>
        <v>40.297499999999999</v>
      </c>
    </row>
    <row r="387" spans="1:24" x14ac:dyDescent="0.25">
      <c r="A387" s="1" t="s">
        <v>1059</v>
      </c>
      <c r="B387" t="str">
        <f>IFERROR(VLOOKUP(Master8[[#This Row],[Cell_ID]],Registre_Maintenance[],2,FALSE),"")</f>
        <v>Haut-Uele</v>
      </c>
      <c r="C387" s="1" t="s">
        <v>1075</v>
      </c>
      <c r="D387" s="2">
        <v>45211.722916666673</v>
      </c>
      <c r="E387" s="3">
        <v>45211.722916666673</v>
      </c>
      <c r="F387">
        <v>28</v>
      </c>
      <c r="G387">
        <f>Master8[[#This Row],[Duree_Panne_Min]]/60</f>
        <v>0.46666666666666667</v>
      </c>
      <c r="H387" s="1" t="s">
        <v>732</v>
      </c>
      <c r="I387">
        <f>IFERROR(VLOOKUP(Master8[[#This Row],[Cell_ID]],Registre_Maintenance[],3,FALSE),"")</f>
        <v>-6.9624990000000002</v>
      </c>
      <c r="J387">
        <f>IFERROR(VLOOKUP(Master8[[#This Row],[Cell_ID]],Registre_Maintenance[],4,FALSE),"")</f>
        <v>20.759834999999999</v>
      </c>
      <c r="K387" t="str">
        <f>IFERROR(VLOOKUP(Master8[[#This Row],[Cell_ID]],Registre_Maintenance[],5,FALSE),"")</f>
        <v>4G</v>
      </c>
      <c r="L387" t="str">
        <f>IFERROR(VLOOKUP(Master8[[#This Row],[Cell_ID]],Registre_Maintenance[],6,FALSE),"")</f>
        <v>Huawei</v>
      </c>
      <c r="M387" s="1" t="str">
        <f>VLOOKUP(Master8[[#This Row],[Province_RDC]],Client[],2,FALSE)</f>
        <v>CLI-00439</v>
      </c>
      <c r="N387" s="1">
        <f>VLOOKUP(Master8[[#This Row],[Province_RDC]],Client[],3,FALSE)</f>
        <v>40</v>
      </c>
      <c r="O387" s="1" t="str">
        <f>VLOOKUP(Master8[[#This Row],[Province_RDC]],Client[],4,FALSE)</f>
        <v>Premium 5G 150Go</v>
      </c>
      <c r="P387" s="1">
        <f>VLOOKUP(Master8[[#This Row],[Province_RDC]],Client[],5,FALSE)</f>
        <v>345</v>
      </c>
      <c r="Q387" s="1">
        <f>VLOOKUP(Master8[[#This Row],[Province_RDC]],Client[],6,FALSE)</f>
        <v>89.55</v>
      </c>
      <c r="R387" s="1">
        <f>VLOOKUP(Master8[[#This Row],[Province_RDC]],Client[],7,FALSE)</f>
        <v>3</v>
      </c>
      <c r="S387" s="1" t="str">
        <f>IF(Master8[[#This Row],[Type_Forfait]]="Pro Monde","B2B","B2C")</f>
        <v>B2C</v>
      </c>
      <c r="T387" s="1">
        <f>Master8[[#This Row],[Anciennete_Mois]]/12</f>
        <v>3.3333333333333335</v>
      </c>
      <c r="U387" s="1">
        <f>Master8[[#This Row],[Duree_Cumule_Panne_Min]]/60</f>
        <v>5.75</v>
      </c>
      <c r="V38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7" s="6">
        <f>Master8[[#This Row],[Facture_Mensuelle]]*Master8[[#This Row],[Remise]]</f>
        <v>40.297499999999999</v>
      </c>
    </row>
    <row r="388" spans="1:24" x14ac:dyDescent="0.25">
      <c r="A388" s="1" t="s">
        <v>1361</v>
      </c>
      <c r="B388" t="str">
        <f>IFERROR(VLOOKUP(Master8[[#This Row],[Cell_ID]],Registre_Maintenance[],2,FALSE),"")</f>
        <v>Haut-Uele</v>
      </c>
      <c r="C388" s="1" t="s">
        <v>1012</v>
      </c>
      <c r="D388" s="2">
        <v>45210.689583333333</v>
      </c>
      <c r="E388" s="3">
        <v>45210.689583333333</v>
      </c>
      <c r="F388">
        <v>16</v>
      </c>
      <c r="G388">
        <f>Master8[[#This Row],[Duree_Panne_Min]]/60</f>
        <v>0.26666666666666666</v>
      </c>
      <c r="H388" s="1" t="s">
        <v>732</v>
      </c>
      <c r="I388">
        <f>IFERROR(VLOOKUP(Master8[[#This Row],[Cell_ID]],Registre_Maintenance[],3,FALSE),"")</f>
        <v>-4.869434</v>
      </c>
      <c r="J388">
        <f>IFERROR(VLOOKUP(Master8[[#This Row],[Cell_ID]],Registre_Maintenance[],4,FALSE),"")</f>
        <v>22.326522000000001</v>
      </c>
      <c r="K388" t="str">
        <f>IFERROR(VLOOKUP(Master8[[#This Row],[Cell_ID]],Registre_Maintenance[],5,FALSE),"")</f>
        <v>5G</v>
      </c>
      <c r="L388" t="str">
        <f>IFERROR(VLOOKUP(Master8[[#This Row],[Cell_ID]],Registre_Maintenance[],6,FALSE),"")</f>
        <v>Ericsson</v>
      </c>
      <c r="M388" s="1" t="str">
        <f>VLOOKUP(Master8[[#This Row],[Province_RDC]],Client[],2,FALSE)</f>
        <v>CLI-00439</v>
      </c>
      <c r="N388" s="1">
        <f>VLOOKUP(Master8[[#This Row],[Province_RDC]],Client[],3,FALSE)</f>
        <v>40</v>
      </c>
      <c r="O388" s="1" t="str">
        <f>VLOOKUP(Master8[[#This Row],[Province_RDC]],Client[],4,FALSE)</f>
        <v>Premium 5G 150Go</v>
      </c>
      <c r="P388" s="1">
        <f>VLOOKUP(Master8[[#This Row],[Province_RDC]],Client[],5,FALSE)</f>
        <v>345</v>
      </c>
      <c r="Q388" s="1">
        <f>VLOOKUP(Master8[[#This Row],[Province_RDC]],Client[],6,FALSE)</f>
        <v>89.55</v>
      </c>
      <c r="R388" s="1">
        <f>VLOOKUP(Master8[[#This Row],[Province_RDC]],Client[],7,FALSE)</f>
        <v>3</v>
      </c>
      <c r="S388" s="1" t="str">
        <f>IF(Master8[[#This Row],[Type_Forfait]]="Pro Monde","B2B","B2C")</f>
        <v>B2C</v>
      </c>
      <c r="T388" s="1">
        <f>Master8[[#This Row],[Anciennete_Mois]]/12</f>
        <v>3.3333333333333335</v>
      </c>
      <c r="U388" s="1">
        <f>Master8[[#This Row],[Duree_Cumule_Panne_Min]]/60</f>
        <v>5.75</v>
      </c>
      <c r="V38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8" s="6">
        <f>Master8[[#This Row],[Facture_Mensuelle]]*Master8[[#This Row],[Remise]]</f>
        <v>40.297499999999999</v>
      </c>
    </row>
    <row r="389" spans="1:24" x14ac:dyDescent="0.25">
      <c r="A389" s="1" t="s">
        <v>1114</v>
      </c>
      <c r="B389" t="str">
        <f>IFERROR(VLOOKUP(Master8[[#This Row],[Cell_ID]],Registre_Maintenance[],2,FALSE),"")</f>
        <v>Haut-Uele</v>
      </c>
      <c r="C389" s="1" t="s">
        <v>1128</v>
      </c>
      <c r="D389" s="2">
        <v>45206.563888888893</v>
      </c>
      <c r="E389" s="3">
        <v>45206.563888888893</v>
      </c>
      <c r="F389">
        <v>37</v>
      </c>
      <c r="G389">
        <f>Master8[[#This Row],[Duree_Panne_Min]]/60</f>
        <v>0.6166666666666667</v>
      </c>
      <c r="H389" s="1" t="s">
        <v>732</v>
      </c>
      <c r="I389">
        <f>IFERROR(VLOOKUP(Master8[[#This Row],[Cell_ID]],Registre_Maintenance[],3,FALSE),"")</f>
        <v>0.20866199999999999</v>
      </c>
      <c r="J389">
        <f>IFERROR(VLOOKUP(Master8[[#This Row],[Cell_ID]],Registre_Maintenance[],4,FALSE),"")</f>
        <v>18.556439000000001</v>
      </c>
      <c r="K389" t="str">
        <f>IFERROR(VLOOKUP(Master8[[#This Row],[Cell_ID]],Registre_Maintenance[],5,FALSE),"")</f>
        <v>4G</v>
      </c>
      <c r="L389" t="str">
        <f>IFERROR(VLOOKUP(Master8[[#This Row],[Cell_ID]],Registre_Maintenance[],6,FALSE),"")</f>
        <v>Nokia</v>
      </c>
      <c r="M389" s="1" t="str">
        <f>VLOOKUP(Master8[[#This Row],[Province_RDC]],Client[],2,FALSE)</f>
        <v>CLI-00439</v>
      </c>
      <c r="N389" s="1">
        <f>VLOOKUP(Master8[[#This Row],[Province_RDC]],Client[],3,FALSE)</f>
        <v>40</v>
      </c>
      <c r="O389" s="1" t="str">
        <f>VLOOKUP(Master8[[#This Row],[Province_RDC]],Client[],4,FALSE)</f>
        <v>Premium 5G 150Go</v>
      </c>
      <c r="P389" s="1">
        <f>VLOOKUP(Master8[[#This Row],[Province_RDC]],Client[],5,FALSE)</f>
        <v>345</v>
      </c>
      <c r="Q389" s="1">
        <f>VLOOKUP(Master8[[#This Row],[Province_RDC]],Client[],6,FALSE)</f>
        <v>89.55</v>
      </c>
      <c r="R389" s="1">
        <f>VLOOKUP(Master8[[#This Row],[Province_RDC]],Client[],7,FALSE)</f>
        <v>3</v>
      </c>
      <c r="S389" s="1" t="str">
        <f>IF(Master8[[#This Row],[Type_Forfait]]="Pro Monde","B2B","B2C")</f>
        <v>B2C</v>
      </c>
      <c r="T389" s="1">
        <f>Master8[[#This Row],[Anciennete_Mois]]/12</f>
        <v>3.3333333333333335</v>
      </c>
      <c r="U389" s="1">
        <f>Master8[[#This Row],[Duree_Cumule_Panne_Min]]/60</f>
        <v>5.75</v>
      </c>
      <c r="V38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8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89" s="6">
        <f>Master8[[#This Row],[Facture_Mensuelle]]*Master8[[#This Row],[Remise]]</f>
        <v>40.297499999999999</v>
      </c>
    </row>
    <row r="390" spans="1:24" x14ac:dyDescent="0.25">
      <c r="A390" s="1" t="s">
        <v>1308</v>
      </c>
      <c r="B390" t="str">
        <f>IFERROR(VLOOKUP(Master8[[#This Row],[Cell_ID]],Registre_Maintenance[],2,FALSE),"")</f>
        <v>Haut-Uele</v>
      </c>
      <c r="C390" s="1" t="s">
        <v>1324</v>
      </c>
      <c r="D390" s="2">
        <v>45205.830555555563</v>
      </c>
      <c r="E390" s="3">
        <v>45205.830555555563</v>
      </c>
      <c r="F390">
        <v>52</v>
      </c>
      <c r="G390">
        <f>Master8[[#This Row],[Duree_Panne_Min]]/60</f>
        <v>0.8666666666666667</v>
      </c>
      <c r="H390" s="1" t="s">
        <v>732</v>
      </c>
      <c r="I390">
        <f>IFERROR(VLOOKUP(Master8[[#This Row],[Cell_ID]],Registre_Maintenance[],3,FALSE),"")</f>
        <v>-2.2199559999999998</v>
      </c>
      <c r="J390">
        <f>IFERROR(VLOOKUP(Master8[[#This Row],[Cell_ID]],Registre_Maintenance[],4,FALSE),"")</f>
        <v>22.614449</v>
      </c>
      <c r="K390" t="str">
        <f>IFERROR(VLOOKUP(Master8[[#This Row],[Cell_ID]],Registre_Maintenance[],5,FALSE),"")</f>
        <v>3G</v>
      </c>
      <c r="L390" t="str">
        <f>IFERROR(VLOOKUP(Master8[[#This Row],[Cell_ID]],Registre_Maintenance[],6,FALSE),"")</f>
        <v>Nokia</v>
      </c>
      <c r="M390" s="1" t="str">
        <f>VLOOKUP(Master8[[#This Row],[Province_RDC]],Client[],2,FALSE)</f>
        <v>CLI-00439</v>
      </c>
      <c r="N390" s="1">
        <f>VLOOKUP(Master8[[#This Row],[Province_RDC]],Client[],3,FALSE)</f>
        <v>40</v>
      </c>
      <c r="O390" s="1" t="str">
        <f>VLOOKUP(Master8[[#This Row],[Province_RDC]],Client[],4,FALSE)</f>
        <v>Premium 5G 150Go</v>
      </c>
      <c r="P390" s="1">
        <f>VLOOKUP(Master8[[#This Row],[Province_RDC]],Client[],5,FALSE)</f>
        <v>345</v>
      </c>
      <c r="Q390" s="1">
        <f>VLOOKUP(Master8[[#This Row],[Province_RDC]],Client[],6,FALSE)</f>
        <v>89.55</v>
      </c>
      <c r="R390" s="1">
        <f>VLOOKUP(Master8[[#This Row],[Province_RDC]],Client[],7,FALSE)</f>
        <v>3</v>
      </c>
      <c r="S390" s="1" t="str">
        <f>IF(Master8[[#This Row],[Type_Forfait]]="Pro Monde","B2B","B2C")</f>
        <v>B2C</v>
      </c>
      <c r="T390" s="1">
        <f>Master8[[#This Row],[Anciennete_Mois]]/12</f>
        <v>3.3333333333333335</v>
      </c>
      <c r="U390" s="1">
        <f>Master8[[#This Row],[Duree_Cumule_Panne_Min]]/60</f>
        <v>5.75</v>
      </c>
      <c r="V39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0" s="6">
        <f>Master8[[#This Row],[Facture_Mensuelle]]*Master8[[#This Row],[Remise]]</f>
        <v>40.297499999999999</v>
      </c>
    </row>
    <row r="391" spans="1:24" x14ac:dyDescent="0.25">
      <c r="A391" s="1" t="s">
        <v>1024</v>
      </c>
      <c r="B391" t="str">
        <f>IFERROR(VLOOKUP(Master8[[#This Row],[Cell_ID]],Registre_Maintenance[],2,FALSE),"")</f>
        <v>Haut-Uele</v>
      </c>
      <c r="C391" s="1" t="s">
        <v>1037</v>
      </c>
      <c r="D391" s="2">
        <v>45205.474305555559</v>
      </c>
      <c r="E391" s="3">
        <v>45205.474305555559</v>
      </c>
      <c r="F391">
        <v>25</v>
      </c>
      <c r="G391">
        <f>Master8[[#This Row],[Duree_Panne_Min]]/60</f>
        <v>0.41666666666666669</v>
      </c>
      <c r="H391" s="1" t="s">
        <v>732</v>
      </c>
      <c r="I391">
        <f>IFERROR(VLOOKUP(Master8[[#This Row],[Cell_ID]],Registre_Maintenance[],3,FALSE),"")</f>
        <v>-1.013558</v>
      </c>
      <c r="J391">
        <f>IFERROR(VLOOKUP(Master8[[#This Row],[Cell_ID]],Registre_Maintenance[],4,FALSE),"")</f>
        <v>17.346937</v>
      </c>
      <c r="K391" t="str">
        <f>IFERROR(VLOOKUP(Master8[[#This Row],[Cell_ID]],Registre_Maintenance[],5,FALSE),"")</f>
        <v>5G</v>
      </c>
      <c r="L391" t="str">
        <f>IFERROR(VLOOKUP(Master8[[#This Row],[Cell_ID]],Registre_Maintenance[],6,FALSE),"")</f>
        <v>Huawei</v>
      </c>
      <c r="M391" s="1" t="str">
        <f>VLOOKUP(Master8[[#This Row],[Province_RDC]],Client[],2,FALSE)</f>
        <v>CLI-00439</v>
      </c>
      <c r="N391" s="1">
        <f>VLOOKUP(Master8[[#This Row],[Province_RDC]],Client[],3,FALSE)</f>
        <v>40</v>
      </c>
      <c r="O391" s="1" t="str">
        <f>VLOOKUP(Master8[[#This Row],[Province_RDC]],Client[],4,FALSE)</f>
        <v>Premium 5G 150Go</v>
      </c>
      <c r="P391" s="1">
        <f>VLOOKUP(Master8[[#This Row],[Province_RDC]],Client[],5,FALSE)</f>
        <v>345</v>
      </c>
      <c r="Q391" s="1">
        <f>VLOOKUP(Master8[[#This Row],[Province_RDC]],Client[],6,FALSE)</f>
        <v>89.55</v>
      </c>
      <c r="R391" s="1">
        <f>VLOOKUP(Master8[[#This Row],[Province_RDC]],Client[],7,FALSE)</f>
        <v>3</v>
      </c>
      <c r="S391" s="1" t="str">
        <f>IF(Master8[[#This Row],[Type_Forfait]]="Pro Monde","B2B","B2C")</f>
        <v>B2C</v>
      </c>
      <c r="T391" s="1">
        <f>Master8[[#This Row],[Anciennete_Mois]]/12</f>
        <v>3.3333333333333335</v>
      </c>
      <c r="U391" s="1">
        <f>Master8[[#This Row],[Duree_Cumule_Panne_Min]]/60</f>
        <v>5.75</v>
      </c>
      <c r="V39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1" s="6">
        <f>Master8[[#This Row],[Facture_Mensuelle]]*Master8[[#This Row],[Remise]]</f>
        <v>40.297499999999999</v>
      </c>
    </row>
    <row r="392" spans="1:24" x14ac:dyDescent="0.25">
      <c r="A392" s="1" t="s">
        <v>999</v>
      </c>
      <c r="B392" t="str">
        <f>IFERROR(VLOOKUP(Master8[[#This Row],[Cell_ID]],Registre_Maintenance[],2,FALSE),"")</f>
        <v>Haut-Uele</v>
      </c>
      <c r="C392" s="1" t="s">
        <v>1012</v>
      </c>
      <c r="D392" s="2">
        <v>45204.986111111109</v>
      </c>
      <c r="E392" s="3">
        <v>45204.986111111109</v>
      </c>
      <c r="F392">
        <v>76</v>
      </c>
      <c r="G392">
        <f>Master8[[#This Row],[Duree_Panne_Min]]/60</f>
        <v>1.2666666666666666</v>
      </c>
      <c r="H392" s="1" t="s">
        <v>735</v>
      </c>
      <c r="I392">
        <f>IFERROR(VLOOKUP(Master8[[#This Row],[Cell_ID]],Registre_Maintenance[],3,FALSE),"")</f>
        <v>-4.869434</v>
      </c>
      <c r="J392">
        <f>IFERROR(VLOOKUP(Master8[[#This Row],[Cell_ID]],Registre_Maintenance[],4,FALSE),"")</f>
        <v>22.326522000000001</v>
      </c>
      <c r="K392" t="str">
        <f>IFERROR(VLOOKUP(Master8[[#This Row],[Cell_ID]],Registre_Maintenance[],5,FALSE),"")</f>
        <v>5G</v>
      </c>
      <c r="L392" t="str">
        <f>IFERROR(VLOOKUP(Master8[[#This Row],[Cell_ID]],Registre_Maintenance[],6,FALSE),"")</f>
        <v>Ericsson</v>
      </c>
      <c r="M392" s="1" t="str">
        <f>VLOOKUP(Master8[[#This Row],[Province_RDC]],Client[],2,FALSE)</f>
        <v>CLI-00439</v>
      </c>
      <c r="N392" s="1">
        <f>VLOOKUP(Master8[[#This Row],[Province_RDC]],Client[],3,FALSE)</f>
        <v>40</v>
      </c>
      <c r="O392" s="1" t="str">
        <f>VLOOKUP(Master8[[#This Row],[Province_RDC]],Client[],4,FALSE)</f>
        <v>Premium 5G 150Go</v>
      </c>
      <c r="P392" s="1">
        <f>VLOOKUP(Master8[[#This Row],[Province_RDC]],Client[],5,FALSE)</f>
        <v>345</v>
      </c>
      <c r="Q392" s="1">
        <f>VLOOKUP(Master8[[#This Row],[Province_RDC]],Client[],6,FALSE)</f>
        <v>89.55</v>
      </c>
      <c r="R392" s="1">
        <f>VLOOKUP(Master8[[#This Row],[Province_RDC]],Client[],7,FALSE)</f>
        <v>3</v>
      </c>
      <c r="S392" s="1" t="str">
        <f>IF(Master8[[#This Row],[Type_Forfait]]="Pro Monde","B2B","B2C")</f>
        <v>B2C</v>
      </c>
      <c r="T392" s="1">
        <f>Master8[[#This Row],[Anciennete_Mois]]/12</f>
        <v>3.3333333333333335</v>
      </c>
      <c r="U392" s="1">
        <f>Master8[[#This Row],[Duree_Cumule_Panne_Min]]/60</f>
        <v>5.75</v>
      </c>
      <c r="V39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2" s="6">
        <f>Master8[[#This Row],[Facture_Mensuelle]]*Master8[[#This Row],[Remise]]</f>
        <v>40.297499999999999</v>
      </c>
    </row>
    <row r="393" spans="1:24" x14ac:dyDescent="0.25">
      <c r="A393" s="1" t="s">
        <v>1193</v>
      </c>
      <c r="B393" t="str">
        <f>IFERROR(VLOOKUP(Master8[[#This Row],[Cell_ID]],Registre_Maintenance[],2,FALSE),"")</f>
        <v>Haut-Uele</v>
      </c>
      <c r="C393" s="1" t="s">
        <v>1202</v>
      </c>
      <c r="D393" s="2">
        <v>45202.804166666669</v>
      </c>
      <c r="E393" s="3">
        <v>45202.804166666669</v>
      </c>
      <c r="F393">
        <v>115</v>
      </c>
      <c r="G393">
        <f>Master8[[#This Row],[Duree_Panne_Min]]/60</f>
        <v>1.9166666666666667</v>
      </c>
      <c r="H393" s="1" t="s">
        <v>735</v>
      </c>
      <c r="I393">
        <f>IFERROR(VLOOKUP(Master8[[#This Row],[Cell_ID]],Registre_Maintenance[],3,FALSE),"")</f>
        <v>1.2391989999999999</v>
      </c>
      <c r="J393">
        <f>IFERROR(VLOOKUP(Master8[[#This Row],[Cell_ID]],Registre_Maintenance[],4,FALSE),"")</f>
        <v>15.386718999999999</v>
      </c>
      <c r="K393" t="str">
        <f>IFERROR(VLOOKUP(Master8[[#This Row],[Cell_ID]],Registre_Maintenance[],5,FALSE),"")</f>
        <v>5G</v>
      </c>
      <c r="L393" t="str">
        <f>IFERROR(VLOOKUP(Master8[[#This Row],[Cell_ID]],Registre_Maintenance[],6,FALSE),"")</f>
        <v>ZTE</v>
      </c>
      <c r="M393" s="1" t="str">
        <f>VLOOKUP(Master8[[#This Row],[Province_RDC]],Client[],2,FALSE)</f>
        <v>CLI-00439</v>
      </c>
      <c r="N393" s="1">
        <f>VLOOKUP(Master8[[#This Row],[Province_RDC]],Client[],3,FALSE)</f>
        <v>40</v>
      </c>
      <c r="O393" s="1" t="str">
        <f>VLOOKUP(Master8[[#This Row],[Province_RDC]],Client[],4,FALSE)</f>
        <v>Premium 5G 150Go</v>
      </c>
      <c r="P393" s="1">
        <f>VLOOKUP(Master8[[#This Row],[Province_RDC]],Client[],5,FALSE)</f>
        <v>345</v>
      </c>
      <c r="Q393" s="1">
        <f>VLOOKUP(Master8[[#This Row],[Province_RDC]],Client[],6,FALSE)</f>
        <v>89.55</v>
      </c>
      <c r="R393" s="1">
        <f>VLOOKUP(Master8[[#This Row],[Province_RDC]],Client[],7,FALSE)</f>
        <v>3</v>
      </c>
      <c r="S393" s="1" t="str">
        <f>IF(Master8[[#This Row],[Type_Forfait]]="Pro Monde","B2B","B2C")</f>
        <v>B2C</v>
      </c>
      <c r="T393" s="1">
        <f>Master8[[#This Row],[Anciennete_Mois]]/12</f>
        <v>3.3333333333333335</v>
      </c>
      <c r="U393" s="1">
        <f>Master8[[#This Row],[Duree_Cumule_Panne_Min]]/60</f>
        <v>5.75</v>
      </c>
      <c r="V39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3" s="6">
        <f>Master8[[#This Row],[Facture_Mensuelle]]*Master8[[#This Row],[Remise]]</f>
        <v>40.297499999999999</v>
      </c>
    </row>
    <row r="394" spans="1:24" x14ac:dyDescent="0.25">
      <c r="A394" s="1" t="s">
        <v>1138</v>
      </c>
      <c r="B394" t="str">
        <f>IFERROR(VLOOKUP(Master8[[#This Row],[Cell_ID]],Registre_Maintenance[],2,FALSE),"")</f>
        <v>Haut-Uele</v>
      </c>
      <c r="C394" s="1" t="s">
        <v>1139</v>
      </c>
      <c r="D394" s="2">
        <v>45202.529166666667</v>
      </c>
      <c r="E394" s="3">
        <v>45202.529166666667</v>
      </c>
      <c r="F394">
        <v>109</v>
      </c>
      <c r="G394">
        <f>Master8[[#This Row],[Duree_Panne_Min]]/60</f>
        <v>1.8166666666666667</v>
      </c>
      <c r="H394" s="1" t="s">
        <v>735</v>
      </c>
      <c r="I394">
        <f>IFERROR(VLOOKUP(Master8[[#This Row],[Cell_ID]],Registre_Maintenance[],3,FALSE),"")</f>
        <v>-7.1483749999999997</v>
      </c>
      <c r="J394">
        <f>IFERROR(VLOOKUP(Master8[[#This Row],[Cell_ID]],Registre_Maintenance[],4,FALSE),"")</f>
        <v>26.014271000000001</v>
      </c>
      <c r="K394" t="str">
        <f>IFERROR(VLOOKUP(Master8[[#This Row],[Cell_ID]],Registre_Maintenance[],5,FALSE),"")</f>
        <v>5G</v>
      </c>
      <c r="L394" t="str">
        <f>IFERROR(VLOOKUP(Master8[[#This Row],[Cell_ID]],Registre_Maintenance[],6,FALSE),"")</f>
        <v>Huawei</v>
      </c>
      <c r="M394" s="1" t="str">
        <f>VLOOKUP(Master8[[#This Row],[Province_RDC]],Client[],2,FALSE)</f>
        <v>CLI-00439</v>
      </c>
      <c r="N394" s="1">
        <f>VLOOKUP(Master8[[#This Row],[Province_RDC]],Client[],3,FALSE)</f>
        <v>40</v>
      </c>
      <c r="O394" s="1" t="str">
        <f>VLOOKUP(Master8[[#This Row],[Province_RDC]],Client[],4,FALSE)</f>
        <v>Premium 5G 150Go</v>
      </c>
      <c r="P394" s="1">
        <f>VLOOKUP(Master8[[#This Row],[Province_RDC]],Client[],5,FALSE)</f>
        <v>345</v>
      </c>
      <c r="Q394" s="1">
        <f>VLOOKUP(Master8[[#This Row],[Province_RDC]],Client[],6,FALSE)</f>
        <v>89.55</v>
      </c>
      <c r="R394" s="1">
        <f>VLOOKUP(Master8[[#This Row],[Province_RDC]],Client[],7,FALSE)</f>
        <v>3</v>
      </c>
      <c r="S394" s="1" t="str">
        <f>IF(Master8[[#This Row],[Type_Forfait]]="Pro Monde","B2B","B2C")</f>
        <v>B2C</v>
      </c>
      <c r="T394" s="1">
        <f>Master8[[#This Row],[Anciennete_Mois]]/12</f>
        <v>3.3333333333333335</v>
      </c>
      <c r="U394" s="1">
        <f>Master8[[#This Row],[Duree_Cumule_Panne_Min]]/60</f>
        <v>5.75</v>
      </c>
      <c r="V39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4" s="6">
        <f>Master8[[#This Row],[Facture_Mensuelle]]*Master8[[#This Row],[Remise]]</f>
        <v>40.297499999999999</v>
      </c>
    </row>
    <row r="395" spans="1:24" x14ac:dyDescent="0.25">
      <c r="A395" s="1" t="s">
        <v>1330</v>
      </c>
      <c r="B395" t="str">
        <f>IFERROR(VLOOKUP(Master8[[#This Row],[Cell_ID]],Registre_Maintenance[],2,FALSE),"")</f>
        <v>Haut-Lomami</v>
      </c>
      <c r="C395" s="1" t="s">
        <v>1337</v>
      </c>
      <c r="D395" s="2">
        <v>45227.297222222223</v>
      </c>
      <c r="E395" s="3">
        <v>45227.297222222223</v>
      </c>
      <c r="F395">
        <v>92</v>
      </c>
      <c r="G395">
        <f>Master8[[#This Row],[Duree_Panne_Min]]/60</f>
        <v>1.5333333333333334</v>
      </c>
      <c r="H395" s="1" t="s">
        <v>737</v>
      </c>
      <c r="I395">
        <f>IFERROR(VLOOKUP(Master8[[#This Row],[Cell_ID]],Registre_Maintenance[],3,FALSE),"")</f>
        <v>-5.5559329999999996</v>
      </c>
      <c r="J395">
        <f>IFERROR(VLOOKUP(Master8[[#This Row],[Cell_ID]],Registre_Maintenance[],4,FALSE),"")</f>
        <v>13.508692999999999</v>
      </c>
      <c r="K395" t="str">
        <f>IFERROR(VLOOKUP(Master8[[#This Row],[Cell_ID]],Registre_Maintenance[],5,FALSE),"")</f>
        <v>3G</v>
      </c>
      <c r="L395" t="str">
        <f>IFERROR(VLOOKUP(Master8[[#This Row],[Cell_ID]],Registre_Maintenance[],6,FALSE),"")</f>
        <v>Nokia</v>
      </c>
      <c r="M395" s="1" t="str">
        <f>VLOOKUP(Master8[[#This Row],[Province_RDC]],Client[],2,FALSE)</f>
        <v>CLI-01325</v>
      </c>
      <c r="N395" s="1">
        <f>VLOOKUP(Master8[[#This Row],[Province_RDC]],Client[],3,FALSE)</f>
        <v>44</v>
      </c>
      <c r="O395" s="1" t="str">
        <f>VLOOKUP(Master8[[#This Row],[Province_RDC]],Client[],4,FALSE)</f>
        <v>Bloqué 5Go</v>
      </c>
      <c r="P395" s="1">
        <f>VLOOKUP(Master8[[#This Row],[Province_RDC]],Client[],5,FALSE)</f>
        <v>348</v>
      </c>
      <c r="Q395" s="1">
        <f>VLOOKUP(Master8[[#This Row],[Province_RDC]],Client[],6,FALSE)</f>
        <v>58.67</v>
      </c>
      <c r="R395" s="1">
        <f>VLOOKUP(Master8[[#This Row],[Province_RDC]],Client[],7,FALSE)</f>
        <v>0</v>
      </c>
      <c r="S395" s="1" t="str">
        <f>IF(Master8[[#This Row],[Type_Forfait]]="Pro Monde","B2B","B2C")</f>
        <v>B2C</v>
      </c>
      <c r="T395" s="1">
        <f>Master8[[#This Row],[Anciennete_Mois]]/12</f>
        <v>3.6666666666666665</v>
      </c>
      <c r="U395" s="1">
        <f>Master8[[#This Row],[Duree_Cumule_Panne_Min]]/60</f>
        <v>5.8</v>
      </c>
      <c r="V39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5" s="6">
        <f>Master8[[#This Row],[Facture_Mensuelle]]*Master8[[#This Row],[Remise]]</f>
        <v>26.401500000000002</v>
      </c>
    </row>
    <row r="396" spans="1:24" x14ac:dyDescent="0.25">
      <c r="A396" s="1" t="s">
        <v>1404</v>
      </c>
      <c r="B396" t="str">
        <f>IFERROR(VLOOKUP(Master8[[#This Row],[Cell_ID]],Registre_Maintenance[],2,FALSE),"")</f>
        <v>Haut-Lomami</v>
      </c>
      <c r="C396" s="1" t="s">
        <v>1411</v>
      </c>
      <c r="D396" s="2">
        <v>45225.888194444437</v>
      </c>
      <c r="E396" s="3">
        <v>45225.888194444437</v>
      </c>
      <c r="F396">
        <v>87</v>
      </c>
      <c r="G396">
        <f>Master8[[#This Row],[Duree_Panne_Min]]/60</f>
        <v>1.45</v>
      </c>
      <c r="H396" s="1" t="s">
        <v>737</v>
      </c>
      <c r="I396">
        <f>IFERROR(VLOOKUP(Master8[[#This Row],[Cell_ID]],Registre_Maintenance[],3,FALSE),"")</f>
        <v>-5.8145569999999998</v>
      </c>
      <c r="J396">
        <f>IFERROR(VLOOKUP(Master8[[#This Row],[Cell_ID]],Registre_Maintenance[],4,FALSE),"")</f>
        <v>21.942052</v>
      </c>
      <c r="K396" t="str">
        <f>IFERROR(VLOOKUP(Master8[[#This Row],[Cell_ID]],Registre_Maintenance[],5,FALSE),"")</f>
        <v>5G</v>
      </c>
      <c r="L396" t="str">
        <f>IFERROR(VLOOKUP(Master8[[#This Row],[Cell_ID]],Registre_Maintenance[],6,FALSE),"")</f>
        <v>Huawei</v>
      </c>
      <c r="M396" s="1" t="str">
        <f>VLOOKUP(Master8[[#This Row],[Province_RDC]],Client[],2,FALSE)</f>
        <v>CLI-01325</v>
      </c>
      <c r="N396" s="1">
        <f>VLOOKUP(Master8[[#This Row],[Province_RDC]],Client[],3,FALSE)</f>
        <v>44</v>
      </c>
      <c r="O396" s="1" t="str">
        <f>VLOOKUP(Master8[[#This Row],[Province_RDC]],Client[],4,FALSE)</f>
        <v>Bloqué 5Go</v>
      </c>
      <c r="P396" s="1">
        <f>VLOOKUP(Master8[[#This Row],[Province_RDC]],Client[],5,FALSE)</f>
        <v>348</v>
      </c>
      <c r="Q396" s="1">
        <f>VLOOKUP(Master8[[#This Row],[Province_RDC]],Client[],6,FALSE)</f>
        <v>58.67</v>
      </c>
      <c r="R396" s="1">
        <f>VLOOKUP(Master8[[#This Row],[Province_RDC]],Client[],7,FALSE)</f>
        <v>0</v>
      </c>
      <c r="S396" s="1" t="str">
        <f>IF(Master8[[#This Row],[Type_Forfait]]="Pro Monde","B2B","B2C")</f>
        <v>B2C</v>
      </c>
      <c r="T396" s="1">
        <f>Master8[[#This Row],[Anciennete_Mois]]/12</f>
        <v>3.6666666666666665</v>
      </c>
      <c r="U396" s="1">
        <f>Master8[[#This Row],[Duree_Cumule_Panne_Min]]/60</f>
        <v>5.8</v>
      </c>
      <c r="V39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6" s="6">
        <f>Master8[[#This Row],[Facture_Mensuelle]]*Master8[[#This Row],[Remise]]</f>
        <v>26.401500000000002</v>
      </c>
    </row>
    <row r="397" spans="1:24" x14ac:dyDescent="0.25">
      <c r="A397" s="1" t="s">
        <v>1059</v>
      </c>
      <c r="B397" t="str">
        <f>IFERROR(VLOOKUP(Master8[[#This Row],[Cell_ID]],Registre_Maintenance[],2,FALSE),"")</f>
        <v>Haut-Lomami</v>
      </c>
      <c r="C397" s="1" t="s">
        <v>1032</v>
      </c>
      <c r="D397" s="2">
        <v>45225.288888888892</v>
      </c>
      <c r="E397" s="3">
        <v>45225.288888888892</v>
      </c>
      <c r="F397">
        <v>89</v>
      </c>
      <c r="G397">
        <f>Master8[[#This Row],[Duree_Panne_Min]]/60</f>
        <v>1.4833333333333334</v>
      </c>
      <c r="H397" s="1" t="s">
        <v>732</v>
      </c>
      <c r="I397">
        <f>IFERROR(VLOOKUP(Master8[[#This Row],[Cell_ID]],Registre_Maintenance[],3,FALSE),"")</f>
        <v>0.16327700000000001</v>
      </c>
      <c r="J397">
        <f>IFERROR(VLOOKUP(Master8[[#This Row],[Cell_ID]],Registre_Maintenance[],4,FALSE),"")</f>
        <v>14.871577</v>
      </c>
      <c r="K397" t="str">
        <f>IFERROR(VLOOKUP(Master8[[#This Row],[Cell_ID]],Registre_Maintenance[],5,FALSE),"")</f>
        <v>4G</v>
      </c>
      <c r="L397" t="str">
        <f>IFERROR(VLOOKUP(Master8[[#This Row],[Cell_ID]],Registre_Maintenance[],6,FALSE),"")</f>
        <v>Huawei</v>
      </c>
      <c r="M397" s="1" t="str">
        <f>VLOOKUP(Master8[[#This Row],[Province_RDC]],Client[],2,FALSE)</f>
        <v>CLI-01325</v>
      </c>
      <c r="N397" s="1">
        <f>VLOOKUP(Master8[[#This Row],[Province_RDC]],Client[],3,FALSE)</f>
        <v>44</v>
      </c>
      <c r="O397" s="1" t="str">
        <f>VLOOKUP(Master8[[#This Row],[Province_RDC]],Client[],4,FALSE)</f>
        <v>Bloqué 5Go</v>
      </c>
      <c r="P397" s="1">
        <f>VLOOKUP(Master8[[#This Row],[Province_RDC]],Client[],5,FALSE)</f>
        <v>348</v>
      </c>
      <c r="Q397" s="1">
        <f>VLOOKUP(Master8[[#This Row],[Province_RDC]],Client[],6,FALSE)</f>
        <v>58.67</v>
      </c>
      <c r="R397" s="1">
        <f>VLOOKUP(Master8[[#This Row],[Province_RDC]],Client[],7,FALSE)</f>
        <v>0</v>
      </c>
      <c r="S397" s="1" t="str">
        <f>IF(Master8[[#This Row],[Type_Forfait]]="Pro Monde","B2B","B2C")</f>
        <v>B2C</v>
      </c>
      <c r="T397" s="1">
        <f>Master8[[#This Row],[Anciennete_Mois]]/12</f>
        <v>3.6666666666666665</v>
      </c>
      <c r="U397" s="1">
        <f>Master8[[#This Row],[Duree_Cumule_Panne_Min]]/60</f>
        <v>5.8</v>
      </c>
      <c r="V39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7" s="6">
        <f>Master8[[#This Row],[Facture_Mensuelle]]*Master8[[#This Row],[Remise]]</f>
        <v>26.401500000000002</v>
      </c>
    </row>
    <row r="398" spans="1:24" x14ac:dyDescent="0.25">
      <c r="A398" s="1" t="s">
        <v>1361</v>
      </c>
      <c r="B398" t="str">
        <f>IFERROR(VLOOKUP(Master8[[#This Row],[Cell_ID]],Registre_Maintenance[],2,FALSE),"")</f>
        <v>Haut-Lomami</v>
      </c>
      <c r="C398" s="1" t="s">
        <v>1378</v>
      </c>
      <c r="D398" s="2">
        <v>45222.943749999999</v>
      </c>
      <c r="E398" s="3">
        <v>45222.943749999999</v>
      </c>
      <c r="F398">
        <v>114</v>
      </c>
      <c r="G398">
        <f>Master8[[#This Row],[Duree_Panne_Min]]/60</f>
        <v>1.9</v>
      </c>
      <c r="H398" s="1" t="s">
        <v>732</v>
      </c>
      <c r="I398">
        <f>IFERROR(VLOOKUP(Master8[[#This Row],[Cell_ID]],Registre_Maintenance[],3,FALSE),"")</f>
        <v>-9.6407190000000007</v>
      </c>
      <c r="J398">
        <f>IFERROR(VLOOKUP(Master8[[#This Row],[Cell_ID]],Registre_Maintenance[],4,FALSE),"")</f>
        <v>21.336704999999998</v>
      </c>
      <c r="K398" t="str">
        <f>IFERROR(VLOOKUP(Master8[[#This Row],[Cell_ID]],Registre_Maintenance[],5,FALSE),"")</f>
        <v>4G</v>
      </c>
      <c r="L398" t="str">
        <f>IFERROR(VLOOKUP(Master8[[#This Row],[Cell_ID]],Registre_Maintenance[],6,FALSE),"")</f>
        <v>ZTE</v>
      </c>
      <c r="M398" s="1" t="str">
        <f>VLOOKUP(Master8[[#This Row],[Province_RDC]],Client[],2,FALSE)</f>
        <v>CLI-01325</v>
      </c>
      <c r="N398" s="1">
        <f>VLOOKUP(Master8[[#This Row],[Province_RDC]],Client[],3,FALSE)</f>
        <v>44</v>
      </c>
      <c r="O398" s="1" t="str">
        <f>VLOOKUP(Master8[[#This Row],[Province_RDC]],Client[],4,FALSE)</f>
        <v>Bloqué 5Go</v>
      </c>
      <c r="P398" s="1">
        <f>VLOOKUP(Master8[[#This Row],[Province_RDC]],Client[],5,FALSE)</f>
        <v>348</v>
      </c>
      <c r="Q398" s="1">
        <f>VLOOKUP(Master8[[#This Row],[Province_RDC]],Client[],6,FALSE)</f>
        <v>58.67</v>
      </c>
      <c r="R398" s="1">
        <f>VLOOKUP(Master8[[#This Row],[Province_RDC]],Client[],7,FALSE)</f>
        <v>0</v>
      </c>
      <c r="S398" s="1" t="str">
        <f>IF(Master8[[#This Row],[Type_Forfait]]="Pro Monde","B2B","B2C")</f>
        <v>B2C</v>
      </c>
      <c r="T398" s="1">
        <f>Master8[[#This Row],[Anciennete_Mois]]/12</f>
        <v>3.6666666666666665</v>
      </c>
      <c r="U398" s="1">
        <f>Master8[[#This Row],[Duree_Cumule_Panne_Min]]/60</f>
        <v>5.8</v>
      </c>
      <c r="V39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8" s="6">
        <f>Master8[[#This Row],[Facture_Mensuelle]]*Master8[[#This Row],[Remise]]</f>
        <v>26.401500000000002</v>
      </c>
    </row>
    <row r="399" spans="1:24" x14ac:dyDescent="0.25">
      <c r="A399" s="1" t="s">
        <v>1261</v>
      </c>
      <c r="B399" t="str">
        <f>IFERROR(VLOOKUP(Master8[[#This Row],[Cell_ID]],Registre_Maintenance[],2,FALSE),"")</f>
        <v>Haut-Lomami</v>
      </c>
      <c r="C399" s="1" t="s">
        <v>1271</v>
      </c>
      <c r="D399" s="2">
        <v>45222.777777777781</v>
      </c>
      <c r="E399" s="3">
        <v>45222.777777777781</v>
      </c>
      <c r="F399">
        <v>102</v>
      </c>
      <c r="G399">
        <f>Master8[[#This Row],[Duree_Panne_Min]]/60</f>
        <v>1.7</v>
      </c>
      <c r="H399" s="1" t="s">
        <v>737</v>
      </c>
      <c r="I399">
        <f>IFERROR(VLOOKUP(Master8[[#This Row],[Cell_ID]],Registre_Maintenance[],3,FALSE),"")</f>
        <v>-1.3938550000000001</v>
      </c>
      <c r="J399">
        <f>IFERROR(VLOOKUP(Master8[[#This Row],[Cell_ID]],Registre_Maintenance[],4,FALSE),"")</f>
        <v>15.097554000000001</v>
      </c>
      <c r="K399" t="str">
        <f>IFERROR(VLOOKUP(Master8[[#This Row],[Cell_ID]],Registre_Maintenance[],5,FALSE),"")</f>
        <v>4G</v>
      </c>
      <c r="L399" t="str">
        <f>IFERROR(VLOOKUP(Master8[[#This Row],[Cell_ID]],Registre_Maintenance[],6,FALSE),"")</f>
        <v>Huawei</v>
      </c>
      <c r="M399" s="1" t="str">
        <f>VLOOKUP(Master8[[#This Row],[Province_RDC]],Client[],2,FALSE)</f>
        <v>CLI-01325</v>
      </c>
      <c r="N399" s="1">
        <f>VLOOKUP(Master8[[#This Row],[Province_RDC]],Client[],3,FALSE)</f>
        <v>44</v>
      </c>
      <c r="O399" s="1" t="str">
        <f>VLOOKUP(Master8[[#This Row],[Province_RDC]],Client[],4,FALSE)</f>
        <v>Bloqué 5Go</v>
      </c>
      <c r="P399" s="1">
        <f>VLOOKUP(Master8[[#This Row],[Province_RDC]],Client[],5,FALSE)</f>
        <v>348</v>
      </c>
      <c r="Q399" s="1">
        <f>VLOOKUP(Master8[[#This Row],[Province_RDC]],Client[],6,FALSE)</f>
        <v>58.67</v>
      </c>
      <c r="R399" s="1">
        <f>VLOOKUP(Master8[[#This Row],[Province_RDC]],Client[],7,FALSE)</f>
        <v>0</v>
      </c>
      <c r="S399" s="1" t="str">
        <f>IF(Master8[[#This Row],[Type_Forfait]]="Pro Monde","B2B","B2C")</f>
        <v>B2C</v>
      </c>
      <c r="T399" s="1">
        <f>Master8[[#This Row],[Anciennete_Mois]]/12</f>
        <v>3.6666666666666665</v>
      </c>
      <c r="U399" s="1">
        <f>Master8[[#This Row],[Duree_Cumule_Panne_Min]]/60</f>
        <v>5.8</v>
      </c>
      <c r="V39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39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399" s="6">
        <f>Master8[[#This Row],[Facture_Mensuelle]]*Master8[[#This Row],[Remise]]</f>
        <v>26.401500000000002</v>
      </c>
    </row>
    <row r="400" spans="1:24" x14ac:dyDescent="0.25">
      <c r="A400" s="1" t="s">
        <v>1361</v>
      </c>
      <c r="B400" t="str">
        <f>IFERROR(VLOOKUP(Master8[[#This Row],[Cell_ID]],Registre_Maintenance[],2,FALSE),"")</f>
        <v>Haut-Lomami</v>
      </c>
      <c r="C400" s="1" t="s">
        <v>1271</v>
      </c>
      <c r="D400" s="2">
        <v>45220.222916666673</v>
      </c>
      <c r="E400" s="3">
        <v>45220.222916666673</v>
      </c>
      <c r="F400">
        <v>65</v>
      </c>
      <c r="G400">
        <f>Master8[[#This Row],[Duree_Panne_Min]]/60</f>
        <v>1.0833333333333333</v>
      </c>
      <c r="H400" s="1" t="s">
        <v>737</v>
      </c>
      <c r="I400">
        <f>IFERROR(VLOOKUP(Master8[[#This Row],[Cell_ID]],Registre_Maintenance[],3,FALSE),"")</f>
        <v>-1.3938550000000001</v>
      </c>
      <c r="J400">
        <f>IFERROR(VLOOKUP(Master8[[#This Row],[Cell_ID]],Registre_Maintenance[],4,FALSE),"")</f>
        <v>15.097554000000001</v>
      </c>
      <c r="K400" t="str">
        <f>IFERROR(VLOOKUP(Master8[[#This Row],[Cell_ID]],Registre_Maintenance[],5,FALSE),"")</f>
        <v>4G</v>
      </c>
      <c r="L400" t="str">
        <f>IFERROR(VLOOKUP(Master8[[#This Row],[Cell_ID]],Registre_Maintenance[],6,FALSE),"")</f>
        <v>Huawei</v>
      </c>
      <c r="M400" s="1" t="str">
        <f>VLOOKUP(Master8[[#This Row],[Province_RDC]],Client[],2,FALSE)</f>
        <v>CLI-01325</v>
      </c>
      <c r="N400" s="1">
        <f>VLOOKUP(Master8[[#This Row],[Province_RDC]],Client[],3,FALSE)</f>
        <v>44</v>
      </c>
      <c r="O400" s="1" t="str">
        <f>VLOOKUP(Master8[[#This Row],[Province_RDC]],Client[],4,FALSE)</f>
        <v>Bloqué 5Go</v>
      </c>
      <c r="P400" s="1">
        <f>VLOOKUP(Master8[[#This Row],[Province_RDC]],Client[],5,FALSE)</f>
        <v>348</v>
      </c>
      <c r="Q400" s="1">
        <f>VLOOKUP(Master8[[#This Row],[Province_RDC]],Client[],6,FALSE)</f>
        <v>58.67</v>
      </c>
      <c r="R400" s="1">
        <f>VLOOKUP(Master8[[#This Row],[Province_RDC]],Client[],7,FALSE)</f>
        <v>0</v>
      </c>
      <c r="S400" s="1" t="str">
        <f>IF(Master8[[#This Row],[Type_Forfait]]="Pro Monde","B2B","B2C")</f>
        <v>B2C</v>
      </c>
      <c r="T400" s="1">
        <f>Master8[[#This Row],[Anciennete_Mois]]/12</f>
        <v>3.6666666666666665</v>
      </c>
      <c r="U400" s="1">
        <f>Master8[[#This Row],[Duree_Cumule_Panne_Min]]/60</f>
        <v>5.8</v>
      </c>
      <c r="V40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0" s="6">
        <f>Master8[[#This Row],[Facture_Mensuelle]]*Master8[[#This Row],[Remise]]</f>
        <v>26.401500000000002</v>
      </c>
    </row>
    <row r="401" spans="1:24" x14ac:dyDescent="0.25">
      <c r="A401" s="1" t="s">
        <v>1114</v>
      </c>
      <c r="B401" t="str">
        <f>IFERROR(VLOOKUP(Master8[[#This Row],[Cell_ID]],Registre_Maintenance[],2,FALSE),"")</f>
        <v>Haut-Lomami</v>
      </c>
      <c r="C401" s="1" t="s">
        <v>1134</v>
      </c>
      <c r="D401" s="2">
        <v>45217.384722222218</v>
      </c>
      <c r="E401" s="3">
        <v>45217.384722222218</v>
      </c>
      <c r="F401">
        <v>99</v>
      </c>
      <c r="G401">
        <f>Master8[[#This Row],[Duree_Panne_Min]]/60</f>
        <v>1.65</v>
      </c>
      <c r="H401" s="1" t="s">
        <v>735</v>
      </c>
      <c r="I401">
        <f>IFERROR(VLOOKUP(Master8[[#This Row],[Cell_ID]],Registre_Maintenance[],3,FALSE),"")</f>
        <v>-4.8157019999999999</v>
      </c>
      <c r="J401">
        <f>IFERROR(VLOOKUP(Master8[[#This Row],[Cell_ID]],Registre_Maintenance[],4,FALSE),"")</f>
        <v>27.679798000000002</v>
      </c>
      <c r="K401" t="str">
        <f>IFERROR(VLOOKUP(Master8[[#This Row],[Cell_ID]],Registre_Maintenance[],5,FALSE),"")</f>
        <v>3G</v>
      </c>
      <c r="L401" t="str">
        <f>IFERROR(VLOOKUP(Master8[[#This Row],[Cell_ID]],Registre_Maintenance[],6,FALSE),"")</f>
        <v>Ericsson</v>
      </c>
      <c r="M401" s="1" t="str">
        <f>VLOOKUP(Master8[[#This Row],[Province_RDC]],Client[],2,FALSE)</f>
        <v>CLI-01325</v>
      </c>
      <c r="N401" s="1">
        <f>VLOOKUP(Master8[[#This Row],[Province_RDC]],Client[],3,FALSE)</f>
        <v>44</v>
      </c>
      <c r="O401" s="1" t="str">
        <f>VLOOKUP(Master8[[#This Row],[Province_RDC]],Client[],4,FALSE)</f>
        <v>Bloqué 5Go</v>
      </c>
      <c r="P401" s="1">
        <f>VLOOKUP(Master8[[#This Row],[Province_RDC]],Client[],5,FALSE)</f>
        <v>348</v>
      </c>
      <c r="Q401" s="1">
        <f>VLOOKUP(Master8[[#This Row],[Province_RDC]],Client[],6,FALSE)</f>
        <v>58.67</v>
      </c>
      <c r="R401" s="1">
        <f>VLOOKUP(Master8[[#This Row],[Province_RDC]],Client[],7,FALSE)</f>
        <v>0</v>
      </c>
      <c r="S401" s="1" t="str">
        <f>IF(Master8[[#This Row],[Type_Forfait]]="Pro Monde","B2B","B2C")</f>
        <v>B2C</v>
      </c>
      <c r="T401" s="1">
        <f>Master8[[#This Row],[Anciennete_Mois]]/12</f>
        <v>3.6666666666666665</v>
      </c>
      <c r="U401" s="1">
        <f>Master8[[#This Row],[Duree_Cumule_Panne_Min]]/60</f>
        <v>5.8</v>
      </c>
      <c r="V40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1" s="6">
        <f>Master8[[#This Row],[Facture_Mensuelle]]*Master8[[#This Row],[Remise]]</f>
        <v>26.401500000000002</v>
      </c>
    </row>
    <row r="402" spans="1:24" x14ac:dyDescent="0.25">
      <c r="A402" s="1" t="s">
        <v>902</v>
      </c>
      <c r="B402" t="str">
        <f>IFERROR(VLOOKUP(Master8[[#This Row],[Cell_ID]],Registre_Maintenance[],2,FALSE),"")</f>
        <v>Haut-Lomami</v>
      </c>
      <c r="C402" s="1" t="s">
        <v>923</v>
      </c>
      <c r="D402" s="2">
        <v>45214.943055555559</v>
      </c>
      <c r="E402" s="3">
        <v>45214.943055555559</v>
      </c>
      <c r="F402">
        <v>16</v>
      </c>
      <c r="G402">
        <f>Master8[[#This Row],[Duree_Panne_Min]]/60</f>
        <v>0.26666666666666666</v>
      </c>
      <c r="H402" s="1" t="s">
        <v>732</v>
      </c>
      <c r="I402">
        <f>IFERROR(VLOOKUP(Master8[[#This Row],[Cell_ID]],Registre_Maintenance[],3,FALSE),"")</f>
        <v>1.210869</v>
      </c>
      <c r="J402">
        <f>IFERROR(VLOOKUP(Master8[[#This Row],[Cell_ID]],Registre_Maintenance[],4,FALSE),"")</f>
        <v>25.598741</v>
      </c>
      <c r="K402" t="str">
        <f>IFERROR(VLOOKUP(Master8[[#This Row],[Cell_ID]],Registre_Maintenance[],5,FALSE),"")</f>
        <v>4G</v>
      </c>
      <c r="L402" t="str">
        <f>IFERROR(VLOOKUP(Master8[[#This Row],[Cell_ID]],Registre_Maintenance[],6,FALSE),"")</f>
        <v>Ericsson</v>
      </c>
      <c r="M402" s="1" t="str">
        <f>VLOOKUP(Master8[[#This Row],[Province_RDC]],Client[],2,FALSE)</f>
        <v>CLI-01325</v>
      </c>
      <c r="N402" s="1">
        <f>VLOOKUP(Master8[[#This Row],[Province_RDC]],Client[],3,FALSE)</f>
        <v>44</v>
      </c>
      <c r="O402" s="1" t="str">
        <f>VLOOKUP(Master8[[#This Row],[Province_RDC]],Client[],4,FALSE)</f>
        <v>Bloqué 5Go</v>
      </c>
      <c r="P402" s="1">
        <f>VLOOKUP(Master8[[#This Row],[Province_RDC]],Client[],5,FALSE)</f>
        <v>348</v>
      </c>
      <c r="Q402" s="1">
        <f>VLOOKUP(Master8[[#This Row],[Province_RDC]],Client[],6,FALSE)</f>
        <v>58.67</v>
      </c>
      <c r="R402" s="1">
        <f>VLOOKUP(Master8[[#This Row],[Province_RDC]],Client[],7,FALSE)</f>
        <v>0</v>
      </c>
      <c r="S402" s="1" t="str">
        <f>IF(Master8[[#This Row],[Type_Forfait]]="Pro Monde","B2B","B2C")</f>
        <v>B2C</v>
      </c>
      <c r="T402" s="1">
        <f>Master8[[#This Row],[Anciennete_Mois]]/12</f>
        <v>3.6666666666666665</v>
      </c>
      <c r="U402" s="1">
        <f>Master8[[#This Row],[Duree_Cumule_Panne_Min]]/60</f>
        <v>5.8</v>
      </c>
      <c r="V40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2" s="6">
        <f>Master8[[#This Row],[Facture_Mensuelle]]*Master8[[#This Row],[Remise]]</f>
        <v>26.401500000000002</v>
      </c>
    </row>
    <row r="403" spans="1:24" x14ac:dyDescent="0.25">
      <c r="A403" s="1" t="s">
        <v>1308</v>
      </c>
      <c r="B403" t="str">
        <f>IFERROR(VLOOKUP(Master8[[#This Row],[Cell_ID]],Registre_Maintenance[],2,FALSE),"")</f>
        <v>Haut-Lomami</v>
      </c>
      <c r="C403" s="1" t="s">
        <v>1325</v>
      </c>
      <c r="D403" s="2">
        <v>45213.210416666669</v>
      </c>
      <c r="E403" s="3">
        <v>45213.210416666669</v>
      </c>
      <c r="F403">
        <v>28</v>
      </c>
      <c r="G403">
        <f>Master8[[#This Row],[Duree_Panne_Min]]/60</f>
        <v>0.46666666666666667</v>
      </c>
      <c r="H403" s="1" t="s">
        <v>737</v>
      </c>
      <c r="I403">
        <f>IFERROR(VLOOKUP(Master8[[#This Row],[Cell_ID]],Registre_Maintenance[],3,FALSE),"")</f>
        <v>-3.1608390000000002</v>
      </c>
      <c r="J403">
        <f>IFERROR(VLOOKUP(Master8[[#This Row],[Cell_ID]],Registre_Maintenance[],4,FALSE),"")</f>
        <v>13.244503999999999</v>
      </c>
      <c r="K403" t="str">
        <f>IFERROR(VLOOKUP(Master8[[#This Row],[Cell_ID]],Registre_Maintenance[],5,FALSE),"")</f>
        <v>3G</v>
      </c>
      <c r="L403" t="str">
        <f>IFERROR(VLOOKUP(Master8[[#This Row],[Cell_ID]],Registre_Maintenance[],6,FALSE),"")</f>
        <v>Huawei</v>
      </c>
      <c r="M403" s="1" t="str">
        <f>VLOOKUP(Master8[[#This Row],[Province_RDC]],Client[],2,FALSE)</f>
        <v>CLI-01325</v>
      </c>
      <c r="N403" s="1">
        <f>VLOOKUP(Master8[[#This Row],[Province_RDC]],Client[],3,FALSE)</f>
        <v>44</v>
      </c>
      <c r="O403" s="1" t="str">
        <f>VLOOKUP(Master8[[#This Row],[Province_RDC]],Client[],4,FALSE)</f>
        <v>Bloqué 5Go</v>
      </c>
      <c r="P403" s="1">
        <f>VLOOKUP(Master8[[#This Row],[Province_RDC]],Client[],5,FALSE)</f>
        <v>348</v>
      </c>
      <c r="Q403" s="1">
        <f>VLOOKUP(Master8[[#This Row],[Province_RDC]],Client[],6,FALSE)</f>
        <v>58.67</v>
      </c>
      <c r="R403" s="1">
        <f>VLOOKUP(Master8[[#This Row],[Province_RDC]],Client[],7,FALSE)</f>
        <v>0</v>
      </c>
      <c r="S403" s="1" t="str">
        <f>IF(Master8[[#This Row],[Type_Forfait]]="Pro Monde","B2B","B2C")</f>
        <v>B2C</v>
      </c>
      <c r="T403" s="1">
        <f>Master8[[#This Row],[Anciennete_Mois]]/12</f>
        <v>3.6666666666666665</v>
      </c>
      <c r="U403" s="1">
        <f>Master8[[#This Row],[Duree_Cumule_Panne_Min]]/60</f>
        <v>5.8</v>
      </c>
      <c r="V40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3" s="6">
        <f>Master8[[#This Row],[Facture_Mensuelle]]*Master8[[#This Row],[Remise]]</f>
        <v>26.401500000000002</v>
      </c>
    </row>
    <row r="404" spans="1:24" x14ac:dyDescent="0.25">
      <c r="A404" s="1" t="s">
        <v>1086</v>
      </c>
      <c r="B404" t="str">
        <f>IFERROR(VLOOKUP(Master8[[#This Row],[Cell_ID]],Registre_Maintenance[],2,FALSE),"")</f>
        <v>Haut-Lomami</v>
      </c>
      <c r="C404" s="1" t="s">
        <v>923</v>
      </c>
      <c r="D404" s="2">
        <v>45210.926388888889</v>
      </c>
      <c r="E404" s="3">
        <v>45210.926388888889</v>
      </c>
      <c r="F404">
        <v>45</v>
      </c>
      <c r="G404">
        <f>Master8[[#This Row],[Duree_Panne_Min]]/60</f>
        <v>0.75</v>
      </c>
      <c r="H404" s="1" t="s">
        <v>735</v>
      </c>
      <c r="I404">
        <f>IFERROR(VLOOKUP(Master8[[#This Row],[Cell_ID]],Registre_Maintenance[],3,FALSE),"")</f>
        <v>1.210869</v>
      </c>
      <c r="J404">
        <f>IFERROR(VLOOKUP(Master8[[#This Row],[Cell_ID]],Registre_Maintenance[],4,FALSE),"")</f>
        <v>25.598741</v>
      </c>
      <c r="K404" t="str">
        <f>IFERROR(VLOOKUP(Master8[[#This Row],[Cell_ID]],Registre_Maintenance[],5,FALSE),"")</f>
        <v>4G</v>
      </c>
      <c r="L404" t="str">
        <f>IFERROR(VLOOKUP(Master8[[#This Row],[Cell_ID]],Registre_Maintenance[],6,FALSE),"")</f>
        <v>Ericsson</v>
      </c>
      <c r="M404" s="1" t="str">
        <f>VLOOKUP(Master8[[#This Row],[Province_RDC]],Client[],2,FALSE)</f>
        <v>CLI-01325</v>
      </c>
      <c r="N404" s="1">
        <f>VLOOKUP(Master8[[#This Row],[Province_RDC]],Client[],3,FALSE)</f>
        <v>44</v>
      </c>
      <c r="O404" s="1" t="str">
        <f>VLOOKUP(Master8[[#This Row],[Province_RDC]],Client[],4,FALSE)</f>
        <v>Bloqué 5Go</v>
      </c>
      <c r="P404" s="1">
        <f>VLOOKUP(Master8[[#This Row],[Province_RDC]],Client[],5,FALSE)</f>
        <v>348</v>
      </c>
      <c r="Q404" s="1">
        <f>VLOOKUP(Master8[[#This Row],[Province_RDC]],Client[],6,FALSE)</f>
        <v>58.67</v>
      </c>
      <c r="R404" s="1">
        <f>VLOOKUP(Master8[[#This Row],[Province_RDC]],Client[],7,FALSE)</f>
        <v>0</v>
      </c>
      <c r="S404" s="1" t="str">
        <f>IF(Master8[[#This Row],[Type_Forfait]]="Pro Monde","B2B","B2C")</f>
        <v>B2C</v>
      </c>
      <c r="T404" s="1">
        <f>Master8[[#This Row],[Anciennete_Mois]]/12</f>
        <v>3.6666666666666665</v>
      </c>
      <c r="U404" s="1">
        <f>Master8[[#This Row],[Duree_Cumule_Panne_Min]]/60</f>
        <v>5.8</v>
      </c>
      <c r="V40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4" s="6">
        <f>Master8[[#This Row],[Facture_Mensuelle]]*Master8[[#This Row],[Remise]]</f>
        <v>26.401500000000002</v>
      </c>
    </row>
    <row r="405" spans="1:24" x14ac:dyDescent="0.25">
      <c r="A405" s="1" t="s">
        <v>999</v>
      </c>
      <c r="B405" t="str">
        <f>IFERROR(VLOOKUP(Master8[[#This Row],[Cell_ID]],Registre_Maintenance[],2,FALSE),"")</f>
        <v>Haut-Lomami</v>
      </c>
      <c r="C405" s="1" t="s">
        <v>920</v>
      </c>
      <c r="D405" s="2">
        <v>45210.458333333343</v>
      </c>
      <c r="E405" s="3">
        <v>45210.458333333343</v>
      </c>
      <c r="F405">
        <v>95</v>
      </c>
      <c r="G405">
        <f>Master8[[#This Row],[Duree_Panne_Min]]/60</f>
        <v>1.5833333333333333</v>
      </c>
      <c r="H405" s="1" t="s">
        <v>735</v>
      </c>
      <c r="I405">
        <f>IFERROR(VLOOKUP(Master8[[#This Row],[Cell_ID]],Registre_Maintenance[],3,FALSE),"")</f>
        <v>-12.112682</v>
      </c>
      <c r="J405">
        <f>IFERROR(VLOOKUP(Master8[[#This Row],[Cell_ID]],Registre_Maintenance[],4,FALSE),"")</f>
        <v>19.972052000000001</v>
      </c>
      <c r="K405" t="str">
        <f>IFERROR(VLOOKUP(Master8[[#This Row],[Cell_ID]],Registre_Maintenance[],5,FALSE),"")</f>
        <v>4G</v>
      </c>
      <c r="L405" t="str">
        <f>IFERROR(VLOOKUP(Master8[[#This Row],[Cell_ID]],Registre_Maintenance[],6,FALSE),"")</f>
        <v>Huawei</v>
      </c>
      <c r="M405" s="1" t="str">
        <f>VLOOKUP(Master8[[#This Row],[Province_RDC]],Client[],2,FALSE)</f>
        <v>CLI-01325</v>
      </c>
      <c r="N405" s="1">
        <f>VLOOKUP(Master8[[#This Row],[Province_RDC]],Client[],3,FALSE)</f>
        <v>44</v>
      </c>
      <c r="O405" s="1" t="str">
        <f>VLOOKUP(Master8[[#This Row],[Province_RDC]],Client[],4,FALSE)</f>
        <v>Bloqué 5Go</v>
      </c>
      <c r="P405" s="1">
        <f>VLOOKUP(Master8[[#This Row],[Province_RDC]],Client[],5,FALSE)</f>
        <v>348</v>
      </c>
      <c r="Q405" s="1">
        <f>VLOOKUP(Master8[[#This Row],[Province_RDC]],Client[],6,FALSE)</f>
        <v>58.67</v>
      </c>
      <c r="R405" s="1">
        <f>VLOOKUP(Master8[[#This Row],[Province_RDC]],Client[],7,FALSE)</f>
        <v>0</v>
      </c>
      <c r="S405" s="1" t="str">
        <f>IF(Master8[[#This Row],[Type_Forfait]]="Pro Monde","B2B","B2C")</f>
        <v>B2C</v>
      </c>
      <c r="T405" s="1">
        <f>Master8[[#This Row],[Anciennete_Mois]]/12</f>
        <v>3.6666666666666665</v>
      </c>
      <c r="U405" s="1">
        <f>Master8[[#This Row],[Duree_Cumule_Panne_Min]]/60</f>
        <v>5.8</v>
      </c>
      <c r="V40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5" s="6">
        <f>Master8[[#This Row],[Facture_Mensuelle]]*Master8[[#This Row],[Remise]]</f>
        <v>26.401500000000002</v>
      </c>
    </row>
    <row r="406" spans="1:24" x14ac:dyDescent="0.25">
      <c r="A406" s="1" t="s">
        <v>939</v>
      </c>
      <c r="B406" t="str">
        <f>IFERROR(VLOOKUP(Master8[[#This Row],[Cell_ID]],Registre_Maintenance[],2,FALSE),"")</f>
        <v>Haut-Lomami</v>
      </c>
      <c r="C406" s="1" t="s">
        <v>952</v>
      </c>
      <c r="D406" s="2">
        <v>45208.443749999999</v>
      </c>
      <c r="E406" s="3">
        <v>45208.443749999999</v>
      </c>
      <c r="F406">
        <v>7</v>
      </c>
      <c r="G406">
        <f>Master8[[#This Row],[Duree_Panne_Min]]/60</f>
        <v>0.11666666666666667</v>
      </c>
      <c r="H406" s="1" t="s">
        <v>737</v>
      </c>
      <c r="I406">
        <f>IFERROR(VLOOKUP(Master8[[#This Row],[Cell_ID]],Registre_Maintenance[],3,FALSE),"")</f>
        <v>-6.3324319999999998</v>
      </c>
      <c r="J406">
        <f>IFERROR(VLOOKUP(Master8[[#This Row],[Cell_ID]],Registre_Maintenance[],4,FALSE),"")</f>
        <v>24.887858000000001</v>
      </c>
      <c r="K406" t="str">
        <f>IFERROR(VLOOKUP(Master8[[#This Row],[Cell_ID]],Registre_Maintenance[],5,FALSE),"")</f>
        <v>4G</v>
      </c>
      <c r="L406" t="str">
        <f>IFERROR(VLOOKUP(Master8[[#This Row],[Cell_ID]],Registre_Maintenance[],6,FALSE),"")</f>
        <v>ZTE</v>
      </c>
      <c r="M406" s="1" t="str">
        <f>VLOOKUP(Master8[[#This Row],[Province_RDC]],Client[],2,FALSE)</f>
        <v>CLI-01325</v>
      </c>
      <c r="N406" s="1">
        <f>VLOOKUP(Master8[[#This Row],[Province_RDC]],Client[],3,FALSE)</f>
        <v>44</v>
      </c>
      <c r="O406" s="1" t="str">
        <f>VLOOKUP(Master8[[#This Row],[Province_RDC]],Client[],4,FALSE)</f>
        <v>Bloqué 5Go</v>
      </c>
      <c r="P406" s="1">
        <f>VLOOKUP(Master8[[#This Row],[Province_RDC]],Client[],5,FALSE)</f>
        <v>348</v>
      </c>
      <c r="Q406" s="1">
        <f>VLOOKUP(Master8[[#This Row],[Province_RDC]],Client[],6,FALSE)</f>
        <v>58.67</v>
      </c>
      <c r="R406" s="1">
        <f>VLOOKUP(Master8[[#This Row],[Province_RDC]],Client[],7,FALSE)</f>
        <v>0</v>
      </c>
      <c r="S406" s="1" t="str">
        <f>IF(Master8[[#This Row],[Type_Forfait]]="Pro Monde","B2B","B2C")</f>
        <v>B2C</v>
      </c>
      <c r="T406" s="1">
        <f>Master8[[#This Row],[Anciennete_Mois]]/12</f>
        <v>3.6666666666666665</v>
      </c>
      <c r="U406" s="1">
        <f>Master8[[#This Row],[Duree_Cumule_Panne_Min]]/60</f>
        <v>5.8</v>
      </c>
      <c r="V40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6" s="6">
        <f>Master8[[#This Row],[Facture_Mensuelle]]*Master8[[#This Row],[Remise]]</f>
        <v>26.401500000000002</v>
      </c>
    </row>
    <row r="407" spans="1:24" x14ac:dyDescent="0.25">
      <c r="A407" s="1" t="s">
        <v>1086</v>
      </c>
      <c r="B407" t="str">
        <f>IFERROR(VLOOKUP(Master8[[#This Row],[Cell_ID]],Registre_Maintenance[],2,FALSE),"")</f>
        <v>Haut-Lomami</v>
      </c>
      <c r="C407" s="1" t="s">
        <v>923</v>
      </c>
      <c r="D407" s="2">
        <v>45206.857638888891</v>
      </c>
      <c r="E407" s="3">
        <v>45206.857638888891</v>
      </c>
      <c r="F407">
        <v>45</v>
      </c>
      <c r="G407">
        <f>Master8[[#This Row],[Duree_Panne_Min]]/60</f>
        <v>0.75</v>
      </c>
      <c r="H407" s="1" t="s">
        <v>737</v>
      </c>
      <c r="I407">
        <f>IFERROR(VLOOKUP(Master8[[#This Row],[Cell_ID]],Registre_Maintenance[],3,FALSE),"")</f>
        <v>1.210869</v>
      </c>
      <c r="J407">
        <f>IFERROR(VLOOKUP(Master8[[#This Row],[Cell_ID]],Registre_Maintenance[],4,FALSE),"")</f>
        <v>25.598741</v>
      </c>
      <c r="K407" t="str">
        <f>IFERROR(VLOOKUP(Master8[[#This Row],[Cell_ID]],Registre_Maintenance[],5,FALSE),"")</f>
        <v>4G</v>
      </c>
      <c r="L407" t="str">
        <f>IFERROR(VLOOKUP(Master8[[#This Row],[Cell_ID]],Registre_Maintenance[],6,FALSE),"")</f>
        <v>Ericsson</v>
      </c>
      <c r="M407" s="1" t="str">
        <f>VLOOKUP(Master8[[#This Row],[Province_RDC]],Client[],2,FALSE)</f>
        <v>CLI-01325</v>
      </c>
      <c r="N407" s="1">
        <f>VLOOKUP(Master8[[#This Row],[Province_RDC]],Client[],3,FALSE)</f>
        <v>44</v>
      </c>
      <c r="O407" s="1" t="str">
        <f>VLOOKUP(Master8[[#This Row],[Province_RDC]],Client[],4,FALSE)</f>
        <v>Bloqué 5Go</v>
      </c>
      <c r="P407" s="1">
        <f>VLOOKUP(Master8[[#This Row],[Province_RDC]],Client[],5,FALSE)</f>
        <v>348</v>
      </c>
      <c r="Q407" s="1">
        <f>VLOOKUP(Master8[[#This Row],[Province_RDC]],Client[],6,FALSE)</f>
        <v>58.67</v>
      </c>
      <c r="R407" s="1">
        <f>VLOOKUP(Master8[[#This Row],[Province_RDC]],Client[],7,FALSE)</f>
        <v>0</v>
      </c>
      <c r="S407" s="1" t="str">
        <f>IF(Master8[[#This Row],[Type_Forfait]]="Pro Monde","B2B","B2C")</f>
        <v>B2C</v>
      </c>
      <c r="T407" s="1">
        <f>Master8[[#This Row],[Anciennete_Mois]]/12</f>
        <v>3.6666666666666665</v>
      </c>
      <c r="U407" s="1">
        <f>Master8[[#This Row],[Duree_Cumule_Panne_Min]]/60</f>
        <v>5.8</v>
      </c>
      <c r="V40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7" s="6">
        <f>Master8[[#This Row],[Facture_Mensuelle]]*Master8[[#This Row],[Remise]]</f>
        <v>26.401500000000002</v>
      </c>
    </row>
    <row r="408" spans="1:24" x14ac:dyDescent="0.25">
      <c r="A408" s="1" t="s">
        <v>1024</v>
      </c>
      <c r="B408" t="str">
        <f>IFERROR(VLOOKUP(Master8[[#This Row],[Cell_ID]],Registre_Maintenance[],2,FALSE),"")</f>
        <v>Haut-Lomami</v>
      </c>
      <c r="C408" s="1" t="s">
        <v>1032</v>
      </c>
      <c r="D408" s="2">
        <v>45206.443055555559</v>
      </c>
      <c r="E408" s="3">
        <v>45206.443055555559</v>
      </c>
      <c r="F408">
        <v>48</v>
      </c>
      <c r="G408">
        <f>Master8[[#This Row],[Duree_Panne_Min]]/60</f>
        <v>0.8</v>
      </c>
      <c r="H408" s="1" t="s">
        <v>737</v>
      </c>
      <c r="I408">
        <f>IFERROR(VLOOKUP(Master8[[#This Row],[Cell_ID]],Registre_Maintenance[],3,FALSE),"")</f>
        <v>0.16327700000000001</v>
      </c>
      <c r="J408">
        <f>IFERROR(VLOOKUP(Master8[[#This Row],[Cell_ID]],Registre_Maintenance[],4,FALSE),"")</f>
        <v>14.871577</v>
      </c>
      <c r="K408" t="str">
        <f>IFERROR(VLOOKUP(Master8[[#This Row],[Cell_ID]],Registre_Maintenance[],5,FALSE),"")</f>
        <v>4G</v>
      </c>
      <c r="L408" t="str">
        <f>IFERROR(VLOOKUP(Master8[[#This Row],[Cell_ID]],Registre_Maintenance[],6,FALSE),"")</f>
        <v>Huawei</v>
      </c>
      <c r="M408" s="1" t="str">
        <f>VLOOKUP(Master8[[#This Row],[Province_RDC]],Client[],2,FALSE)</f>
        <v>CLI-01325</v>
      </c>
      <c r="N408" s="1">
        <f>VLOOKUP(Master8[[#This Row],[Province_RDC]],Client[],3,FALSE)</f>
        <v>44</v>
      </c>
      <c r="O408" s="1" t="str">
        <f>VLOOKUP(Master8[[#This Row],[Province_RDC]],Client[],4,FALSE)</f>
        <v>Bloqué 5Go</v>
      </c>
      <c r="P408" s="1">
        <f>VLOOKUP(Master8[[#This Row],[Province_RDC]],Client[],5,FALSE)</f>
        <v>348</v>
      </c>
      <c r="Q408" s="1">
        <f>VLOOKUP(Master8[[#This Row],[Province_RDC]],Client[],6,FALSE)</f>
        <v>58.67</v>
      </c>
      <c r="R408" s="1">
        <f>VLOOKUP(Master8[[#This Row],[Province_RDC]],Client[],7,FALSE)</f>
        <v>0</v>
      </c>
      <c r="S408" s="1" t="str">
        <f>IF(Master8[[#This Row],[Type_Forfait]]="Pro Monde","B2B","B2C")</f>
        <v>B2C</v>
      </c>
      <c r="T408" s="1">
        <f>Master8[[#This Row],[Anciennete_Mois]]/12</f>
        <v>3.6666666666666665</v>
      </c>
      <c r="U408" s="1">
        <f>Master8[[#This Row],[Duree_Cumule_Panne_Min]]/60</f>
        <v>5.8</v>
      </c>
      <c r="V40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8" s="6">
        <f>Master8[[#This Row],[Facture_Mensuelle]]*Master8[[#This Row],[Remise]]</f>
        <v>26.401500000000002</v>
      </c>
    </row>
    <row r="409" spans="1:24" x14ac:dyDescent="0.25">
      <c r="A409" s="1" t="s">
        <v>999</v>
      </c>
      <c r="B409" t="str">
        <f>IFERROR(VLOOKUP(Master8[[#This Row],[Cell_ID]],Registre_Maintenance[],2,FALSE),"")</f>
        <v>Haut-Lomami</v>
      </c>
      <c r="C409" s="1" t="s">
        <v>1014</v>
      </c>
      <c r="D409" s="2">
        <v>45205.47152777778</v>
      </c>
      <c r="E409" s="3">
        <v>45205.47152777778</v>
      </c>
      <c r="F409">
        <v>50</v>
      </c>
      <c r="G409">
        <f>Master8[[#This Row],[Duree_Panne_Min]]/60</f>
        <v>0.83333333333333337</v>
      </c>
      <c r="H409" s="1" t="s">
        <v>735</v>
      </c>
      <c r="I409">
        <f>IFERROR(VLOOKUP(Master8[[#This Row],[Cell_ID]],Registre_Maintenance[],3,FALSE),"")</f>
        <v>2.628638</v>
      </c>
      <c r="J409">
        <f>IFERROR(VLOOKUP(Master8[[#This Row],[Cell_ID]],Registre_Maintenance[],4,FALSE),"")</f>
        <v>28.420582</v>
      </c>
      <c r="K409" t="str">
        <f>IFERROR(VLOOKUP(Master8[[#This Row],[Cell_ID]],Registre_Maintenance[],5,FALSE),"")</f>
        <v>4G</v>
      </c>
      <c r="L409" t="str">
        <f>IFERROR(VLOOKUP(Master8[[#This Row],[Cell_ID]],Registre_Maintenance[],6,FALSE),"")</f>
        <v>Huawei</v>
      </c>
      <c r="M409" s="1" t="str">
        <f>VLOOKUP(Master8[[#This Row],[Province_RDC]],Client[],2,FALSE)</f>
        <v>CLI-01325</v>
      </c>
      <c r="N409" s="1">
        <f>VLOOKUP(Master8[[#This Row],[Province_RDC]],Client[],3,FALSE)</f>
        <v>44</v>
      </c>
      <c r="O409" s="1" t="str">
        <f>VLOOKUP(Master8[[#This Row],[Province_RDC]],Client[],4,FALSE)</f>
        <v>Bloqué 5Go</v>
      </c>
      <c r="P409" s="1">
        <f>VLOOKUP(Master8[[#This Row],[Province_RDC]],Client[],5,FALSE)</f>
        <v>348</v>
      </c>
      <c r="Q409" s="1">
        <f>VLOOKUP(Master8[[#This Row],[Province_RDC]],Client[],6,FALSE)</f>
        <v>58.67</v>
      </c>
      <c r="R409" s="1">
        <f>VLOOKUP(Master8[[#This Row],[Province_RDC]],Client[],7,FALSE)</f>
        <v>0</v>
      </c>
      <c r="S409" s="1" t="str">
        <f>IF(Master8[[#This Row],[Type_Forfait]]="Pro Monde","B2B","B2C")</f>
        <v>B2C</v>
      </c>
      <c r="T409" s="1">
        <f>Master8[[#This Row],[Anciennete_Mois]]/12</f>
        <v>3.6666666666666665</v>
      </c>
      <c r="U409" s="1">
        <f>Master8[[#This Row],[Duree_Cumule_Panne_Min]]/60</f>
        <v>5.8</v>
      </c>
      <c r="V40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0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09" s="6">
        <f>Master8[[#This Row],[Facture_Mensuelle]]*Master8[[#This Row],[Remise]]</f>
        <v>26.401500000000002</v>
      </c>
    </row>
    <row r="410" spans="1:24" x14ac:dyDescent="0.25">
      <c r="A410" s="1" t="s">
        <v>902</v>
      </c>
      <c r="B410" t="str">
        <f>IFERROR(VLOOKUP(Master8[[#This Row],[Cell_ID]],Registre_Maintenance[],2,FALSE),"")</f>
        <v>Haut-Lomami</v>
      </c>
      <c r="C410" s="1" t="s">
        <v>920</v>
      </c>
      <c r="D410" s="2">
        <v>45202.21875</v>
      </c>
      <c r="E410" s="3">
        <v>45202.21875</v>
      </c>
      <c r="F410">
        <v>86</v>
      </c>
      <c r="G410">
        <f>Master8[[#This Row],[Duree_Panne_Min]]/60</f>
        <v>1.4333333333333333</v>
      </c>
      <c r="H410" s="1" t="s">
        <v>737</v>
      </c>
      <c r="I410">
        <f>IFERROR(VLOOKUP(Master8[[#This Row],[Cell_ID]],Registre_Maintenance[],3,FALSE),"")</f>
        <v>-12.112682</v>
      </c>
      <c r="J410">
        <f>IFERROR(VLOOKUP(Master8[[#This Row],[Cell_ID]],Registre_Maintenance[],4,FALSE),"")</f>
        <v>19.972052000000001</v>
      </c>
      <c r="K410" t="str">
        <f>IFERROR(VLOOKUP(Master8[[#This Row],[Cell_ID]],Registre_Maintenance[],5,FALSE),"")</f>
        <v>4G</v>
      </c>
      <c r="L410" t="str">
        <f>IFERROR(VLOOKUP(Master8[[#This Row],[Cell_ID]],Registre_Maintenance[],6,FALSE),"")</f>
        <v>Huawei</v>
      </c>
      <c r="M410" s="1" t="str">
        <f>VLOOKUP(Master8[[#This Row],[Province_RDC]],Client[],2,FALSE)</f>
        <v>CLI-01325</v>
      </c>
      <c r="N410" s="1">
        <f>VLOOKUP(Master8[[#This Row],[Province_RDC]],Client[],3,FALSE)</f>
        <v>44</v>
      </c>
      <c r="O410" s="1" t="str">
        <f>VLOOKUP(Master8[[#This Row],[Province_RDC]],Client[],4,FALSE)</f>
        <v>Bloqué 5Go</v>
      </c>
      <c r="P410" s="1">
        <f>VLOOKUP(Master8[[#This Row],[Province_RDC]],Client[],5,FALSE)</f>
        <v>348</v>
      </c>
      <c r="Q410" s="1">
        <f>VLOOKUP(Master8[[#This Row],[Province_RDC]],Client[],6,FALSE)</f>
        <v>58.67</v>
      </c>
      <c r="R410" s="1">
        <f>VLOOKUP(Master8[[#This Row],[Province_RDC]],Client[],7,FALSE)</f>
        <v>0</v>
      </c>
      <c r="S410" s="1" t="str">
        <f>IF(Master8[[#This Row],[Type_Forfait]]="Pro Monde","B2B","B2C")</f>
        <v>B2C</v>
      </c>
      <c r="T410" s="1">
        <f>Master8[[#This Row],[Anciennete_Mois]]/12</f>
        <v>3.6666666666666665</v>
      </c>
      <c r="U410" s="1">
        <f>Master8[[#This Row],[Duree_Cumule_Panne_Min]]/60</f>
        <v>5.8</v>
      </c>
      <c r="V41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0" s="6">
        <f>Master8[[#This Row],[Facture_Mensuelle]]*Master8[[#This Row],[Remise]]</f>
        <v>26.401500000000002</v>
      </c>
    </row>
    <row r="411" spans="1:24" x14ac:dyDescent="0.25">
      <c r="A411" s="1" t="s">
        <v>1308</v>
      </c>
      <c r="B411" t="str">
        <f>IFERROR(VLOOKUP(Master8[[#This Row],[Cell_ID]],Registre_Maintenance[],2,FALSE),"")</f>
        <v>Haut-Lomami</v>
      </c>
      <c r="C411" s="1" t="s">
        <v>1014</v>
      </c>
      <c r="D411" s="2">
        <v>45200.342361111107</v>
      </c>
      <c r="E411" s="3">
        <v>45200.342361111107</v>
      </c>
      <c r="F411">
        <v>86</v>
      </c>
      <c r="G411">
        <f>Master8[[#This Row],[Duree_Panne_Min]]/60</f>
        <v>1.4333333333333333</v>
      </c>
      <c r="H411" s="1" t="s">
        <v>735</v>
      </c>
      <c r="I411">
        <f>IFERROR(VLOOKUP(Master8[[#This Row],[Cell_ID]],Registre_Maintenance[],3,FALSE),"")</f>
        <v>2.628638</v>
      </c>
      <c r="J411">
        <f>IFERROR(VLOOKUP(Master8[[#This Row],[Cell_ID]],Registre_Maintenance[],4,FALSE),"")</f>
        <v>28.420582</v>
      </c>
      <c r="K411" t="str">
        <f>IFERROR(VLOOKUP(Master8[[#This Row],[Cell_ID]],Registre_Maintenance[],5,FALSE),"")</f>
        <v>4G</v>
      </c>
      <c r="L411" t="str">
        <f>IFERROR(VLOOKUP(Master8[[#This Row],[Cell_ID]],Registre_Maintenance[],6,FALSE),"")</f>
        <v>Huawei</v>
      </c>
      <c r="M411" s="1" t="str">
        <f>VLOOKUP(Master8[[#This Row],[Province_RDC]],Client[],2,FALSE)</f>
        <v>CLI-01325</v>
      </c>
      <c r="N411" s="1">
        <f>VLOOKUP(Master8[[#This Row],[Province_RDC]],Client[],3,FALSE)</f>
        <v>44</v>
      </c>
      <c r="O411" s="1" t="str">
        <f>VLOOKUP(Master8[[#This Row],[Province_RDC]],Client[],4,FALSE)</f>
        <v>Bloqué 5Go</v>
      </c>
      <c r="P411" s="1">
        <f>VLOOKUP(Master8[[#This Row],[Province_RDC]],Client[],5,FALSE)</f>
        <v>348</v>
      </c>
      <c r="Q411" s="1">
        <f>VLOOKUP(Master8[[#This Row],[Province_RDC]],Client[],6,FALSE)</f>
        <v>58.67</v>
      </c>
      <c r="R411" s="1">
        <f>VLOOKUP(Master8[[#This Row],[Province_RDC]],Client[],7,FALSE)</f>
        <v>0</v>
      </c>
      <c r="S411" s="1" t="str">
        <f>IF(Master8[[#This Row],[Type_Forfait]]="Pro Monde","B2B","B2C")</f>
        <v>B2C</v>
      </c>
      <c r="T411" s="1">
        <f>Master8[[#This Row],[Anciennete_Mois]]/12</f>
        <v>3.6666666666666665</v>
      </c>
      <c r="U411" s="1">
        <f>Master8[[#This Row],[Duree_Cumule_Panne_Min]]/60</f>
        <v>5.8</v>
      </c>
      <c r="V41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1" s="6">
        <f>Master8[[#This Row],[Facture_Mensuelle]]*Master8[[#This Row],[Remise]]</f>
        <v>26.401500000000002</v>
      </c>
    </row>
    <row r="412" spans="1:24" x14ac:dyDescent="0.25">
      <c r="A412" s="1" t="s">
        <v>1308</v>
      </c>
      <c r="B412" t="str">
        <f>IFERROR(VLOOKUP(Master8[[#This Row],[Cell_ID]],Registre_Maintenance[],2,FALSE),"")</f>
        <v>Haut-Katanga</v>
      </c>
      <c r="C412" s="1" t="s">
        <v>1227</v>
      </c>
      <c r="D412" s="2">
        <v>45230.12777777778</v>
      </c>
      <c r="E412" s="3">
        <v>45230.12777777778</v>
      </c>
      <c r="F412">
        <v>87</v>
      </c>
      <c r="G412">
        <f>Master8[[#This Row],[Duree_Panne_Min]]/60</f>
        <v>1.45</v>
      </c>
      <c r="H412" s="1" t="s">
        <v>737</v>
      </c>
      <c r="I412">
        <f>IFERROR(VLOOKUP(Master8[[#This Row],[Cell_ID]],Registre_Maintenance[],3,FALSE),"")</f>
        <v>-10.945031</v>
      </c>
      <c r="J412">
        <f>IFERROR(VLOOKUP(Master8[[#This Row],[Cell_ID]],Registre_Maintenance[],4,FALSE),"")</f>
        <v>27.922274000000002</v>
      </c>
      <c r="K412" t="str">
        <f>IFERROR(VLOOKUP(Master8[[#This Row],[Cell_ID]],Registre_Maintenance[],5,FALSE),"")</f>
        <v>4G</v>
      </c>
      <c r="L412" t="str">
        <f>IFERROR(VLOOKUP(Master8[[#This Row],[Cell_ID]],Registre_Maintenance[],6,FALSE),"")</f>
        <v>Ericsson</v>
      </c>
      <c r="M412" s="1" t="str">
        <f>VLOOKUP(Master8[[#This Row],[Province_RDC]],Client[],2,FALSE)</f>
        <v>CLI-00076</v>
      </c>
      <c r="N412" s="1">
        <f>VLOOKUP(Master8[[#This Row],[Province_RDC]],Client[],3,FALSE)</f>
        <v>46</v>
      </c>
      <c r="O412" s="1" t="str">
        <f>VLOOKUP(Master8[[#This Row],[Province_RDC]],Client[],4,FALSE)</f>
        <v>Premium 5G 150Go</v>
      </c>
      <c r="P412" s="1">
        <f>VLOOKUP(Master8[[#This Row],[Province_RDC]],Client[],5,FALSE)</f>
        <v>283</v>
      </c>
      <c r="Q412" s="1">
        <f>VLOOKUP(Master8[[#This Row],[Province_RDC]],Client[],6,FALSE)</f>
        <v>56.05</v>
      </c>
      <c r="R412" s="1">
        <f>VLOOKUP(Master8[[#This Row],[Province_RDC]],Client[],7,FALSE)</f>
        <v>1</v>
      </c>
      <c r="S412" s="1" t="str">
        <f>IF(Master8[[#This Row],[Type_Forfait]]="Pro Monde","B2B","B2C")</f>
        <v>B2C</v>
      </c>
      <c r="T412" s="1">
        <f>Master8[[#This Row],[Anciennete_Mois]]/12</f>
        <v>3.8333333333333335</v>
      </c>
      <c r="U412" s="1">
        <f>Master8[[#This Row],[Duree_Cumule_Panne_Min]]/60</f>
        <v>4.7166666666666668</v>
      </c>
      <c r="V41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2" s="6">
        <f>Master8[[#This Row],[Facture_Mensuelle]]*Master8[[#This Row],[Remise]]</f>
        <v>25.2225</v>
      </c>
    </row>
    <row r="413" spans="1:24" x14ac:dyDescent="0.25">
      <c r="A413" s="1" t="s">
        <v>1308</v>
      </c>
      <c r="B413" t="str">
        <f>IFERROR(VLOOKUP(Master8[[#This Row],[Cell_ID]],Registre_Maintenance[],2,FALSE),"")</f>
        <v>Haut-Katanga</v>
      </c>
      <c r="C413" s="1" t="s">
        <v>1025</v>
      </c>
      <c r="D413" s="2">
        <v>45226.659722222219</v>
      </c>
      <c r="E413" s="3">
        <v>45226.659722222219</v>
      </c>
      <c r="F413">
        <v>65</v>
      </c>
      <c r="G413">
        <f>Master8[[#This Row],[Duree_Panne_Min]]/60</f>
        <v>1.0833333333333333</v>
      </c>
      <c r="H413" s="1" t="s">
        <v>735</v>
      </c>
      <c r="I413">
        <f>IFERROR(VLOOKUP(Master8[[#This Row],[Cell_ID]],Registre_Maintenance[],3,FALSE),"")</f>
        <v>-11.594525000000001</v>
      </c>
      <c r="J413">
        <f>IFERROR(VLOOKUP(Master8[[#This Row],[Cell_ID]],Registre_Maintenance[],4,FALSE),"")</f>
        <v>29.744895</v>
      </c>
      <c r="K413" t="str">
        <f>IFERROR(VLOOKUP(Master8[[#This Row],[Cell_ID]],Registre_Maintenance[],5,FALSE),"")</f>
        <v>3G</v>
      </c>
      <c r="L413" t="str">
        <f>IFERROR(VLOOKUP(Master8[[#This Row],[Cell_ID]],Registre_Maintenance[],6,FALSE),"")</f>
        <v>ZTE</v>
      </c>
      <c r="M413" s="1" t="str">
        <f>VLOOKUP(Master8[[#This Row],[Province_RDC]],Client[],2,FALSE)</f>
        <v>CLI-00076</v>
      </c>
      <c r="N413" s="1">
        <f>VLOOKUP(Master8[[#This Row],[Province_RDC]],Client[],3,FALSE)</f>
        <v>46</v>
      </c>
      <c r="O413" s="1" t="str">
        <f>VLOOKUP(Master8[[#This Row],[Province_RDC]],Client[],4,FALSE)</f>
        <v>Premium 5G 150Go</v>
      </c>
      <c r="P413" s="1">
        <f>VLOOKUP(Master8[[#This Row],[Province_RDC]],Client[],5,FALSE)</f>
        <v>283</v>
      </c>
      <c r="Q413" s="1">
        <f>VLOOKUP(Master8[[#This Row],[Province_RDC]],Client[],6,FALSE)</f>
        <v>56.05</v>
      </c>
      <c r="R413" s="1">
        <f>VLOOKUP(Master8[[#This Row],[Province_RDC]],Client[],7,FALSE)</f>
        <v>1</v>
      </c>
      <c r="S413" s="1" t="str">
        <f>IF(Master8[[#This Row],[Type_Forfait]]="Pro Monde","B2B","B2C")</f>
        <v>B2C</v>
      </c>
      <c r="T413" s="1">
        <f>Master8[[#This Row],[Anciennete_Mois]]/12</f>
        <v>3.8333333333333335</v>
      </c>
      <c r="U413" s="1">
        <f>Master8[[#This Row],[Duree_Cumule_Panne_Min]]/60</f>
        <v>4.7166666666666668</v>
      </c>
      <c r="V41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3" s="6">
        <f>Master8[[#This Row],[Facture_Mensuelle]]*Master8[[#This Row],[Remise]]</f>
        <v>25.2225</v>
      </c>
    </row>
    <row r="414" spans="1:24" x14ac:dyDescent="0.25">
      <c r="A414" s="1" t="s">
        <v>779</v>
      </c>
      <c r="B414" t="str">
        <f>IFERROR(VLOOKUP(Master8[[#This Row],[Cell_ID]],Registre_Maintenance[],2,FALSE),"")</f>
        <v>Haut-Katanga</v>
      </c>
      <c r="C414" s="1" t="s">
        <v>792</v>
      </c>
      <c r="D414" s="2">
        <v>45225.712500000001</v>
      </c>
      <c r="E414" s="3">
        <v>45225.712500000001</v>
      </c>
      <c r="F414">
        <v>25</v>
      </c>
      <c r="G414">
        <f>Master8[[#This Row],[Duree_Panne_Min]]/60</f>
        <v>0.41666666666666669</v>
      </c>
      <c r="H414" s="1" t="s">
        <v>732</v>
      </c>
      <c r="I414">
        <f>IFERROR(VLOOKUP(Master8[[#This Row],[Cell_ID]],Registre_Maintenance[],3,FALSE),"")</f>
        <v>-5.5445120000000001</v>
      </c>
      <c r="J414">
        <f>IFERROR(VLOOKUP(Master8[[#This Row],[Cell_ID]],Registre_Maintenance[],4,FALSE),"")</f>
        <v>27.547335</v>
      </c>
      <c r="K414" t="str">
        <f>IFERROR(VLOOKUP(Master8[[#This Row],[Cell_ID]],Registre_Maintenance[],5,FALSE),"")</f>
        <v>4G</v>
      </c>
      <c r="L414" t="str">
        <f>IFERROR(VLOOKUP(Master8[[#This Row],[Cell_ID]],Registre_Maintenance[],6,FALSE),"")</f>
        <v>Ericsson</v>
      </c>
      <c r="M414" s="1" t="str">
        <f>VLOOKUP(Master8[[#This Row],[Province_RDC]],Client[],2,FALSE)</f>
        <v>CLI-00076</v>
      </c>
      <c r="N414" s="1">
        <f>VLOOKUP(Master8[[#This Row],[Province_RDC]],Client[],3,FALSE)</f>
        <v>46</v>
      </c>
      <c r="O414" s="1" t="str">
        <f>VLOOKUP(Master8[[#This Row],[Province_RDC]],Client[],4,FALSE)</f>
        <v>Premium 5G 150Go</v>
      </c>
      <c r="P414" s="1">
        <f>VLOOKUP(Master8[[#This Row],[Province_RDC]],Client[],5,FALSE)</f>
        <v>283</v>
      </c>
      <c r="Q414" s="1">
        <f>VLOOKUP(Master8[[#This Row],[Province_RDC]],Client[],6,FALSE)</f>
        <v>56.05</v>
      </c>
      <c r="R414" s="1">
        <f>VLOOKUP(Master8[[#This Row],[Province_RDC]],Client[],7,FALSE)</f>
        <v>1</v>
      </c>
      <c r="S414" s="1" t="str">
        <f>IF(Master8[[#This Row],[Type_Forfait]]="Pro Monde","B2B","B2C")</f>
        <v>B2C</v>
      </c>
      <c r="T414" s="1">
        <f>Master8[[#This Row],[Anciennete_Mois]]/12</f>
        <v>3.8333333333333335</v>
      </c>
      <c r="U414" s="1">
        <f>Master8[[#This Row],[Duree_Cumule_Panne_Min]]/60</f>
        <v>4.7166666666666668</v>
      </c>
      <c r="V41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4" s="6">
        <f>Master8[[#This Row],[Facture_Mensuelle]]*Master8[[#This Row],[Remise]]</f>
        <v>25.2225</v>
      </c>
    </row>
    <row r="415" spans="1:24" x14ac:dyDescent="0.25">
      <c r="A415" s="1" t="s">
        <v>1330</v>
      </c>
      <c r="B415" t="str">
        <f>IFERROR(VLOOKUP(Master8[[#This Row],[Cell_ID]],Registre_Maintenance[],2,FALSE),"")</f>
        <v>Haut-Katanga</v>
      </c>
      <c r="C415" s="1" t="s">
        <v>753</v>
      </c>
      <c r="D415" s="2">
        <v>45224.428472222222</v>
      </c>
      <c r="E415" s="3">
        <v>45224.428472222222</v>
      </c>
      <c r="F415">
        <v>65</v>
      </c>
      <c r="G415">
        <f>Master8[[#This Row],[Duree_Panne_Min]]/60</f>
        <v>1.0833333333333333</v>
      </c>
      <c r="H415" s="1" t="s">
        <v>735</v>
      </c>
      <c r="I415">
        <f>IFERROR(VLOOKUP(Master8[[#This Row],[Cell_ID]],Registre_Maintenance[],3,FALSE),"")</f>
        <v>0.172153</v>
      </c>
      <c r="J415">
        <f>IFERROR(VLOOKUP(Master8[[#This Row],[Cell_ID]],Registre_Maintenance[],4,FALSE),"")</f>
        <v>21.091376</v>
      </c>
      <c r="K415" t="str">
        <f>IFERROR(VLOOKUP(Master8[[#This Row],[Cell_ID]],Registre_Maintenance[],5,FALSE),"")</f>
        <v>3G</v>
      </c>
      <c r="L415" t="str">
        <f>IFERROR(VLOOKUP(Master8[[#This Row],[Cell_ID]],Registre_Maintenance[],6,FALSE),"")</f>
        <v>Ericsson</v>
      </c>
      <c r="M415" s="1" t="str">
        <f>VLOOKUP(Master8[[#This Row],[Province_RDC]],Client[],2,FALSE)</f>
        <v>CLI-00076</v>
      </c>
      <c r="N415" s="1">
        <f>VLOOKUP(Master8[[#This Row],[Province_RDC]],Client[],3,FALSE)</f>
        <v>46</v>
      </c>
      <c r="O415" s="1" t="str">
        <f>VLOOKUP(Master8[[#This Row],[Province_RDC]],Client[],4,FALSE)</f>
        <v>Premium 5G 150Go</v>
      </c>
      <c r="P415" s="1">
        <f>VLOOKUP(Master8[[#This Row],[Province_RDC]],Client[],5,FALSE)</f>
        <v>283</v>
      </c>
      <c r="Q415" s="1">
        <f>VLOOKUP(Master8[[#This Row],[Province_RDC]],Client[],6,FALSE)</f>
        <v>56.05</v>
      </c>
      <c r="R415" s="1">
        <f>VLOOKUP(Master8[[#This Row],[Province_RDC]],Client[],7,FALSE)</f>
        <v>1</v>
      </c>
      <c r="S415" s="1" t="str">
        <f>IF(Master8[[#This Row],[Type_Forfait]]="Pro Monde","B2B","B2C")</f>
        <v>B2C</v>
      </c>
      <c r="T415" s="1">
        <f>Master8[[#This Row],[Anciennete_Mois]]/12</f>
        <v>3.8333333333333335</v>
      </c>
      <c r="U415" s="1">
        <f>Master8[[#This Row],[Duree_Cumule_Panne_Min]]/60</f>
        <v>4.7166666666666668</v>
      </c>
      <c r="V41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5" s="6">
        <f>Master8[[#This Row],[Facture_Mensuelle]]*Master8[[#This Row],[Remise]]</f>
        <v>25.2225</v>
      </c>
    </row>
    <row r="416" spans="1:24" x14ac:dyDescent="0.25">
      <c r="A416" s="1" t="s">
        <v>1382</v>
      </c>
      <c r="B416" t="str">
        <f>IFERROR(VLOOKUP(Master8[[#This Row],[Cell_ID]],Registre_Maintenance[],2,FALSE),"")</f>
        <v>Haut-Katanga</v>
      </c>
      <c r="C416" s="1" t="s">
        <v>948</v>
      </c>
      <c r="D416" s="2">
        <v>45223.736111111109</v>
      </c>
      <c r="E416" s="3">
        <v>45223.736111111109</v>
      </c>
      <c r="F416">
        <v>116</v>
      </c>
      <c r="G416">
        <f>Master8[[#This Row],[Duree_Panne_Min]]/60</f>
        <v>1.9333333333333333</v>
      </c>
      <c r="H416" s="1" t="s">
        <v>735</v>
      </c>
      <c r="I416">
        <f>IFERROR(VLOOKUP(Master8[[#This Row],[Cell_ID]],Registre_Maintenance[],3,FALSE),"")</f>
        <v>0.16841400000000001</v>
      </c>
      <c r="J416">
        <f>IFERROR(VLOOKUP(Master8[[#This Row],[Cell_ID]],Registre_Maintenance[],4,FALSE),"")</f>
        <v>30.029876999999999</v>
      </c>
      <c r="K416" t="str">
        <f>IFERROR(VLOOKUP(Master8[[#This Row],[Cell_ID]],Registre_Maintenance[],5,FALSE),"")</f>
        <v>5G</v>
      </c>
      <c r="L416" t="str">
        <f>IFERROR(VLOOKUP(Master8[[#This Row],[Cell_ID]],Registre_Maintenance[],6,FALSE),"")</f>
        <v>Huawei</v>
      </c>
      <c r="M416" s="1" t="str">
        <f>VLOOKUP(Master8[[#This Row],[Province_RDC]],Client[],2,FALSE)</f>
        <v>CLI-00076</v>
      </c>
      <c r="N416" s="1">
        <f>VLOOKUP(Master8[[#This Row],[Province_RDC]],Client[],3,FALSE)</f>
        <v>46</v>
      </c>
      <c r="O416" s="1" t="str">
        <f>VLOOKUP(Master8[[#This Row],[Province_RDC]],Client[],4,FALSE)</f>
        <v>Premium 5G 150Go</v>
      </c>
      <c r="P416" s="1">
        <f>VLOOKUP(Master8[[#This Row],[Province_RDC]],Client[],5,FALSE)</f>
        <v>283</v>
      </c>
      <c r="Q416" s="1">
        <f>VLOOKUP(Master8[[#This Row],[Province_RDC]],Client[],6,FALSE)</f>
        <v>56.05</v>
      </c>
      <c r="R416" s="1">
        <f>VLOOKUP(Master8[[#This Row],[Province_RDC]],Client[],7,FALSE)</f>
        <v>1</v>
      </c>
      <c r="S416" s="1" t="str">
        <f>IF(Master8[[#This Row],[Type_Forfait]]="Pro Monde","B2B","B2C")</f>
        <v>B2C</v>
      </c>
      <c r="T416" s="1">
        <f>Master8[[#This Row],[Anciennete_Mois]]/12</f>
        <v>3.8333333333333335</v>
      </c>
      <c r="U416" s="1">
        <f>Master8[[#This Row],[Duree_Cumule_Panne_Min]]/60</f>
        <v>4.7166666666666668</v>
      </c>
      <c r="V41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6" s="6">
        <f>Master8[[#This Row],[Facture_Mensuelle]]*Master8[[#This Row],[Remise]]</f>
        <v>25.2225</v>
      </c>
    </row>
    <row r="417" spans="1:24" x14ac:dyDescent="0.25">
      <c r="A417" s="1" t="s">
        <v>779</v>
      </c>
      <c r="B417" t="str">
        <f>IFERROR(VLOOKUP(Master8[[#This Row],[Cell_ID]],Registre_Maintenance[],2,FALSE),"")</f>
        <v>Haut-Katanga</v>
      </c>
      <c r="C417" s="1" t="s">
        <v>805</v>
      </c>
      <c r="D417" s="2">
        <v>45223.418749999997</v>
      </c>
      <c r="E417" s="3">
        <v>45223.418749999997</v>
      </c>
      <c r="F417">
        <v>89</v>
      </c>
      <c r="G417">
        <f>Master8[[#This Row],[Duree_Panne_Min]]/60</f>
        <v>1.4833333333333334</v>
      </c>
      <c r="H417" s="1" t="s">
        <v>732</v>
      </c>
      <c r="I417">
        <f>IFERROR(VLOOKUP(Master8[[#This Row],[Cell_ID]],Registre_Maintenance[],3,FALSE),"")</f>
        <v>4.4712560000000003</v>
      </c>
      <c r="J417">
        <f>IFERROR(VLOOKUP(Master8[[#This Row],[Cell_ID]],Registre_Maintenance[],4,FALSE),"")</f>
        <v>27.107028</v>
      </c>
      <c r="K417" t="str">
        <f>IFERROR(VLOOKUP(Master8[[#This Row],[Cell_ID]],Registre_Maintenance[],5,FALSE),"")</f>
        <v>3G</v>
      </c>
      <c r="L417" t="str">
        <f>IFERROR(VLOOKUP(Master8[[#This Row],[Cell_ID]],Registre_Maintenance[],6,FALSE),"")</f>
        <v>Ericsson</v>
      </c>
      <c r="M417" s="1" t="str">
        <f>VLOOKUP(Master8[[#This Row],[Province_RDC]],Client[],2,FALSE)</f>
        <v>CLI-00076</v>
      </c>
      <c r="N417" s="1">
        <f>VLOOKUP(Master8[[#This Row],[Province_RDC]],Client[],3,FALSE)</f>
        <v>46</v>
      </c>
      <c r="O417" s="1" t="str">
        <f>VLOOKUP(Master8[[#This Row],[Province_RDC]],Client[],4,FALSE)</f>
        <v>Premium 5G 150Go</v>
      </c>
      <c r="P417" s="1">
        <f>VLOOKUP(Master8[[#This Row],[Province_RDC]],Client[],5,FALSE)</f>
        <v>283</v>
      </c>
      <c r="Q417" s="1">
        <f>VLOOKUP(Master8[[#This Row],[Province_RDC]],Client[],6,FALSE)</f>
        <v>56.05</v>
      </c>
      <c r="R417" s="1">
        <f>VLOOKUP(Master8[[#This Row],[Province_RDC]],Client[],7,FALSE)</f>
        <v>1</v>
      </c>
      <c r="S417" s="1" t="str">
        <f>IF(Master8[[#This Row],[Type_Forfait]]="Pro Monde","B2B","B2C")</f>
        <v>B2C</v>
      </c>
      <c r="T417" s="1">
        <f>Master8[[#This Row],[Anciennete_Mois]]/12</f>
        <v>3.8333333333333335</v>
      </c>
      <c r="U417" s="1">
        <f>Master8[[#This Row],[Duree_Cumule_Panne_Min]]/60</f>
        <v>4.7166666666666668</v>
      </c>
      <c r="V41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7" s="6">
        <f>Master8[[#This Row],[Facture_Mensuelle]]*Master8[[#This Row],[Remise]]</f>
        <v>25.2225</v>
      </c>
    </row>
    <row r="418" spans="1:24" x14ac:dyDescent="0.25">
      <c r="A418" s="1" t="s">
        <v>1261</v>
      </c>
      <c r="B418" t="str">
        <f>IFERROR(VLOOKUP(Master8[[#This Row],[Cell_ID]],Registre_Maintenance[],2,FALSE),"")</f>
        <v>Haut-Katanga</v>
      </c>
      <c r="C418" s="1" t="s">
        <v>1169</v>
      </c>
      <c r="D418" s="2">
        <v>45223.293749999997</v>
      </c>
      <c r="E418" s="3">
        <v>45223.293749999997</v>
      </c>
      <c r="F418">
        <v>42</v>
      </c>
      <c r="G418">
        <f>Master8[[#This Row],[Duree_Panne_Min]]/60</f>
        <v>0.7</v>
      </c>
      <c r="H418" s="1" t="s">
        <v>737</v>
      </c>
      <c r="I418">
        <f>IFERROR(VLOOKUP(Master8[[#This Row],[Cell_ID]],Registre_Maintenance[],3,FALSE),"")</f>
        <v>-4.4958720000000003</v>
      </c>
      <c r="J418">
        <f>IFERROR(VLOOKUP(Master8[[#This Row],[Cell_ID]],Registre_Maintenance[],4,FALSE),"")</f>
        <v>18.514112000000001</v>
      </c>
      <c r="K418" t="str">
        <f>IFERROR(VLOOKUP(Master8[[#This Row],[Cell_ID]],Registre_Maintenance[],5,FALSE),"")</f>
        <v>4G</v>
      </c>
      <c r="L418" t="str">
        <f>IFERROR(VLOOKUP(Master8[[#This Row],[Cell_ID]],Registre_Maintenance[],6,FALSE),"")</f>
        <v>Nokia</v>
      </c>
      <c r="M418" s="1" t="str">
        <f>VLOOKUP(Master8[[#This Row],[Province_RDC]],Client[],2,FALSE)</f>
        <v>CLI-00076</v>
      </c>
      <c r="N418" s="1">
        <f>VLOOKUP(Master8[[#This Row],[Province_RDC]],Client[],3,FALSE)</f>
        <v>46</v>
      </c>
      <c r="O418" s="1" t="str">
        <f>VLOOKUP(Master8[[#This Row],[Province_RDC]],Client[],4,FALSE)</f>
        <v>Premium 5G 150Go</v>
      </c>
      <c r="P418" s="1">
        <f>VLOOKUP(Master8[[#This Row],[Province_RDC]],Client[],5,FALSE)</f>
        <v>283</v>
      </c>
      <c r="Q418" s="1">
        <f>VLOOKUP(Master8[[#This Row],[Province_RDC]],Client[],6,FALSE)</f>
        <v>56.05</v>
      </c>
      <c r="R418" s="1">
        <f>VLOOKUP(Master8[[#This Row],[Province_RDC]],Client[],7,FALSE)</f>
        <v>1</v>
      </c>
      <c r="S418" s="1" t="str">
        <f>IF(Master8[[#This Row],[Type_Forfait]]="Pro Monde","B2B","B2C")</f>
        <v>B2C</v>
      </c>
      <c r="T418" s="1">
        <f>Master8[[#This Row],[Anciennete_Mois]]/12</f>
        <v>3.8333333333333335</v>
      </c>
      <c r="U418" s="1">
        <f>Master8[[#This Row],[Duree_Cumule_Panne_Min]]/60</f>
        <v>4.7166666666666668</v>
      </c>
      <c r="V41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8" s="6">
        <f>Master8[[#This Row],[Facture_Mensuelle]]*Master8[[#This Row],[Remise]]</f>
        <v>25.2225</v>
      </c>
    </row>
    <row r="419" spans="1:24" x14ac:dyDescent="0.25">
      <c r="A419" s="1" t="s">
        <v>1114</v>
      </c>
      <c r="B419" t="str">
        <f>IFERROR(VLOOKUP(Master8[[#This Row],[Cell_ID]],Registre_Maintenance[],2,FALSE),"")</f>
        <v>Haut-Katanga</v>
      </c>
      <c r="C419" s="1" t="s">
        <v>795</v>
      </c>
      <c r="D419" s="2">
        <v>45222.834027777782</v>
      </c>
      <c r="E419" s="3">
        <v>45222.834027777782</v>
      </c>
      <c r="F419">
        <v>109</v>
      </c>
      <c r="G419">
        <f>Master8[[#This Row],[Duree_Panne_Min]]/60</f>
        <v>1.8166666666666667</v>
      </c>
      <c r="H419" s="1" t="s">
        <v>735</v>
      </c>
      <c r="I419">
        <f>IFERROR(VLOOKUP(Master8[[#This Row],[Cell_ID]],Registre_Maintenance[],3,FALSE),"")</f>
        <v>-2.9417719999999998</v>
      </c>
      <c r="J419">
        <f>IFERROR(VLOOKUP(Master8[[#This Row],[Cell_ID]],Registre_Maintenance[],4,FALSE),"")</f>
        <v>18.587305000000001</v>
      </c>
      <c r="K419" t="str">
        <f>IFERROR(VLOOKUP(Master8[[#This Row],[Cell_ID]],Registre_Maintenance[],5,FALSE),"")</f>
        <v>5G</v>
      </c>
      <c r="L419" t="str">
        <f>IFERROR(VLOOKUP(Master8[[#This Row],[Cell_ID]],Registre_Maintenance[],6,FALSE),"")</f>
        <v>Ericsson</v>
      </c>
      <c r="M419" s="1" t="str">
        <f>VLOOKUP(Master8[[#This Row],[Province_RDC]],Client[],2,FALSE)</f>
        <v>CLI-00076</v>
      </c>
      <c r="N419" s="1">
        <f>VLOOKUP(Master8[[#This Row],[Province_RDC]],Client[],3,FALSE)</f>
        <v>46</v>
      </c>
      <c r="O419" s="1" t="str">
        <f>VLOOKUP(Master8[[#This Row],[Province_RDC]],Client[],4,FALSE)</f>
        <v>Premium 5G 150Go</v>
      </c>
      <c r="P419" s="1">
        <f>VLOOKUP(Master8[[#This Row],[Province_RDC]],Client[],5,FALSE)</f>
        <v>283</v>
      </c>
      <c r="Q419" s="1">
        <f>VLOOKUP(Master8[[#This Row],[Province_RDC]],Client[],6,FALSE)</f>
        <v>56.05</v>
      </c>
      <c r="R419" s="1">
        <f>VLOOKUP(Master8[[#This Row],[Province_RDC]],Client[],7,FALSE)</f>
        <v>1</v>
      </c>
      <c r="S419" s="1" t="str">
        <f>IF(Master8[[#This Row],[Type_Forfait]]="Pro Monde","B2B","B2C")</f>
        <v>B2C</v>
      </c>
      <c r="T419" s="1">
        <f>Master8[[#This Row],[Anciennete_Mois]]/12</f>
        <v>3.8333333333333335</v>
      </c>
      <c r="U419" s="1">
        <f>Master8[[#This Row],[Duree_Cumule_Panne_Min]]/60</f>
        <v>4.7166666666666668</v>
      </c>
      <c r="V41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1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19" s="6">
        <f>Master8[[#This Row],[Facture_Mensuelle]]*Master8[[#This Row],[Remise]]</f>
        <v>25.2225</v>
      </c>
    </row>
    <row r="420" spans="1:24" x14ac:dyDescent="0.25">
      <c r="A420" s="1" t="s">
        <v>1138</v>
      </c>
      <c r="B420" t="str">
        <f>IFERROR(VLOOKUP(Master8[[#This Row],[Cell_ID]],Registre_Maintenance[],2,FALSE),"")</f>
        <v>Haut-Katanga</v>
      </c>
      <c r="C420" s="1" t="s">
        <v>1149</v>
      </c>
      <c r="D420" s="2">
        <v>45222.748611111107</v>
      </c>
      <c r="E420" s="3">
        <v>45222.748611111107</v>
      </c>
      <c r="F420">
        <v>28</v>
      </c>
      <c r="G420">
        <f>Master8[[#This Row],[Duree_Panne_Min]]/60</f>
        <v>0.46666666666666667</v>
      </c>
      <c r="H420" s="1" t="s">
        <v>735</v>
      </c>
      <c r="I420">
        <f>IFERROR(VLOOKUP(Master8[[#This Row],[Cell_ID]],Registre_Maintenance[],3,FALSE),"")</f>
        <v>-11.468578000000001</v>
      </c>
      <c r="J420">
        <f>IFERROR(VLOOKUP(Master8[[#This Row],[Cell_ID]],Registre_Maintenance[],4,FALSE),"")</f>
        <v>16.914501999999999</v>
      </c>
      <c r="K420" t="str">
        <f>IFERROR(VLOOKUP(Master8[[#This Row],[Cell_ID]],Registre_Maintenance[],5,FALSE),"")</f>
        <v>4G</v>
      </c>
      <c r="L420" t="str">
        <f>IFERROR(VLOOKUP(Master8[[#This Row],[Cell_ID]],Registre_Maintenance[],6,FALSE),"")</f>
        <v>Ericsson</v>
      </c>
      <c r="M420" s="1" t="str">
        <f>VLOOKUP(Master8[[#This Row],[Province_RDC]],Client[],2,FALSE)</f>
        <v>CLI-00076</v>
      </c>
      <c r="N420" s="1">
        <f>VLOOKUP(Master8[[#This Row],[Province_RDC]],Client[],3,FALSE)</f>
        <v>46</v>
      </c>
      <c r="O420" s="1" t="str">
        <f>VLOOKUP(Master8[[#This Row],[Province_RDC]],Client[],4,FALSE)</f>
        <v>Premium 5G 150Go</v>
      </c>
      <c r="P420" s="1">
        <f>VLOOKUP(Master8[[#This Row],[Province_RDC]],Client[],5,FALSE)</f>
        <v>283</v>
      </c>
      <c r="Q420" s="1">
        <f>VLOOKUP(Master8[[#This Row],[Province_RDC]],Client[],6,FALSE)</f>
        <v>56.05</v>
      </c>
      <c r="R420" s="1">
        <f>VLOOKUP(Master8[[#This Row],[Province_RDC]],Client[],7,FALSE)</f>
        <v>1</v>
      </c>
      <c r="S420" s="1" t="str">
        <f>IF(Master8[[#This Row],[Type_Forfait]]="Pro Monde","B2B","B2C")</f>
        <v>B2C</v>
      </c>
      <c r="T420" s="1">
        <f>Master8[[#This Row],[Anciennete_Mois]]/12</f>
        <v>3.8333333333333335</v>
      </c>
      <c r="U420" s="1">
        <f>Master8[[#This Row],[Duree_Cumule_Panne_Min]]/60</f>
        <v>4.7166666666666668</v>
      </c>
      <c r="V42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0" s="6">
        <f>Master8[[#This Row],[Facture_Mensuelle]]*Master8[[#This Row],[Remise]]</f>
        <v>25.2225</v>
      </c>
    </row>
    <row r="421" spans="1:24" x14ac:dyDescent="0.25">
      <c r="A421" s="1" t="s">
        <v>823</v>
      </c>
      <c r="B421" t="str">
        <f>IFERROR(VLOOKUP(Master8[[#This Row],[Cell_ID]],Registre_Maintenance[],2,FALSE),"")</f>
        <v>Haut-Katanga</v>
      </c>
      <c r="C421" s="1" t="s">
        <v>792</v>
      </c>
      <c r="D421" s="2">
        <v>45220.436805555553</v>
      </c>
      <c r="E421" s="3">
        <v>45220.436805555553</v>
      </c>
      <c r="F421">
        <v>64</v>
      </c>
      <c r="G421">
        <f>Master8[[#This Row],[Duree_Panne_Min]]/60</f>
        <v>1.0666666666666667</v>
      </c>
      <c r="H421" s="1" t="s">
        <v>735</v>
      </c>
      <c r="I421">
        <f>IFERROR(VLOOKUP(Master8[[#This Row],[Cell_ID]],Registre_Maintenance[],3,FALSE),"")</f>
        <v>-5.5445120000000001</v>
      </c>
      <c r="J421">
        <f>IFERROR(VLOOKUP(Master8[[#This Row],[Cell_ID]],Registre_Maintenance[],4,FALSE),"")</f>
        <v>27.547335</v>
      </c>
      <c r="K421" t="str">
        <f>IFERROR(VLOOKUP(Master8[[#This Row],[Cell_ID]],Registre_Maintenance[],5,FALSE),"")</f>
        <v>4G</v>
      </c>
      <c r="L421" t="str">
        <f>IFERROR(VLOOKUP(Master8[[#This Row],[Cell_ID]],Registre_Maintenance[],6,FALSE),"")</f>
        <v>Ericsson</v>
      </c>
      <c r="M421" s="1" t="str">
        <f>VLOOKUP(Master8[[#This Row],[Province_RDC]],Client[],2,FALSE)</f>
        <v>CLI-00076</v>
      </c>
      <c r="N421" s="1">
        <f>VLOOKUP(Master8[[#This Row],[Province_RDC]],Client[],3,FALSE)</f>
        <v>46</v>
      </c>
      <c r="O421" s="1" t="str">
        <f>VLOOKUP(Master8[[#This Row],[Province_RDC]],Client[],4,FALSE)</f>
        <v>Premium 5G 150Go</v>
      </c>
      <c r="P421" s="1">
        <f>VLOOKUP(Master8[[#This Row],[Province_RDC]],Client[],5,FALSE)</f>
        <v>283</v>
      </c>
      <c r="Q421" s="1">
        <f>VLOOKUP(Master8[[#This Row],[Province_RDC]],Client[],6,FALSE)</f>
        <v>56.05</v>
      </c>
      <c r="R421" s="1">
        <f>VLOOKUP(Master8[[#This Row],[Province_RDC]],Client[],7,FALSE)</f>
        <v>1</v>
      </c>
      <c r="S421" s="1" t="str">
        <f>IF(Master8[[#This Row],[Type_Forfait]]="Pro Monde","B2B","B2C")</f>
        <v>B2C</v>
      </c>
      <c r="T421" s="1">
        <f>Master8[[#This Row],[Anciennete_Mois]]/12</f>
        <v>3.8333333333333335</v>
      </c>
      <c r="U421" s="1">
        <f>Master8[[#This Row],[Duree_Cumule_Panne_Min]]/60</f>
        <v>4.7166666666666668</v>
      </c>
      <c r="V42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1" s="6">
        <f>Master8[[#This Row],[Facture_Mensuelle]]*Master8[[#This Row],[Remise]]</f>
        <v>25.2225</v>
      </c>
    </row>
    <row r="422" spans="1:24" x14ac:dyDescent="0.25">
      <c r="A422" s="1" t="s">
        <v>939</v>
      </c>
      <c r="B422" t="str">
        <f>IFERROR(VLOOKUP(Master8[[#This Row],[Cell_ID]],Registre_Maintenance[],2,FALSE),"")</f>
        <v>Haut-Katanga</v>
      </c>
      <c r="C422" s="1" t="s">
        <v>948</v>
      </c>
      <c r="D422" s="2">
        <v>45216.583333333343</v>
      </c>
      <c r="E422" s="3">
        <v>45216.583333333343</v>
      </c>
      <c r="F422">
        <v>78</v>
      </c>
      <c r="G422">
        <f>Master8[[#This Row],[Duree_Panne_Min]]/60</f>
        <v>1.3</v>
      </c>
      <c r="H422" s="1" t="s">
        <v>737</v>
      </c>
      <c r="I422">
        <f>IFERROR(VLOOKUP(Master8[[#This Row],[Cell_ID]],Registre_Maintenance[],3,FALSE),"")</f>
        <v>0.16841400000000001</v>
      </c>
      <c r="J422">
        <f>IFERROR(VLOOKUP(Master8[[#This Row],[Cell_ID]],Registre_Maintenance[],4,FALSE),"")</f>
        <v>30.029876999999999</v>
      </c>
      <c r="K422" t="str">
        <f>IFERROR(VLOOKUP(Master8[[#This Row],[Cell_ID]],Registre_Maintenance[],5,FALSE),"")</f>
        <v>5G</v>
      </c>
      <c r="L422" t="str">
        <f>IFERROR(VLOOKUP(Master8[[#This Row],[Cell_ID]],Registre_Maintenance[],6,FALSE),"")</f>
        <v>Huawei</v>
      </c>
      <c r="M422" s="1" t="str">
        <f>VLOOKUP(Master8[[#This Row],[Province_RDC]],Client[],2,FALSE)</f>
        <v>CLI-00076</v>
      </c>
      <c r="N422" s="1">
        <f>VLOOKUP(Master8[[#This Row],[Province_RDC]],Client[],3,FALSE)</f>
        <v>46</v>
      </c>
      <c r="O422" s="1" t="str">
        <f>VLOOKUP(Master8[[#This Row],[Province_RDC]],Client[],4,FALSE)</f>
        <v>Premium 5G 150Go</v>
      </c>
      <c r="P422" s="1">
        <f>VLOOKUP(Master8[[#This Row],[Province_RDC]],Client[],5,FALSE)</f>
        <v>283</v>
      </c>
      <c r="Q422" s="1">
        <f>VLOOKUP(Master8[[#This Row],[Province_RDC]],Client[],6,FALSE)</f>
        <v>56.05</v>
      </c>
      <c r="R422" s="1">
        <f>VLOOKUP(Master8[[#This Row],[Province_RDC]],Client[],7,FALSE)</f>
        <v>1</v>
      </c>
      <c r="S422" s="1" t="str">
        <f>IF(Master8[[#This Row],[Type_Forfait]]="Pro Monde","B2B","B2C")</f>
        <v>B2C</v>
      </c>
      <c r="T422" s="1">
        <f>Master8[[#This Row],[Anciennete_Mois]]/12</f>
        <v>3.8333333333333335</v>
      </c>
      <c r="U422" s="1">
        <f>Master8[[#This Row],[Duree_Cumule_Panne_Min]]/60</f>
        <v>4.7166666666666668</v>
      </c>
      <c r="V42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2" s="6">
        <f>Master8[[#This Row],[Facture_Mensuelle]]*Master8[[#This Row],[Remise]]</f>
        <v>25.2225</v>
      </c>
    </row>
    <row r="423" spans="1:24" x14ac:dyDescent="0.25">
      <c r="A423" s="1" t="s">
        <v>730</v>
      </c>
      <c r="B423" t="str">
        <f>IFERROR(VLOOKUP(Master8[[#This Row],[Cell_ID]],Registre_Maintenance[],2,FALSE),"")</f>
        <v>Haut-Katanga</v>
      </c>
      <c r="C423" s="1" t="s">
        <v>753</v>
      </c>
      <c r="D423" s="2">
        <v>45214.713194444441</v>
      </c>
      <c r="E423" s="3">
        <v>45214.713194444441</v>
      </c>
      <c r="F423">
        <v>25</v>
      </c>
      <c r="G423">
        <f>Master8[[#This Row],[Duree_Panne_Min]]/60</f>
        <v>0.41666666666666669</v>
      </c>
      <c r="H423" s="1" t="s">
        <v>732</v>
      </c>
      <c r="I423">
        <f>IFERROR(VLOOKUP(Master8[[#This Row],[Cell_ID]],Registre_Maintenance[],3,FALSE),"")</f>
        <v>0.172153</v>
      </c>
      <c r="J423">
        <f>IFERROR(VLOOKUP(Master8[[#This Row],[Cell_ID]],Registre_Maintenance[],4,FALSE),"")</f>
        <v>21.091376</v>
      </c>
      <c r="K423" t="str">
        <f>IFERROR(VLOOKUP(Master8[[#This Row],[Cell_ID]],Registre_Maintenance[],5,FALSE),"")</f>
        <v>3G</v>
      </c>
      <c r="L423" t="str">
        <f>IFERROR(VLOOKUP(Master8[[#This Row],[Cell_ID]],Registre_Maintenance[],6,FALSE),"")</f>
        <v>Ericsson</v>
      </c>
      <c r="M423" s="1" t="str">
        <f>VLOOKUP(Master8[[#This Row],[Province_RDC]],Client[],2,FALSE)</f>
        <v>CLI-00076</v>
      </c>
      <c r="N423" s="1">
        <f>VLOOKUP(Master8[[#This Row],[Province_RDC]],Client[],3,FALSE)</f>
        <v>46</v>
      </c>
      <c r="O423" s="1" t="str">
        <f>VLOOKUP(Master8[[#This Row],[Province_RDC]],Client[],4,FALSE)</f>
        <v>Premium 5G 150Go</v>
      </c>
      <c r="P423" s="1">
        <f>VLOOKUP(Master8[[#This Row],[Province_RDC]],Client[],5,FALSE)</f>
        <v>283</v>
      </c>
      <c r="Q423" s="1">
        <f>VLOOKUP(Master8[[#This Row],[Province_RDC]],Client[],6,FALSE)</f>
        <v>56.05</v>
      </c>
      <c r="R423" s="1">
        <f>VLOOKUP(Master8[[#This Row],[Province_RDC]],Client[],7,FALSE)</f>
        <v>1</v>
      </c>
      <c r="S423" s="1" t="str">
        <f>IF(Master8[[#This Row],[Type_Forfait]]="Pro Monde","B2B","B2C")</f>
        <v>B2C</v>
      </c>
      <c r="T423" s="1">
        <f>Master8[[#This Row],[Anciennete_Mois]]/12</f>
        <v>3.8333333333333335</v>
      </c>
      <c r="U423" s="1">
        <f>Master8[[#This Row],[Duree_Cumule_Panne_Min]]/60</f>
        <v>4.7166666666666668</v>
      </c>
      <c r="V42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3" s="6">
        <f>Master8[[#This Row],[Facture_Mensuelle]]*Master8[[#This Row],[Remise]]</f>
        <v>25.2225</v>
      </c>
    </row>
    <row r="424" spans="1:24" x14ac:dyDescent="0.25">
      <c r="A424" s="1" t="s">
        <v>779</v>
      </c>
      <c r="B424" t="str">
        <f>IFERROR(VLOOKUP(Master8[[#This Row],[Cell_ID]],Registre_Maintenance[],2,FALSE),"")</f>
        <v>Haut-Katanga</v>
      </c>
      <c r="C424" s="1" t="s">
        <v>795</v>
      </c>
      <c r="D424" s="2">
        <v>45213.645833333343</v>
      </c>
      <c r="E424" s="3">
        <v>45213.645833333343</v>
      </c>
      <c r="F424">
        <v>95</v>
      </c>
      <c r="G424">
        <f>Master8[[#This Row],[Duree_Panne_Min]]/60</f>
        <v>1.5833333333333333</v>
      </c>
      <c r="H424" s="1" t="s">
        <v>732</v>
      </c>
      <c r="I424">
        <f>IFERROR(VLOOKUP(Master8[[#This Row],[Cell_ID]],Registre_Maintenance[],3,FALSE),"")</f>
        <v>-2.9417719999999998</v>
      </c>
      <c r="J424">
        <f>IFERROR(VLOOKUP(Master8[[#This Row],[Cell_ID]],Registre_Maintenance[],4,FALSE),"")</f>
        <v>18.587305000000001</v>
      </c>
      <c r="K424" t="str">
        <f>IFERROR(VLOOKUP(Master8[[#This Row],[Cell_ID]],Registre_Maintenance[],5,FALSE),"")</f>
        <v>5G</v>
      </c>
      <c r="L424" t="str">
        <f>IFERROR(VLOOKUP(Master8[[#This Row],[Cell_ID]],Registre_Maintenance[],6,FALSE),"")</f>
        <v>Ericsson</v>
      </c>
      <c r="M424" s="1" t="str">
        <f>VLOOKUP(Master8[[#This Row],[Province_RDC]],Client[],2,FALSE)</f>
        <v>CLI-00076</v>
      </c>
      <c r="N424" s="1">
        <f>VLOOKUP(Master8[[#This Row],[Province_RDC]],Client[],3,FALSE)</f>
        <v>46</v>
      </c>
      <c r="O424" s="1" t="str">
        <f>VLOOKUP(Master8[[#This Row],[Province_RDC]],Client[],4,FALSE)</f>
        <v>Premium 5G 150Go</v>
      </c>
      <c r="P424" s="1">
        <f>VLOOKUP(Master8[[#This Row],[Province_RDC]],Client[],5,FALSE)</f>
        <v>283</v>
      </c>
      <c r="Q424" s="1">
        <f>VLOOKUP(Master8[[#This Row],[Province_RDC]],Client[],6,FALSE)</f>
        <v>56.05</v>
      </c>
      <c r="R424" s="1">
        <f>VLOOKUP(Master8[[#This Row],[Province_RDC]],Client[],7,FALSE)</f>
        <v>1</v>
      </c>
      <c r="S424" s="1" t="str">
        <f>IF(Master8[[#This Row],[Type_Forfait]]="Pro Monde","B2B","B2C")</f>
        <v>B2C</v>
      </c>
      <c r="T424" s="1">
        <f>Master8[[#This Row],[Anciennete_Mois]]/12</f>
        <v>3.8333333333333335</v>
      </c>
      <c r="U424" s="1">
        <f>Master8[[#This Row],[Duree_Cumule_Panne_Min]]/60</f>
        <v>4.7166666666666668</v>
      </c>
      <c r="V42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4" s="6">
        <f>Master8[[#This Row],[Facture_Mensuelle]]*Master8[[#This Row],[Remise]]</f>
        <v>25.2225</v>
      </c>
    </row>
    <row r="425" spans="1:24" x14ac:dyDescent="0.25">
      <c r="A425" s="1" t="s">
        <v>1345</v>
      </c>
      <c r="B425" t="str">
        <f>IFERROR(VLOOKUP(Master8[[#This Row],[Cell_ID]],Registre_Maintenance[],2,FALSE),"")</f>
        <v>Haut-Katanga</v>
      </c>
      <c r="C425" s="1" t="s">
        <v>805</v>
      </c>
      <c r="D425" s="2">
        <v>45210.835416666669</v>
      </c>
      <c r="E425" s="3">
        <v>45210.835416666669</v>
      </c>
      <c r="F425">
        <v>80</v>
      </c>
      <c r="G425">
        <f>Master8[[#This Row],[Duree_Panne_Min]]/60</f>
        <v>1.3333333333333333</v>
      </c>
      <c r="H425" s="1" t="s">
        <v>735</v>
      </c>
      <c r="I425">
        <f>IFERROR(VLOOKUP(Master8[[#This Row],[Cell_ID]],Registre_Maintenance[],3,FALSE),"")</f>
        <v>4.4712560000000003</v>
      </c>
      <c r="J425">
        <f>IFERROR(VLOOKUP(Master8[[#This Row],[Cell_ID]],Registre_Maintenance[],4,FALSE),"")</f>
        <v>27.107028</v>
      </c>
      <c r="K425" t="str">
        <f>IFERROR(VLOOKUP(Master8[[#This Row],[Cell_ID]],Registre_Maintenance[],5,FALSE),"")</f>
        <v>3G</v>
      </c>
      <c r="L425" t="str">
        <f>IFERROR(VLOOKUP(Master8[[#This Row],[Cell_ID]],Registre_Maintenance[],6,FALSE),"")</f>
        <v>Ericsson</v>
      </c>
      <c r="M425" s="1" t="str">
        <f>VLOOKUP(Master8[[#This Row],[Province_RDC]],Client[],2,FALSE)</f>
        <v>CLI-00076</v>
      </c>
      <c r="N425" s="1">
        <f>VLOOKUP(Master8[[#This Row],[Province_RDC]],Client[],3,FALSE)</f>
        <v>46</v>
      </c>
      <c r="O425" s="1" t="str">
        <f>VLOOKUP(Master8[[#This Row],[Province_RDC]],Client[],4,FALSE)</f>
        <v>Premium 5G 150Go</v>
      </c>
      <c r="P425" s="1">
        <f>VLOOKUP(Master8[[#This Row],[Province_RDC]],Client[],5,FALSE)</f>
        <v>283</v>
      </c>
      <c r="Q425" s="1">
        <f>VLOOKUP(Master8[[#This Row],[Province_RDC]],Client[],6,FALSE)</f>
        <v>56.05</v>
      </c>
      <c r="R425" s="1">
        <f>VLOOKUP(Master8[[#This Row],[Province_RDC]],Client[],7,FALSE)</f>
        <v>1</v>
      </c>
      <c r="S425" s="1" t="str">
        <f>IF(Master8[[#This Row],[Type_Forfait]]="Pro Monde","B2B","B2C")</f>
        <v>B2C</v>
      </c>
      <c r="T425" s="1">
        <f>Master8[[#This Row],[Anciennete_Mois]]/12</f>
        <v>3.8333333333333335</v>
      </c>
      <c r="U425" s="1">
        <f>Master8[[#This Row],[Duree_Cumule_Panne_Min]]/60</f>
        <v>4.7166666666666668</v>
      </c>
      <c r="V42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5" s="6">
        <f>Master8[[#This Row],[Facture_Mensuelle]]*Master8[[#This Row],[Remise]]</f>
        <v>25.2225</v>
      </c>
    </row>
    <row r="426" spans="1:24" x14ac:dyDescent="0.25">
      <c r="A426" s="1" t="s">
        <v>1330</v>
      </c>
      <c r="B426" t="str">
        <f>IFERROR(VLOOKUP(Master8[[#This Row],[Cell_ID]],Registre_Maintenance[],2,FALSE),"")</f>
        <v>Haut-Katanga</v>
      </c>
      <c r="C426" s="1" t="s">
        <v>792</v>
      </c>
      <c r="D426" s="2">
        <v>45209.938888888893</v>
      </c>
      <c r="E426" s="3">
        <v>45209.938888888893</v>
      </c>
      <c r="F426">
        <v>37</v>
      </c>
      <c r="G426">
        <f>Master8[[#This Row],[Duree_Panne_Min]]/60</f>
        <v>0.6166666666666667</v>
      </c>
      <c r="H426" s="1" t="s">
        <v>735</v>
      </c>
      <c r="I426">
        <f>IFERROR(VLOOKUP(Master8[[#This Row],[Cell_ID]],Registre_Maintenance[],3,FALSE),"")</f>
        <v>-5.5445120000000001</v>
      </c>
      <c r="J426">
        <f>IFERROR(VLOOKUP(Master8[[#This Row],[Cell_ID]],Registre_Maintenance[],4,FALSE),"")</f>
        <v>27.547335</v>
      </c>
      <c r="K426" t="str">
        <f>IFERROR(VLOOKUP(Master8[[#This Row],[Cell_ID]],Registre_Maintenance[],5,FALSE),"")</f>
        <v>4G</v>
      </c>
      <c r="L426" t="str">
        <f>IFERROR(VLOOKUP(Master8[[#This Row],[Cell_ID]],Registre_Maintenance[],6,FALSE),"")</f>
        <v>Ericsson</v>
      </c>
      <c r="M426" s="1" t="str">
        <f>VLOOKUP(Master8[[#This Row],[Province_RDC]],Client[],2,FALSE)</f>
        <v>CLI-00076</v>
      </c>
      <c r="N426" s="1">
        <f>VLOOKUP(Master8[[#This Row],[Province_RDC]],Client[],3,FALSE)</f>
        <v>46</v>
      </c>
      <c r="O426" s="1" t="str">
        <f>VLOOKUP(Master8[[#This Row],[Province_RDC]],Client[],4,FALSE)</f>
        <v>Premium 5G 150Go</v>
      </c>
      <c r="P426" s="1">
        <f>VLOOKUP(Master8[[#This Row],[Province_RDC]],Client[],5,FALSE)</f>
        <v>283</v>
      </c>
      <c r="Q426" s="1">
        <f>VLOOKUP(Master8[[#This Row],[Province_RDC]],Client[],6,FALSE)</f>
        <v>56.05</v>
      </c>
      <c r="R426" s="1">
        <f>VLOOKUP(Master8[[#This Row],[Province_RDC]],Client[],7,FALSE)</f>
        <v>1</v>
      </c>
      <c r="S426" s="1" t="str">
        <f>IF(Master8[[#This Row],[Type_Forfait]]="Pro Monde","B2B","B2C")</f>
        <v>B2C</v>
      </c>
      <c r="T426" s="1">
        <f>Master8[[#This Row],[Anciennete_Mois]]/12</f>
        <v>3.8333333333333335</v>
      </c>
      <c r="U426" s="1">
        <f>Master8[[#This Row],[Duree_Cumule_Panne_Min]]/60</f>
        <v>4.7166666666666668</v>
      </c>
      <c r="V42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6" s="6">
        <f>Master8[[#This Row],[Facture_Mensuelle]]*Master8[[#This Row],[Remise]]</f>
        <v>25.2225</v>
      </c>
    </row>
    <row r="427" spans="1:24" x14ac:dyDescent="0.25">
      <c r="A427" s="1" t="s">
        <v>1345</v>
      </c>
      <c r="B427" t="str">
        <f>IFERROR(VLOOKUP(Master8[[#This Row],[Cell_ID]],Registre_Maintenance[],2,FALSE),"")</f>
        <v>Haut-Katanga</v>
      </c>
      <c r="C427" s="1" t="s">
        <v>983</v>
      </c>
      <c r="D427" s="2">
        <v>45207.955555555563</v>
      </c>
      <c r="E427" s="3">
        <v>45207.955555555563</v>
      </c>
      <c r="F427">
        <v>73</v>
      </c>
      <c r="G427">
        <f>Master8[[#This Row],[Duree_Panne_Min]]/60</f>
        <v>1.2166666666666666</v>
      </c>
      <c r="H427" s="1" t="s">
        <v>735</v>
      </c>
      <c r="I427">
        <f>IFERROR(VLOOKUP(Master8[[#This Row],[Cell_ID]],Registre_Maintenance[],3,FALSE),"")</f>
        <v>2.016505</v>
      </c>
      <c r="J427">
        <f>IFERROR(VLOOKUP(Master8[[#This Row],[Cell_ID]],Registre_Maintenance[],4,FALSE),"")</f>
        <v>14.294164</v>
      </c>
      <c r="K427" t="str">
        <f>IFERROR(VLOOKUP(Master8[[#This Row],[Cell_ID]],Registre_Maintenance[],5,FALSE),"")</f>
        <v>5G</v>
      </c>
      <c r="L427" t="str">
        <f>IFERROR(VLOOKUP(Master8[[#This Row],[Cell_ID]],Registre_Maintenance[],6,FALSE),"")</f>
        <v>Huawei</v>
      </c>
      <c r="M427" s="1" t="str">
        <f>VLOOKUP(Master8[[#This Row],[Province_RDC]],Client[],2,FALSE)</f>
        <v>CLI-00076</v>
      </c>
      <c r="N427" s="1">
        <f>VLOOKUP(Master8[[#This Row],[Province_RDC]],Client[],3,FALSE)</f>
        <v>46</v>
      </c>
      <c r="O427" s="1" t="str">
        <f>VLOOKUP(Master8[[#This Row],[Province_RDC]],Client[],4,FALSE)</f>
        <v>Premium 5G 150Go</v>
      </c>
      <c r="P427" s="1">
        <f>VLOOKUP(Master8[[#This Row],[Province_RDC]],Client[],5,FALSE)</f>
        <v>283</v>
      </c>
      <c r="Q427" s="1">
        <f>VLOOKUP(Master8[[#This Row],[Province_RDC]],Client[],6,FALSE)</f>
        <v>56.05</v>
      </c>
      <c r="R427" s="1">
        <f>VLOOKUP(Master8[[#This Row],[Province_RDC]],Client[],7,FALSE)</f>
        <v>1</v>
      </c>
      <c r="S427" s="1" t="str">
        <f>IF(Master8[[#This Row],[Type_Forfait]]="Pro Monde","B2B","B2C")</f>
        <v>B2C</v>
      </c>
      <c r="T427" s="1">
        <f>Master8[[#This Row],[Anciennete_Mois]]/12</f>
        <v>3.8333333333333335</v>
      </c>
      <c r="U427" s="1">
        <f>Master8[[#This Row],[Duree_Cumule_Panne_Min]]/60</f>
        <v>4.7166666666666668</v>
      </c>
      <c r="V42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7" s="6">
        <f>Master8[[#This Row],[Facture_Mensuelle]]*Master8[[#This Row],[Remise]]</f>
        <v>25.2225</v>
      </c>
    </row>
    <row r="428" spans="1:24" x14ac:dyDescent="0.25">
      <c r="A428" s="1" t="s">
        <v>999</v>
      </c>
      <c r="B428" t="str">
        <f>IFERROR(VLOOKUP(Master8[[#This Row],[Cell_ID]],Registre_Maintenance[],2,FALSE),"")</f>
        <v>Haut-Katanga</v>
      </c>
      <c r="C428" s="1" t="s">
        <v>1023</v>
      </c>
      <c r="D428" s="2">
        <v>45207.526388888888</v>
      </c>
      <c r="E428" s="3">
        <v>45207.526388888888</v>
      </c>
      <c r="F428">
        <v>78</v>
      </c>
      <c r="G428">
        <f>Master8[[#This Row],[Duree_Panne_Min]]/60</f>
        <v>1.3</v>
      </c>
      <c r="H428" s="1" t="s">
        <v>737</v>
      </c>
      <c r="I428">
        <f>IFERROR(VLOOKUP(Master8[[#This Row],[Cell_ID]],Registre_Maintenance[],3,FALSE),"")</f>
        <v>-9.4229749999999992</v>
      </c>
      <c r="J428">
        <f>IFERROR(VLOOKUP(Master8[[#This Row],[Cell_ID]],Registre_Maintenance[],4,FALSE),"")</f>
        <v>29.375005999999999</v>
      </c>
      <c r="K428" t="str">
        <f>IFERROR(VLOOKUP(Master8[[#This Row],[Cell_ID]],Registre_Maintenance[],5,FALSE),"")</f>
        <v>3G</v>
      </c>
      <c r="L428" t="str">
        <f>IFERROR(VLOOKUP(Master8[[#This Row],[Cell_ID]],Registre_Maintenance[],6,FALSE),"")</f>
        <v>Ericsson</v>
      </c>
      <c r="M428" s="1" t="str">
        <f>VLOOKUP(Master8[[#This Row],[Province_RDC]],Client[],2,FALSE)</f>
        <v>CLI-00076</v>
      </c>
      <c r="N428" s="1">
        <f>VLOOKUP(Master8[[#This Row],[Province_RDC]],Client[],3,FALSE)</f>
        <v>46</v>
      </c>
      <c r="O428" s="1" t="str">
        <f>VLOOKUP(Master8[[#This Row],[Province_RDC]],Client[],4,FALSE)</f>
        <v>Premium 5G 150Go</v>
      </c>
      <c r="P428" s="1">
        <f>VLOOKUP(Master8[[#This Row],[Province_RDC]],Client[],5,FALSE)</f>
        <v>283</v>
      </c>
      <c r="Q428" s="1">
        <f>VLOOKUP(Master8[[#This Row],[Province_RDC]],Client[],6,FALSE)</f>
        <v>56.05</v>
      </c>
      <c r="R428" s="1">
        <f>VLOOKUP(Master8[[#This Row],[Province_RDC]],Client[],7,FALSE)</f>
        <v>1</v>
      </c>
      <c r="S428" s="1" t="str">
        <f>IF(Master8[[#This Row],[Type_Forfait]]="Pro Monde","B2B","B2C")</f>
        <v>B2C</v>
      </c>
      <c r="T428" s="1">
        <f>Master8[[#This Row],[Anciennete_Mois]]/12</f>
        <v>3.8333333333333335</v>
      </c>
      <c r="U428" s="1">
        <f>Master8[[#This Row],[Duree_Cumule_Panne_Min]]/60</f>
        <v>4.7166666666666668</v>
      </c>
      <c r="V42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8" s="6">
        <f>Master8[[#This Row],[Facture_Mensuelle]]*Master8[[#This Row],[Remise]]</f>
        <v>25.2225</v>
      </c>
    </row>
    <row r="429" spans="1:24" x14ac:dyDescent="0.25">
      <c r="A429" s="1" t="s">
        <v>1345</v>
      </c>
      <c r="B429" t="str">
        <f>IFERROR(VLOOKUP(Master8[[#This Row],[Cell_ID]],Registre_Maintenance[],2,FALSE),"")</f>
        <v>Haut-Katanga</v>
      </c>
      <c r="C429" s="1" t="s">
        <v>1358</v>
      </c>
      <c r="D429" s="2">
        <v>45206.974305555559</v>
      </c>
      <c r="E429" s="3">
        <v>45206.974305555559</v>
      </c>
      <c r="F429">
        <v>53</v>
      </c>
      <c r="G429">
        <f>Master8[[#This Row],[Duree_Panne_Min]]/60</f>
        <v>0.8833333333333333</v>
      </c>
      <c r="H429" s="1" t="s">
        <v>735</v>
      </c>
      <c r="I429">
        <f>IFERROR(VLOOKUP(Master8[[#This Row],[Cell_ID]],Registre_Maintenance[],3,FALSE),"")</f>
        <v>-2.926736</v>
      </c>
      <c r="J429">
        <f>IFERROR(VLOOKUP(Master8[[#This Row],[Cell_ID]],Registre_Maintenance[],4,FALSE),"")</f>
        <v>18.170461</v>
      </c>
      <c r="K429" t="str">
        <f>IFERROR(VLOOKUP(Master8[[#This Row],[Cell_ID]],Registre_Maintenance[],5,FALSE),"")</f>
        <v>5G</v>
      </c>
      <c r="L429" t="str">
        <f>IFERROR(VLOOKUP(Master8[[#This Row],[Cell_ID]],Registre_Maintenance[],6,FALSE),"")</f>
        <v>Ericsson</v>
      </c>
      <c r="M429" s="1" t="str">
        <f>VLOOKUP(Master8[[#This Row],[Province_RDC]],Client[],2,FALSE)</f>
        <v>CLI-00076</v>
      </c>
      <c r="N429" s="1">
        <f>VLOOKUP(Master8[[#This Row],[Province_RDC]],Client[],3,FALSE)</f>
        <v>46</v>
      </c>
      <c r="O429" s="1" t="str">
        <f>VLOOKUP(Master8[[#This Row],[Province_RDC]],Client[],4,FALSE)</f>
        <v>Premium 5G 150Go</v>
      </c>
      <c r="P429" s="1">
        <f>VLOOKUP(Master8[[#This Row],[Province_RDC]],Client[],5,FALSE)</f>
        <v>283</v>
      </c>
      <c r="Q429" s="1">
        <f>VLOOKUP(Master8[[#This Row],[Province_RDC]],Client[],6,FALSE)</f>
        <v>56.05</v>
      </c>
      <c r="R429" s="1">
        <f>VLOOKUP(Master8[[#This Row],[Province_RDC]],Client[],7,FALSE)</f>
        <v>1</v>
      </c>
      <c r="S429" s="1" t="str">
        <f>IF(Master8[[#This Row],[Type_Forfait]]="Pro Monde","B2B","B2C")</f>
        <v>B2C</v>
      </c>
      <c r="T429" s="1">
        <f>Master8[[#This Row],[Anciennete_Mois]]/12</f>
        <v>3.8333333333333335</v>
      </c>
      <c r="U429" s="1">
        <f>Master8[[#This Row],[Duree_Cumule_Panne_Min]]/60</f>
        <v>4.7166666666666668</v>
      </c>
      <c r="V42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2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29" s="6">
        <f>Master8[[#This Row],[Facture_Mensuelle]]*Master8[[#This Row],[Remise]]</f>
        <v>25.2225</v>
      </c>
    </row>
    <row r="430" spans="1:24" x14ac:dyDescent="0.25">
      <c r="A430" s="1" t="s">
        <v>1330</v>
      </c>
      <c r="B430" t="str">
        <f>IFERROR(VLOOKUP(Master8[[#This Row],[Cell_ID]],Registre_Maintenance[],2,FALSE),"")</f>
        <v>Haut-Katanga</v>
      </c>
      <c r="C430" s="1" t="s">
        <v>792</v>
      </c>
      <c r="D430" s="2">
        <v>45206.286805555559</v>
      </c>
      <c r="E430" s="3">
        <v>45206.286805555559</v>
      </c>
      <c r="F430">
        <v>96</v>
      </c>
      <c r="G430">
        <f>Master8[[#This Row],[Duree_Panne_Min]]/60</f>
        <v>1.6</v>
      </c>
      <c r="H430" s="1" t="s">
        <v>735</v>
      </c>
      <c r="I430">
        <f>IFERROR(VLOOKUP(Master8[[#This Row],[Cell_ID]],Registre_Maintenance[],3,FALSE),"")</f>
        <v>-5.5445120000000001</v>
      </c>
      <c r="J430">
        <f>IFERROR(VLOOKUP(Master8[[#This Row],[Cell_ID]],Registre_Maintenance[],4,FALSE),"")</f>
        <v>27.547335</v>
      </c>
      <c r="K430" t="str">
        <f>IFERROR(VLOOKUP(Master8[[#This Row],[Cell_ID]],Registre_Maintenance[],5,FALSE),"")</f>
        <v>4G</v>
      </c>
      <c r="L430" t="str">
        <f>IFERROR(VLOOKUP(Master8[[#This Row],[Cell_ID]],Registre_Maintenance[],6,FALSE),"")</f>
        <v>Ericsson</v>
      </c>
      <c r="M430" s="1" t="str">
        <f>VLOOKUP(Master8[[#This Row],[Province_RDC]],Client[],2,FALSE)</f>
        <v>CLI-00076</v>
      </c>
      <c r="N430" s="1">
        <f>VLOOKUP(Master8[[#This Row],[Province_RDC]],Client[],3,FALSE)</f>
        <v>46</v>
      </c>
      <c r="O430" s="1" t="str">
        <f>VLOOKUP(Master8[[#This Row],[Province_RDC]],Client[],4,FALSE)</f>
        <v>Premium 5G 150Go</v>
      </c>
      <c r="P430" s="1">
        <f>VLOOKUP(Master8[[#This Row],[Province_RDC]],Client[],5,FALSE)</f>
        <v>283</v>
      </c>
      <c r="Q430" s="1">
        <f>VLOOKUP(Master8[[#This Row],[Province_RDC]],Client[],6,FALSE)</f>
        <v>56.05</v>
      </c>
      <c r="R430" s="1">
        <f>VLOOKUP(Master8[[#This Row],[Province_RDC]],Client[],7,FALSE)</f>
        <v>1</v>
      </c>
      <c r="S430" s="1" t="str">
        <f>IF(Master8[[#This Row],[Type_Forfait]]="Pro Monde","B2B","B2C")</f>
        <v>B2C</v>
      </c>
      <c r="T430" s="1">
        <f>Master8[[#This Row],[Anciennete_Mois]]/12</f>
        <v>3.8333333333333335</v>
      </c>
      <c r="U430" s="1">
        <f>Master8[[#This Row],[Duree_Cumule_Panne_Min]]/60</f>
        <v>4.7166666666666668</v>
      </c>
      <c r="V43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0" s="6">
        <f>Master8[[#This Row],[Facture_Mensuelle]]*Master8[[#This Row],[Remise]]</f>
        <v>25.2225</v>
      </c>
    </row>
    <row r="431" spans="1:24" x14ac:dyDescent="0.25">
      <c r="A431" s="1" t="s">
        <v>1165</v>
      </c>
      <c r="B431" t="str">
        <f>IFERROR(VLOOKUP(Master8[[#This Row],[Cell_ID]],Registre_Maintenance[],2,FALSE),"")</f>
        <v>Haut-Katanga</v>
      </c>
      <c r="C431" s="1" t="s">
        <v>1169</v>
      </c>
      <c r="D431" s="2">
        <v>45205.729166666657</v>
      </c>
      <c r="E431" s="3">
        <v>45205.729166666657</v>
      </c>
      <c r="F431">
        <v>106</v>
      </c>
      <c r="G431">
        <f>Master8[[#This Row],[Duree_Panne_Min]]/60</f>
        <v>1.7666666666666666</v>
      </c>
      <c r="H431" s="1" t="s">
        <v>737</v>
      </c>
      <c r="I431">
        <f>IFERROR(VLOOKUP(Master8[[#This Row],[Cell_ID]],Registre_Maintenance[],3,FALSE),"")</f>
        <v>-4.4958720000000003</v>
      </c>
      <c r="J431">
        <f>IFERROR(VLOOKUP(Master8[[#This Row],[Cell_ID]],Registre_Maintenance[],4,FALSE),"")</f>
        <v>18.514112000000001</v>
      </c>
      <c r="K431" t="str">
        <f>IFERROR(VLOOKUP(Master8[[#This Row],[Cell_ID]],Registre_Maintenance[],5,FALSE),"")</f>
        <v>4G</v>
      </c>
      <c r="L431" t="str">
        <f>IFERROR(VLOOKUP(Master8[[#This Row],[Cell_ID]],Registre_Maintenance[],6,FALSE),"")</f>
        <v>Nokia</v>
      </c>
      <c r="M431" s="1" t="str">
        <f>VLOOKUP(Master8[[#This Row],[Province_RDC]],Client[],2,FALSE)</f>
        <v>CLI-00076</v>
      </c>
      <c r="N431" s="1">
        <f>VLOOKUP(Master8[[#This Row],[Province_RDC]],Client[],3,FALSE)</f>
        <v>46</v>
      </c>
      <c r="O431" s="1" t="str">
        <f>VLOOKUP(Master8[[#This Row],[Province_RDC]],Client[],4,FALSE)</f>
        <v>Premium 5G 150Go</v>
      </c>
      <c r="P431" s="1">
        <f>VLOOKUP(Master8[[#This Row],[Province_RDC]],Client[],5,FALSE)</f>
        <v>283</v>
      </c>
      <c r="Q431" s="1">
        <f>VLOOKUP(Master8[[#This Row],[Province_RDC]],Client[],6,FALSE)</f>
        <v>56.05</v>
      </c>
      <c r="R431" s="1">
        <f>VLOOKUP(Master8[[#This Row],[Province_RDC]],Client[],7,FALSE)</f>
        <v>1</v>
      </c>
      <c r="S431" s="1" t="str">
        <f>IF(Master8[[#This Row],[Type_Forfait]]="Pro Monde","B2B","B2C")</f>
        <v>B2C</v>
      </c>
      <c r="T431" s="1">
        <f>Master8[[#This Row],[Anciennete_Mois]]/12</f>
        <v>3.8333333333333335</v>
      </c>
      <c r="U431" s="1">
        <f>Master8[[#This Row],[Duree_Cumule_Panne_Min]]/60</f>
        <v>4.7166666666666668</v>
      </c>
      <c r="V43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1" s="6">
        <f>Master8[[#This Row],[Facture_Mensuelle]]*Master8[[#This Row],[Remise]]</f>
        <v>25.2225</v>
      </c>
    </row>
    <row r="432" spans="1:24" x14ac:dyDescent="0.25">
      <c r="A432" s="1" t="s">
        <v>978</v>
      </c>
      <c r="B432" t="str">
        <f>IFERROR(VLOOKUP(Master8[[#This Row],[Cell_ID]],Registre_Maintenance[],2,FALSE),"")</f>
        <v>Haut-Katanga</v>
      </c>
      <c r="C432" s="1" t="s">
        <v>983</v>
      </c>
      <c r="D432" s="2">
        <v>45203.652083333327</v>
      </c>
      <c r="E432" s="3">
        <v>45203.652083333327</v>
      </c>
      <c r="F432">
        <v>65</v>
      </c>
      <c r="G432">
        <f>Master8[[#This Row],[Duree_Panne_Min]]/60</f>
        <v>1.0833333333333333</v>
      </c>
      <c r="H432" s="1" t="s">
        <v>737</v>
      </c>
      <c r="I432">
        <f>IFERROR(VLOOKUP(Master8[[#This Row],[Cell_ID]],Registre_Maintenance[],3,FALSE),"")</f>
        <v>2.016505</v>
      </c>
      <c r="J432">
        <f>IFERROR(VLOOKUP(Master8[[#This Row],[Cell_ID]],Registre_Maintenance[],4,FALSE),"")</f>
        <v>14.294164</v>
      </c>
      <c r="K432" t="str">
        <f>IFERROR(VLOOKUP(Master8[[#This Row],[Cell_ID]],Registre_Maintenance[],5,FALSE),"")</f>
        <v>5G</v>
      </c>
      <c r="L432" t="str">
        <f>IFERROR(VLOOKUP(Master8[[#This Row],[Cell_ID]],Registre_Maintenance[],6,FALSE),"")</f>
        <v>Huawei</v>
      </c>
      <c r="M432" s="1" t="str">
        <f>VLOOKUP(Master8[[#This Row],[Province_RDC]],Client[],2,FALSE)</f>
        <v>CLI-00076</v>
      </c>
      <c r="N432" s="1">
        <f>VLOOKUP(Master8[[#This Row],[Province_RDC]],Client[],3,FALSE)</f>
        <v>46</v>
      </c>
      <c r="O432" s="1" t="str">
        <f>VLOOKUP(Master8[[#This Row],[Province_RDC]],Client[],4,FALSE)</f>
        <v>Premium 5G 150Go</v>
      </c>
      <c r="P432" s="1">
        <f>VLOOKUP(Master8[[#This Row],[Province_RDC]],Client[],5,FALSE)</f>
        <v>283</v>
      </c>
      <c r="Q432" s="1">
        <f>VLOOKUP(Master8[[#This Row],[Province_RDC]],Client[],6,FALSE)</f>
        <v>56.05</v>
      </c>
      <c r="R432" s="1">
        <f>VLOOKUP(Master8[[#This Row],[Province_RDC]],Client[],7,FALSE)</f>
        <v>1</v>
      </c>
      <c r="S432" s="1" t="str">
        <f>IF(Master8[[#This Row],[Type_Forfait]]="Pro Monde","B2B","B2C")</f>
        <v>B2C</v>
      </c>
      <c r="T432" s="1">
        <f>Master8[[#This Row],[Anciennete_Mois]]/12</f>
        <v>3.8333333333333335</v>
      </c>
      <c r="U432" s="1">
        <f>Master8[[#This Row],[Duree_Cumule_Panne_Min]]/60</f>
        <v>4.7166666666666668</v>
      </c>
      <c r="V43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2" s="6">
        <f>Master8[[#This Row],[Facture_Mensuelle]]*Master8[[#This Row],[Remise]]</f>
        <v>25.2225</v>
      </c>
    </row>
    <row r="433" spans="1:24" x14ac:dyDescent="0.25">
      <c r="A433" s="1" t="s">
        <v>1382</v>
      </c>
      <c r="B433" t="str">
        <f>IFERROR(VLOOKUP(Master8[[#This Row],[Cell_ID]],Registre_Maintenance[],2,FALSE),"")</f>
        <v>Haut-Katanga</v>
      </c>
      <c r="C433" s="1" t="s">
        <v>1383</v>
      </c>
      <c r="D433" s="2">
        <v>45203.603472222218</v>
      </c>
      <c r="E433" s="3">
        <v>45203.603472222218</v>
      </c>
      <c r="F433">
        <v>106</v>
      </c>
      <c r="G433">
        <f>Master8[[#This Row],[Duree_Panne_Min]]/60</f>
        <v>1.7666666666666666</v>
      </c>
      <c r="H433" s="1" t="s">
        <v>735</v>
      </c>
      <c r="I433">
        <f>IFERROR(VLOOKUP(Master8[[#This Row],[Cell_ID]],Registre_Maintenance[],3,FALSE),"")</f>
        <v>-5.1507670000000001</v>
      </c>
      <c r="J433">
        <f>IFERROR(VLOOKUP(Master8[[#This Row],[Cell_ID]],Registre_Maintenance[],4,FALSE),"")</f>
        <v>28.075324999999999</v>
      </c>
      <c r="K433" t="str">
        <f>IFERROR(VLOOKUP(Master8[[#This Row],[Cell_ID]],Registre_Maintenance[],5,FALSE),"")</f>
        <v>5G</v>
      </c>
      <c r="L433" t="str">
        <f>IFERROR(VLOOKUP(Master8[[#This Row],[Cell_ID]],Registre_Maintenance[],6,FALSE),"")</f>
        <v>Huawei</v>
      </c>
      <c r="M433" s="1" t="str">
        <f>VLOOKUP(Master8[[#This Row],[Province_RDC]],Client[],2,FALSE)</f>
        <v>CLI-00076</v>
      </c>
      <c r="N433" s="1">
        <f>VLOOKUP(Master8[[#This Row],[Province_RDC]],Client[],3,FALSE)</f>
        <v>46</v>
      </c>
      <c r="O433" s="1" t="str">
        <f>VLOOKUP(Master8[[#This Row],[Province_RDC]],Client[],4,FALSE)</f>
        <v>Premium 5G 150Go</v>
      </c>
      <c r="P433" s="1">
        <f>VLOOKUP(Master8[[#This Row],[Province_RDC]],Client[],5,FALSE)</f>
        <v>283</v>
      </c>
      <c r="Q433" s="1">
        <f>VLOOKUP(Master8[[#This Row],[Province_RDC]],Client[],6,FALSE)</f>
        <v>56.05</v>
      </c>
      <c r="R433" s="1">
        <f>VLOOKUP(Master8[[#This Row],[Province_RDC]],Client[],7,FALSE)</f>
        <v>1</v>
      </c>
      <c r="S433" s="1" t="str">
        <f>IF(Master8[[#This Row],[Type_Forfait]]="Pro Monde","B2B","B2C")</f>
        <v>B2C</v>
      </c>
      <c r="T433" s="1">
        <f>Master8[[#This Row],[Anciennete_Mois]]/12</f>
        <v>3.8333333333333335</v>
      </c>
      <c r="U433" s="1">
        <f>Master8[[#This Row],[Duree_Cumule_Panne_Min]]/60</f>
        <v>4.7166666666666668</v>
      </c>
      <c r="V43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3" s="6">
        <f>Master8[[#This Row],[Facture_Mensuelle]]*Master8[[#This Row],[Remise]]</f>
        <v>25.2225</v>
      </c>
    </row>
    <row r="434" spans="1:24" x14ac:dyDescent="0.25">
      <c r="A434" s="1" t="s">
        <v>902</v>
      </c>
      <c r="B434" t="str">
        <f>IFERROR(VLOOKUP(Master8[[#This Row],[Cell_ID]],Registre_Maintenance[],2,FALSE),"")</f>
        <v>Haut-Katanga</v>
      </c>
      <c r="C434" s="1" t="s">
        <v>753</v>
      </c>
      <c r="D434" s="2">
        <v>45201.574305555558</v>
      </c>
      <c r="E434" s="3">
        <v>45201.574305555558</v>
      </c>
      <c r="F434">
        <v>75</v>
      </c>
      <c r="G434">
        <f>Master8[[#This Row],[Duree_Panne_Min]]/60</f>
        <v>1.25</v>
      </c>
      <c r="H434" s="1" t="s">
        <v>737</v>
      </c>
      <c r="I434">
        <f>IFERROR(VLOOKUP(Master8[[#This Row],[Cell_ID]],Registre_Maintenance[],3,FALSE),"")</f>
        <v>0.172153</v>
      </c>
      <c r="J434">
        <f>IFERROR(VLOOKUP(Master8[[#This Row],[Cell_ID]],Registre_Maintenance[],4,FALSE),"")</f>
        <v>21.091376</v>
      </c>
      <c r="K434" t="str">
        <f>IFERROR(VLOOKUP(Master8[[#This Row],[Cell_ID]],Registre_Maintenance[],5,FALSE),"")</f>
        <v>3G</v>
      </c>
      <c r="L434" t="str">
        <f>IFERROR(VLOOKUP(Master8[[#This Row],[Cell_ID]],Registre_Maintenance[],6,FALSE),"")</f>
        <v>Ericsson</v>
      </c>
      <c r="M434" s="1" t="str">
        <f>VLOOKUP(Master8[[#This Row],[Province_RDC]],Client[],2,FALSE)</f>
        <v>CLI-00076</v>
      </c>
      <c r="N434" s="1">
        <f>VLOOKUP(Master8[[#This Row],[Province_RDC]],Client[],3,FALSE)</f>
        <v>46</v>
      </c>
      <c r="O434" s="1" t="str">
        <f>VLOOKUP(Master8[[#This Row],[Province_RDC]],Client[],4,FALSE)</f>
        <v>Premium 5G 150Go</v>
      </c>
      <c r="P434" s="1">
        <f>VLOOKUP(Master8[[#This Row],[Province_RDC]],Client[],5,FALSE)</f>
        <v>283</v>
      </c>
      <c r="Q434" s="1">
        <f>VLOOKUP(Master8[[#This Row],[Province_RDC]],Client[],6,FALSE)</f>
        <v>56.05</v>
      </c>
      <c r="R434" s="1">
        <f>VLOOKUP(Master8[[#This Row],[Province_RDC]],Client[],7,FALSE)</f>
        <v>1</v>
      </c>
      <c r="S434" s="1" t="str">
        <f>IF(Master8[[#This Row],[Type_Forfait]]="Pro Monde","B2B","B2C")</f>
        <v>B2C</v>
      </c>
      <c r="T434" s="1">
        <f>Master8[[#This Row],[Anciennete_Mois]]/12</f>
        <v>3.8333333333333335</v>
      </c>
      <c r="U434" s="1">
        <f>Master8[[#This Row],[Duree_Cumule_Panne_Min]]/60</f>
        <v>4.7166666666666668</v>
      </c>
      <c r="V43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4" s="6">
        <f>Master8[[#This Row],[Facture_Mensuelle]]*Master8[[#This Row],[Remise]]</f>
        <v>25.2225</v>
      </c>
    </row>
    <row r="435" spans="1:24" x14ac:dyDescent="0.25">
      <c r="A435" s="1" t="s">
        <v>861</v>
      </c>
      <c r="B435" t="str">
        <f>IFERROR(VLOOKUP(Master8[[#This Row],[Cell_ID]],Registre_Maintenance[],2,FALSE),"")</f>
        <v>Haut-Katanga</v>
      </c>
      <c r="C435" s="1" t="s">
        <v>876</v>
      </c>
      <c r="D435" s="2">
        <v>45201.468055555553</v>
      </c>
      <c r="E435" s="3">
        <v>45201.468055555553</v>
      </c>
      <c r="F435">
        <v>80</v>
      </c>
      <c r="G435">
        <f>Master8[[#This Row],[Duree_Panne_Min]]/60</f>
        <v>1.3333333333333333</v>
      </c>
      <c r="H435" s="1" t="s">
        <v>732</v>
      </c>
      <c r="I435">
        <f>IFERROR(VLOOKUP(Master8[[#This Row],[Cell_ID]],Registre_Maintenance[],3,FALSE),"")</f>
        <v>-3.3890790000000002</v>
      </c>
      <c r="J435">
        <f>IFERROR(VLOOKUP(Master8[[#This Row],[Cell_ID]],Registre_Maintenance[],4,FALSE),"")</f>
        <v>18.374571</v>
      </c>
      <c r="K435" t="str">
        <f>IFERROR(VLOOKUP(Master8[[#This Row],[Cell_ID]],Registre_Maintenance[],5,FALSE),"")</f>
        <v>5G</v>
      </c>
      <c r="L435" t="str">
        <f>IFERROR(VLOOKUP(Master8[[#This Row],[Cell_ID]],Registre_Maintenance[],6,FALSE),"")</f>
        <v>ZTE</v>
      </c>
      <c r="M435" s="1" t="str">
        <f>VLOOKUP(Master8[[#This Row],[Province_RDC]],Client[],2,FALSE)</f>
        <v>CLI-00076</v>
      </c>
      <c r="N435" s="1">
        <f>VLOOKUP(Master8[[#This Row],[Province_RDC]],Client[],3,FALSE)</f>
        <v>46</v>
      </c>
      <c r="O435" s="1" t="str">
        <f>VLOOKUP(Master8[[#This Row],[Province_RDC]],Client[],4,FALSE)</f>
        <v>Premium 5G 150Go</v>
      </c>
      <c r="P435" s="1">
        <f>VLOOKUP(Master8[[#This Row],[Province_RDC]],Client[],5,FALSE)</f>
        <v>283</v>
      </c>
      <c r="Q435" s="1">
        <f>VLOOKUP(Master8[[#This Row],[Province_RDC]],Client[],6,FALSE)</f>
        <v>56.05</v>
      </c>
      <c r="R435" s="1">
        <f>VLOOKUP(Master8[[#This Row],[Province_RDC]],Client[],7,FALSE)</f>
        <v>1</v>
      </c>
      <c r="S435" s="1" t="str">
        <f>IF(Master8[[#This Row],[Type_Forfait]]="Pro Monde","B2B","B2C")</f>
        <v>B2C</v>
      </c>
      <c r="T435" s="1">
        <f>Master8[[#This Row],[Anciennete_Mois]]/12</f>
        <v>3.8333333333333335</v>
      </c>
      <c r="U435" s="1">
        <f>Master8[[#This Row],[Duree_Cumule_Panne_Min]]/60</f>
        <v>4.7166666666666668</v>
      </c>
      <c r="V43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5" s="6">
        <f>Master8[[#This Row],[Facture_Mensuelle]]*Master8[[#This Row],[Remise]]</f>
        <v>25.2225</v>
      </c>
    </row>
    <row r="436" spans="1:24" x14ac:dyDescent="0.25">
      <c r="A436" s="1" t="s">
        <v>1024</v>
      </c>
      <c r="B436" t="str">
        <f>IFERROR(VLOOKUP(Master8[[#This Row],[Cell_ID]],Registre_Maintenance[],2,FALSE),"")</f>
        <v>Haut-Katanga</v>
      </c>
      <c r="C436" s="1" t="s">
        <v>1025</v>
      </c>
      <c r="D436" s="2">
        <v>45201.057638888888</v>
      </c>
      <c r="E436" s="3">
        <v>45201.057638888888</v>
      </c>
      <c r="F436">
        <v>103</v>
      </c>
      <c r="G436">
        <f>Master8[[#This Row],[Duree_Panne_Min]]/60</f>
        <v>1.7166666666666666</v>
      </c>
      <c r="H436" s="1" t="s">
        <v>732</v>
      </c>
      <c r="I436">
        <f>IFERROR(VLOOKUP(Master8[[#This Row],[Cell_ID]],Registre_Maintenance[],3,FALSE),"")</f>
        <v>-11.594525000000001</v>
      </c>
      <c r="J436">
        <f>IFERROR(VLOOKUP(Master8[[#This Row],[Cell_ID]],Registre_Maintenance[],4,FALSE),"")</f>
        <v>29.744895</v>
      </c>
      <c r="K436" t="str">
        <f>IFERROR(VLOOKUP(Master8[[#This Row],[Cell_ID]],Registre_Maintenance[],5,FALSE),"")</f>
        <v>3G</v>
      </c>
      <c r="L436" t="str">
        <f>IFERROR(VLOOKUP(Master8[[#This Row],[Cell_ID]],Registre_Maintenance[],6,FALSE),"")</f>
        <v>ZTE</v>
      </c>
      <c r="M436" s="1" t="str">
        <f>VLOOKUP(Master8[[#This Row],[Province_RDC]],Client[],2,FALSE)</f>
        <v>CLI-00076</v>
      </c>
      <c r="N436" s="1">
        <f>VLOOKUP(Master8[[#This Row],[Province_RDC]],Client[],3,FALSE)</f>
        <v>46</v>
      </c>
      <c r="O436" s="1" t="str">
        <f>VLOOKUP(Master8[[#This Row],[Province_RDC]],Client[],4,FALSE)</f>
        <v>Premium 5G 150Go</v>
      </c>
      <c r="P436" s="1">
        <f>VLOOKUP(Master8[[#This Row],[Province_RDC]],Client[],5,FALSE)</f>
        <v>283</v>
      </c>
      <c r="Q436" s="1">
        <f>VLOOKUP(Master8[[#This Row],[Province_RDC]],Client[],6,FALSE)</f>
        <v>56.05</v>
      </c>
      <c r="R436" s="1">
        <f>VLOOKUP(Master8[[#This Row],[Province_RDC]],Client[],7,FALSE)</f>
        <v>1</v>
      </c>
      <c r="S436" s="1" t="str">
        <f>IF(Master8[[#This Row],[Type_Forfait]]="Pro Monde","B2B","B2C")</f>
        <v>B2C</v>
      </c>
      <c r="T436" s="1">
        <f>Master8[[#This Row],[Anciennete_Mois]]/12</f>
        <v>3.8333333333333335</v>
      </c>
      <c r="U436" s="1">
        <f>Master8[[#This Row],[Duree_Cumule_Panne_Min]]/60</f>
        <v>4.7166666666666668</v>
      </c>
      <c r="V43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6" s="6">
        <f>Master8[[#This Row],[Facture_Mensuelle]]*Master8[[#This Row],[Remise]]</f>
        <v>25.2225</v>
      </c>
    </row>
    <row r="437" spans="1:24" x14ac:dyDescent="0.25">
      <c r="A437" s="1" t="s">
        <v>1382</v>
      </c>
      <c r="B437" t="str">
        <f>IFERROR(VLOOKUP(Master8[[#This Row],[Cell_ID]],Registre_Maintenance[],2,FALSE),"")</f>
        <v>Haut-Katanga</v>
      </c>
      <c r="C437" s="1" t="s">
        <v>1227</v>
      </c>
      <c r="D437" s="2">
        <v>45200.506249999999</v>
      </c>
      <c r="E437" s="3">
        <v>45200.506249999999</v>
      </c>
      <c r="F437">
        <v>99</v>
      </c>
      <c r="G437">
        <f>Master8[[#This Row],[Duree_Panne_Min]]/60</f>
        <v>1.65</v>
      </c>
      <c r="H437" s="1" t="s">
        <v>732</v>
      </c>
      <c r="I437">
        <f>IFERROR(VLOOKUP(Master8[[#This Row],[Cell_ID]],Registre_Maintenance[],3,FALSE),"")</f>
        <v>-10.945031</v>
      </c>
      <c r="J437">
        <f>IFERROR(VLOOKUP(Master8[[#This Row],[Cell_ID]],Registre_Maintenance[],4,FALSE),"")</f>
        <v>27.922274000000002</v>
      </c>
      <c r="K437" t="str">
        <f>IFERROR(VLOOKUP(Master8[[#This Row],[Cell_ID]],Registre_Maintenance[],5,FALSE),"")</f>
        <v>4G</v>
      </c>
      <c r="L437" t="str">
        <f>IFERROR(VLOOKUP(Master8[[#This Row],[Cell_ID]],Registre_Maintenance[],6,FALSE),"")</f>
        <v>Ericsson</v>
      </c>
      <c r="M437" s="1" t="str">
        <f>VLOOKUP(Master8[[#This Row],[Province_RDC]],Client[],2,FALSE)</f>
        <v>CLI-00076</v>
      </c>
      <c r="N437" s="1">
        <f>VLOOKUP(Master8[[#This Row],[Province_RDC]],Client[],3,FALSE)</f>
        <v>46</v>
      </c>
      <c r="O437" s="1" t="str">
        <f>VLOOKUP(Master8[[#This Row],[Province_RDC]],Client[],4,FALSE)</f>
        <v>Premium 5G 150Go</v>
      </c>
      <c r="P437" s="1">
        <f>VLOOKUP(Master8[[#This Row],[Province_RDC]],Client[],5,FALSE)</f>
        <v>283</v>
      </c>
      <c r="Q437" s="1">
        <f>VLOOKUP(Master8[[#This Row],[Province_RDC]],Client[],6,FALSE)</f>
        <v>56.05</v>
      </c>
      <c r="R437" s="1">
        <f>VLOOKUP(Master8[[#This Row],[Province_RDC]],Client[],7,FALSE)</f>
        <v>1</v>
      </c>
      <c r="S437" s="1" t="str">
        <f>IF(Master8[[#This Row],[Type_Forfait]]="Pro Monde","B2B","B2C")</f>
        <v>B2C</v>
      </c>
      <c r="T437" s="1">
        <f>Master8[[#This Row],[Anciennete_Mois]]/12</f>
        <v>3.8333333333333335</v>
      </c>
      <c r="U437" s="1">
        <f>Master8[[#This Row],[Duree_Cumule_Panne_Min]]/60</f>
        <v>4.7166666666666668</v>
      </c>
      <c r="V43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7" s="6">
        <f>Master8[[#This Row],[Facture_Mensuelle]]*Master8[[#This Row],[Remise]]</f>
        <v>25.2225</v>
      </c>
    </row>
    <row r="438" spans="1:24" x14ac:dyDescent="0.25">
      <c r="A438" s="1" t="s">
        <v>1219</v>
      </c>
      <c r="B438" t="str">
        <f>IFERROR(VLOOKUP(Master8[[#This Row],[Cell_ID]],Registre_Maintenance[],2,FALSE),"")</f>
        <v>Haut-Katanga</v>
      </c>
      <c r="C438" s="1" t="s">
        <v>1227</v>
      </c>
      <c r="D438" s="2">
        <v>45200.445138888892</v>
      </c>
      <c r="E438" s="3">
        <v>45200.445138888892</v>
      </c>
      <c r="F438">
        <v>112</v>
      </c>
      <c r="G438">
        <f>Master8[[#This Row],[Duree_Panne_Min]]/60</f>
        <v>1.8666666666666667</v>
      </c>
      <c r="H438" s="1" t="s">
        <v>732</v>
      </c>
      <c r="I438">
        <f>IFERROR(VLOOKUP(Master8[[#This Row],[Cell_ID]],Registre_Maintenance[],3,FALSE),"")</f>
        <v>-10.945031</v>
      </c>
      <c r="J438">
        <f>IFERROR(VLOOKUP(Master8[[#This Row],[Cell_ID]],Registre_Maintenance[],4,FALSE),"")</f>
        <v>27.922274000000002</v>
      </c>
      <c r="K438" t="str">
        <f>IFERROR(VLOOKUP(Master8[[#This Row],[Cell_ID]],Registre_Maintenance[],5,FALSE),"")</f>
        <v>4G</v>
      </c>
      <c r="L438" t="str">
        <f>IFERROR(VLOOKUP(Master8[[#This Row],[Cell_ID]],Registre_Maintenance[],6,FALSE),"")</f>
        <v>Ericsson</v>
      </c>
      <c r="M438" s="1" t="str">
        <f>VLOOKUP(Master8[[#This Row],[Province_RDC]],Client[],2,FALSE)</f>
        <v>CLI-00076</v>
      </c>
      <c r="N438" s="1">
        <f>VLOOKUP(Master8[[#This Row],[Province_RDC]],Client[],3,FALSE)</f>
        <v>46</v>
      </c>
      <c r="O438" s="1" t="str">
        <f>VLOOKUP(Master8[[#This Row],[Province_RDC]],Client[],4,FALSE)</f>
        <v>Premium 5G 150Go</v>
      </c>
      <c r="P438" s="1">
        <f>VLOOKUP(Master8[[#This Row],[Province_RDC]],Client[],5,FALSE)</f>
        <v>283</v>
      </c>
      <c r="Q438" s="1">
        <f>VLOOKUP(Master8[[#This Row],[Province_RDC]],Client[],6,FALSE)</f>
        <v>56.05</v>
      </c>
      <c r="R438" s="1">
        <f>VLOOKUP(Master8[[#This Row],[Province_RDC]],Client[],7,FALSE)</f>
        <v>1</v>
      </c>
      <c r="S438" s="1" t="str">
        <f>IF(Master8[[#This Row],[Type_Forfait]]="Pro Monde","B2B","B2C")</f>
        <v>B2C</v>
      </c>
      <c r="T438" s="1">
        <f>Master8[[#This Row],[Anciennete_Mois]]/12</f>
        <v>3.8333333333333335</v>
      </c>
      <c r="U438" s="1">
        <f>Master8[[#This Row],[Duree_Cumule_Panne_Min]]/60</f>
        <v>4.7166666666666668</v>
      </c>
      <c r="V43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8" s="6">
        <f>Master8[[#This Row],[Facture_Mensuelle]]*Master8[[#This Row],[Remise]]</f>
        <v>25.2225</v>
      </c>
    </row>
    <row r="439" spans="1:24" x14ac:dyDescent="0.25">
      <c r="A439" s="1" t="s">
        <v>1404</v>
      </c>
      <c r="B439" t="str">
        <f>IFERROR(VLOOKUP(Master8[[#This Row],[Cell_ID]],Registre_Maintenance[],2,FALSE),"")</f>
        <v>Equateur</v>
      </c>
      <c r="C439" s="1" t="s">
        <v>1120</v>
      </c>
      <c r="D439" s="2">
        <v>45230.839583333327</v>
      </c>
      <c r="E439" s="3">
        <v>45230.839583333327</v>
      </c>
      <c r="F439">
        <v>83</v>
      </c>
      <c r="G439">
        <f>Master8[[#This Row],[Duree_Panne_Min]]/60</f>
        <v>1.3833333333333333</v>
      </c>
      <c r="H439" s="1" t="s">
        <v>737</v>
      </c>
      <c r="I439">
        <f>IFERROR(VLOOKUP(Master8[[#This Row],[Cell_ID]],Registre_Maintenance[],3,FALSE),"")</f>
        <v>-0.79459900000000006</v>
      </c>
      <c r="J439">
        <f>IFERROR(VLOOKUP(Master8[[#This Row],[Cell_ID]],Registre_Maintenance[],4,FALSE),"")</f>
        <v>26.775570999999999</v>
      </c>
      <c r="K439" t="str">
        <f>IFERROR(VLOOKUP(Master8[[#This Row],[Cell_ID]],Registre_Maintenance[],5,FALSE),"")</f>
        <v>5G</v>
      </c>
      <c r="L439" t="str">
        <f>IFERROR(VLOOKUP(Master8[[#This Row],[Cell_ID]],Registre_Maintenance[],6,FALSE),"")</f>
        <v>Huawei</v>
      </c>
      <c r="M439" s="1" t="str">
        <f>VLOOKUP(Master8[[#This Row],[Province_RDC]],Client[],2,FALSE)</f>
        <v>CLI-00643</v>
      </c>
      <c r="N439" s="1">
        <f>VLOOKUP(Master8[[#This Row],[Province_RDC]],Client[],3,FALSE)</f>
        <v>14</v>
      </c>
      <c r="O439" s="1" t="str">
        <f>VLOOKUP(Master8[[#This Row],[Province_RDC]],Client[],4,FALSE)</f>
        <v>Pro Monde</v>
      </c>
      <c r="P439" s="1">
        <f>VLOOKUP(Master8[[#This Row],[Province_RDC]],Client[],5,FALSE)</f>
        <v>316</v>
      </c>
      <c r="Q439" s="1">
        <f>VLOOKUP(Master8[[#This Row],[Province_RDC]],Client[],6,FALSE)</f>
        <v>62.34</v>
      </c>
      <c r="R439" s="1">
        <f>VLOOKUP(Master8[[#This Row],[Province_RDC]],Client[],7,FALSE)</f>
        <v>4</v>
      </c>
      <c r="S439" s="1" t="str">
        <f>IF(Master8[[#This Row],[Type_Forfait]]="Pro Monde","B2B","B2C")</f>
        <v>B2B</v>
      </c>
      <c r="T439" s="1">
        <f>Master8[[#This Row],[Anciennete_Mois]]/12</f>
        <v>1.1666666666666667</v>
      </c>
      <c r="U439" s="1">
        <f>Master8[[#This Row],[Duree_Cumule_Panne_Min]]/60</f>
        <v>5.2666666666666666</v>
      </c>
      <c r="V43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3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39" s="6">
        <f>Master8[[#This Row],[Facture_Mensuelle]]*Master8[[#This Row],[Remise]]</f>
        <v>28.053000000000001</v>
      </c>
    </row>
    <row r="440" spans="1:24" x14ac:dyDescent="0.25">
      <c r="A440" s="1" t="s">
        <v>1261</v>
      </c>
      <c r="B440" t="str">
        <f>IFERROR(VLOOKUP(Master8[[#This Row],[Cell_ID]],Registre_Maintenance[],2,FALSE),"")</f>
        <v>Equateur</v>
      </c>
      <c r="C440" s="1" t="s">
        <v>1124</v>
      </c>
      <c r="D440" s="2">
        <v>45230.50277777778</v>
      </c>
      <c r="E440" s="3">
        <v>45230.50277777778</v>
      </c>
      <c r="F440">
        <v>99</v>
      </c>
      <c r="G440">
        <f>Master8[[#This Row],[Duree_Panne_Min]]/60</f>
        <v>1.65</v>
      </c>
      <c r="H440" s="1" t="s">
        <v>732</v>
      </c>
      <c r="I440">
        <f>IFERROR(VLOOKUP(Master8[[#This Row],[Cell_ID]],Registre_Maintenance[],3,FALSE),"")</f>
        <v>-5.7200150000000001</v>
      </c>
      <c r="J440">
        <f>IFERROR(VLOOKUP(Master8[[#This Row],[Cell_ID]],Registre_Maintenance[],4,FALSE),"")</f>
        <v>25.022109</v>
      </c>
      <c r="K440" t="str">
        <f>IFERROR(VLOOKUP(Master8[[#This Row],[Cell_ID]],Registre_Maintenance[],5,FALSE),"")</f>
        <v>5G</v>
      </c>
      <c r="L440" t="str">
        <f>IFERROR(VLOOKUP(Master8[[#This Row],[Cell_ID]],Registre_Maintenance[],6,FALSE),"")</f>
        <v>ZTE</v>
      </c>
      <c r="M440" s="1" t="str">
        <f>VLOOKUP(Master8[[#This Row],[Province_RDC]],Client[],2,FALSE)</f>
        <v>CLI-00643</v>
      </c>
      <c r="N440" s="1">
        <f>VLOOKUP(Master8[[#This Row],[Province_RDC]],Client[],3,FALSE)</f>
        <v>14</v>
      </c>
      <c r="O440" s="1" t="str">
        <f>VLOOKUP(Master8[[#This Row],[Province_RDC]],Client[],4,FALSE)</f>
        <v>Pro Monde</v>
      </c>
      <c r="P440" s="1">
        <f>VLOOKUP(Master8[[#This Row],[Province_RDC]],Client[],5,FALSE)</f>
        <v>316</v>
      </c>
      <c r="Q440" s="1">
        <f>VLOOKUP(Master8[[#This Row],[Province_RDC]],Client[],6,FALSE)</f>
        <v>62.34</v>
      </c>
      <c r="R440" s="1">
        <f>VLOOKUP(Master8[[#This Row],[Province_RDC]],Client[],7,FALSE)</f>
        <v>4</v>
      </c>
      <c r="S440" s="1" t="str">
        <f>IF(Master8[[#This Row],[Type_Forfait]]="Pro Monde","B2B","B2C")</f>
        <v>B2B</v>
      </c>
      <c r="T440" s="1">
        <f>Master8[[#This Row],[Anciennete_Mois]]/12</f>
        <v>1.1666666666666667</v>
      </c>
      <c r="U440" s="1">
        <f>Master8[[#This Row],[Duree_Cumule_Panne_Min]]/60</f>
        <v>5.2666666666666666</v>
      </c>
      <c r="V44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0" s="6">
        <f>Master8[[#This Row],[Facture_Mensuelle]]*Master8[[#This Row],[Remise]]</f>
        <v>28.053000000000001</v>
      </c>
    </row>
    <row r="441" spans="1:24" x14ac:dyDescent="0.25">
      <c r="A441" s="1" t="s">
        <v>902</v>
      </c>
      <c r="B441" t="str">
        <f>IFERROR(VLOOKUP(Master8[[#This Row],[Cell_ID]],Registre_Maintenance[],2,FALSE),"")</f>
        <v>Equateur</v>
      </c>
      <c r="C441" s="1" t="s">
        <v>932</v>
      </c>
      <c r="D441" s="2">
        <v>45226.790277777778</v>
      </c>
      <c r="E441" s="3">
        <v>45226.790277777778</v>
      </c>
      <c r="F441">
        <v>68</v>
      </c>
      <c r="G441">
        <f>Master8[[#This Row],[Duree_Panne_Min]]/60</f>
        <v>1.1333333333333333</v>
      </c>
      <c r="H441" s="1" t="s">
        <v>737</v>
      </c>
      <c r="I441">
        <f>IFERROR(VLOOKUP(Master8[[#This Row],[Cell_ID]],Registre_Maintenance[],3,FALSE),"")</f>
        <v>-0.37665700000000002</v>
      </c>
      <c r="J441">
        <f>IFERROR(VLOOKUP(Master8[[#This Row],[Cell_ID]],Registre_Maintenance[],4,FALSE),"")</f>
        <v>25.154807999999999</v>
      </c>
      <c r="K441" t="str">
        <f>IFERROR(VLOOKUP(Master8[[#This Row],[Cell_ID]],Registre_Maintenance[],5,FALSE),"")</f>
        <v>3G</v>
      </c>
      <c r="L441" t="str">
        <f>IFERROR(VLOOKUP(Master8[[#This Row],[Cell_ID]],Registre_Maintenance[],6,FALSE),"")</f>
        <v>Nokia</v>
      </c>
      <c r="M441" s="1" t="str">
        <f>VLOOKUP(Master8[[#This Row],[Province_RDC]],Client[],2,FALSE)</f>
        <v>CLI-00643</v>
      </c>
      <c r="N441" s="1">
        <f>VLOOKUP(Master8[[#This Row],[Province_RDC]],Client[],3,FALSE)</f>
        <v>14</v>
      </c>
      <c r="O441" s="1" t="str">
        <f>VLOOKUP(Master8[[#This Row],[Province_RDC]],Client[],4,FALSE)</f>
        <v>Pro Monde</v>
      </c>
      <c r="P441" s="1">
        <f>VLOOKUP(Master8[[#This Row],[Province_RDC]],Client[],5,FALSE)</f>
        <v>316</v>
      </c>
      <c r="Q441" s="1">
        <f>VLOOKUP(Master8[[#This Row],[Province_RDC]],Client[],6,FALSE)</f>
        <v>62.34</v>
      </c>
      <c r="R441" s="1">
        <f>VLOOKUP(Master8[[#This Row],[Province_RDC]],Client[],7,FALSE)</f>
        <v>4</v>
      </c>
      <c r="S441" s="1" t="str">
        <f>IF(Master8[[#This Row],[Type_Forfait]]="Pro Monde","B2B","B2C")</f>
        <v>B2B</v>
      </c>
      <c r="T441" s="1">
        <f>Master8[[#This Row],[Anciennete_Mois]]/12</f>
        <v>1.1666666666666667</v>
      </c>
      <c r="U441" s="1">
        <f>Master8[[#This Row],[Duree_Cumule_Panne_Min]]/60</f>
        <v>5.2666666666666666</v>
      </c>
      <c r="V44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1" s="6">
        <f>Master8[[#This Row],[Facture_Mensuelle]]*Master8[[#This Row],[Remise]]</f>
        <v>28.053000000000001</v>
      </c>
    </row>
    <row r="442" spans="1:24" x14ac:dyDescent="0.25">
      <c r="A442" s="1" t="s">
        <v>1165</v>
      </c>
      <c r="B442" t="str">
        <f>IFERROR(VLOOKUP(Master8[[#This Row],[Cell_ID]],Registre_Maintenance[],2,FALSE),"")</f>
        <v>Equateur</v>
      </c>
      <c r="C442" s="1" t="s">
        <v>1190</v>
      </c>
      <c r="D442" s="2">
        <v>45226.313194444447</v>
      </c>
      <c r="E442" s="3">
        <v>45226.313194444447</v>
      </c>
      <c r="F442">
        <v>66</v>
      </c>
      <c r="G442">
        <f>Master8[[#This Row],[Duree_Panne_Min]]/60</f>
        <v>1.1000000000000001</v>
      </c>
      <c r="H442" s="1" t="s">
        <v>737</v>
      </c>
      <c r="I442">
        <f>IFERROR(VLOOKUP(Master8[[#This Row],[Cell_ID]],Registre_Maintenance[],3,FALSE),"")</f>
        <v>-12.839263000000001</v>
      </c>
      <c r="J442">
        <f>IFERROR(VLOOKUP(Master8[[#This Row],[Cell_ID]],Registre_Maintenance[],4,FALSE),"")</f>
        <v>12.355677</v>
      </c>
      <c r="K442" t="str">
        <f>IFERROR(VLOOKUP(Master8[[#This Row],[Cell_ID]],Registre_Maintenance[],5,FALSE),"")</f>
        <v>3G</v>
      </c>
      <c r="L442" t="str">
        <f>IFERROR(VLOOKUP(Master8[[#This Row],[Cell_ID]],Registre_Maintenance[],6,FALSE),"")</f>
        <v>Huawei</v>
      </c>
      <c r="M442" s="1" t="str">
        <f>VLOOKUP(Master8[[#This Row],[Province_RDC]],Client[],2,FALSE)</f>
        <v>CLI-00643</v>
      </c>
      <c r="N442" s="1">
        <f>VLOOKUP(Master8[[#This Row],[Province_RDC]],Client[],3,FALSE)</f>
        <v>14</v>
      </c>
      <c r="O442" s="1" t="str">
        <f>VLOOKUP(Master8[[#This Row],[Province_RDC]],Client[],4,FALSE)</f>
        <v>Pro Monde</v>
      </c>
      <c r="P442" s="1">
        <f>VLOOKUP(Master8[[#This Row],[Province_RDC]],Client[],5,FALSE)</f>
        <v>316</v>
      </c>
      <c r="Q442" s="1">
        <f>VLOOKUP(Master8[[#This Row],[Province_RDC]],Client[],6,FALSE)</f>
        <v>62.34</v>
      </c>
      <c r="R442" s="1">
        <f>VLOOKUP(Master8[[#This Row],[Province_RDC]],Client[],7,FALSE)</f>
        <v>4</v>
      </c>
      <c r="S442" s="1" t="str">
        <f>IF(Master8[[#This Row],[Type_Forfait]]="Pro Monde","B2B","B2C")</f>
        <v>B2B</v>
      </c>
      <c r="T442" s="1">
        <f>Master8[[#This Row],[Anciennete_Mois]]/12</f>
        <v>1.1666666666666667</v>
      </c>
      <c r="U442" s="1">
        <f>Master8[[#This Row],[Duree_Cumule_Panne_Min]]/60</f>
        <v>5.2666666666666666</v>
      </c>
      <c r="V44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2" s="6">
        <f>Master8[[#This Row],[Facture_Mensuelle]]*Master8[[#This Row],[Remise]]</f>
        <v>28.053000000000001</v>
      </c>
    </row>
    <row r="443" spans="1:24" x14ac:dyDescent="0.25">
      <c r="A443" s="1" t="s">
        <v>1114</v>
      </c>
      <c r="B443" t="str">
        <f>IFERROR(VLOOKUP(Master8[[#This Row],[Cell_ID]],Registre_Maintenance[],2,FALSE),"")</f>
        <v>Equateur</v>
      </c>
      <c r="C443" s="1" t="s">
        <v>1124</v>
      </c>
      <c r="D443" s="2">
        <v>45224.775000000001</v>
      </c>
      <c r="E443" s="3">
        <v>45224.775000000001</v>
      </c>
      <c r="F443">
        <v>107</v>
      </c>
      <c r="G443">
        <f>Master8[[#This Row],[Duree_Panne_Min]]/60</f>
        <v>1.7833333333333334</v>
      </c>
      <c r="H443" s="1" t="s">
        <v>737</v>
      </c>
      <c r="I443">
        <f>IFERROR(VLOOKUP(Master8[[#This Row],[Cell_ID]],Registre_Maintenance[],3,FALSE),"")</f>
        <v>-5.7200150000000001</v>
      </c>
      <c r="J443">
        <f>IFERROR(VLOOKUP(Master8[[#This Row],[Cell_ID]],Registre_Maintenance[],4,FALSE),"")</f>
        <v>25.022109</v>
      </c>
      <c r="K443" t="str">
        <f>IFERROR(VLOOKUP(Master8[[#This Row],[Cell_ID]],Registre_Maintenance[],5,FALSE),"")</f>
        <v>5G</v>
      </c>
      <c r="L443" t="str">
        <f>IFERROR(VLOOKUP(Master8[[#This Row],[Cell_ID]],Registre_Maintenance[],6,FALSE),"")</f>
        <v>ZTE</v>
      </c>
      <c r="M443" s="1" t="str">
        <f>VLOOKUP(Master8[[#This Row],[Province_RDC]],Client[],2,FALSE)</f>
        <v>CLI-00643</v>
      </c>
      <c r="N443" s="1">
        <f>VLOOKUP(Master8[[#This Row],[Province_RDC]],Client[],3,FALSE)</f>
        <v>14</v>
      </c>
      <c r="O443" s="1" t="str">
        <f>VLOOKUP(Master8[[#This Row],[Province_RDC]],Client[],4,FALSE)</f>
        <v>Pro Monde</v>
      </c>
      <c r="P443" s="1">
        <f>VLOOKUP(Master8[[#This Row],[Province_RDC]],Client[],5,FALSE)</f>
        <v>316</v>
      </c>
      <c r="Q443" s="1">
        <f>VLOOKUP(Master8[[#This Row],[Province_RDC]],Client[],6,FALSE)</f>
        <v>62.34</v>
      </c>
      <c r="R443" s="1">
        <f>VLOOKUP(Master8[[#This Row],[Province_RDC]],Client[],7,FALSE)</f>
        <v>4</v>
      </c>
      <c r="S443" s="1" t="str">
        <f>IF(Master8[[#This Row],[Type_Forfait]]="Pro Monde","B2B","B2C")</f>
        <v>B2B</v>
      </c>
      <c r="T443" s="1">
        <f>Master8[[#This Row],[Anciennete_Mois]]/12</f>
        <v>1.1666666666666667</v>
      </c>
      <c r="U443" s="1">
        <f>Master8[[#This Row],[Duree_Cumule_Panne_Min]]/60</f>
        <v>5.2666666666666666</v>
      </c>
      <c r="V44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3" s="6">
        <f>Master8[[#This Row],[Facture_Mensuelle]]*Master8[[#This Row],[Remise]]</f>
        <v>28.053000000000001</v>
      </c>
    </row>
    <row r="444" spans="1:24" x14ac:dyDescent="0.25">
      <c r="A444" s="1" t="s">
        <v>1059</v>
      </c>
      <c r="B444" t="str">
        <f>IFERROR(VLOOKUP(Master8[[#This Row],[Cell_ID]],Registre_Maintenance[],2,FALSE),"")</f>
        <v>Equateur</v>
      </c>
      <c r="C444" s="1" t="s">
        <v>1080</v>
      </c>
      <c r="D444" s="2">
        <v>45222.584722222222</v>
      </c>
      <c r="E444" s="3">
        <v>45222.584722222222</v>
      </c>
      <c r="F444">
        <v>15</v>
      </c>
      <c r="G444">
        <f>Master8[[#This Row],[Duree_Panne_Min]]/60</f>
        <v>0.25</v>
      </c>
      <c r="H444" s="1" t="s">
        <v>737</v>
      </c>
      <c r="I444">
        <f>IFERROR(VLOOKUP(Master8[[#This Row],[Cell_ID]],Registre_Maintenance[],3,FALSE),"")</f>
        <v>-9.1215879999999991</v>
      </c>
      <c r="J444">
        <f>IFERROR(VLOOKUP(Master8[[#This Row],[Cell_ID]],Registre_Maintenance[],4,FALSE),"")</f>
        <v>16.457916999999998</v>
      </c>
      <c r="K444" t="str">
        <f>IFERROR(VLOOKUP(Master8[[#This Row],[Cell_ID]],Registre_Maintenance[],5,FALSE),"")</f>
        <v>4G</v>
      </c>
      <c r="L444" t="str">
        <f>IFERROR(VLOOKUP(Master8[[#This Row],[Cell_ID]],Registre_Maintenance[],6,FALSE),"")</f>
        <v>Nokia</v>
      </c>
      <c r="M444" s="1" t="str">
        <f>VLOOKUP(Master8[[#This Row],[Province_RDC]],Client[],2,FALSE)</f>
        <v>CLI-00643</v>
      </c>
      <c r="N444" s="1">
        <f>VLOOKUP(Master8[[#This Row],[Province_RDC]],Client[],3,FALSE)</f>
        <v>14</v>
      </c>
      <c r="O444" s="1" t="str">
        <f>VLOOKUP(Master8[[#This Row],[Province_RDC]],Client[],4,FALSE)</f>
        <v>Pro Monde</v>
      </c>
      <c r="P444" s="1">
        <f>VLOOKUP(Master8[[#This Row],[Province_RDC]],Client[],5,FALSE)</f>
        <v>316</v>
      </c>
      <c r="Q444" s="1">
        <f>VLOOKUP(Master8[[#This Row],[Province_RDC]],Client[],6,FALSE)</f>
        <v>62.34</v>
      </c>
      <c r="R444" s="1">
        <f>VLOOKUP(Master8[[#This Row],[Province_RDC]],Client[],7,FALSE)</f>
        <v>4</v>
      </c>
      <c r="S444" s="1" t="str">
        <f>IF(Master8[[#This Row],[Type_Forfait]]="Pro Monde","B2B","B2C")</f>
        <v>B2B</v>
      </c>
      <c r="T444" s="1">
        <f>Master8[[#This Row],[Anciennete_Mois]]/12</f>
        <v>1.1666666666666667</v>
      </c>
      <c r="U444" s="1">
        <f>Master8[[#This Row],[Duree_Cumule_Panne_Min]]/60</f>
        <v>5.2666666666666666</v>
      </c>
      <c r="V44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4" s="6">
        <f>Master8[[#This Row],[Facture_Mensuelle]]*Master8[[#This Row],[Remise]]</f>
        <v>28.053000000000001</v>
      </c>
    </row>
    <row r="445" spans="1:24" x14ac:dyDescent="0.25">
      <c r="A445" s="1" t="s">
        <v>902</v>
      </c>
      <c r="B445" t="str">
        <f>IFERROR(VLOOKUP(Master8[[#This Row],[Cell_ID]],Registre_Maintenance[],2,FALSE),"")</f>
        <v>Equateur</v>
      </c>
      <c r="C445" s="1" t="s">
        <v>929</v>
      </c>
      <c r="D445" s="2">
        <v>45220.206944444442</v>
      </c>
      <c r="E445" s="3">
        <v>45220.206944444442</v>
      </c>
      <c r="F445">
        <v>25</v>
      </c>
      <c r="G445">
        <f>Master8[[#This Row],[Duree_Panne_Min]]/60</f>
        <v>0.41666666666666669</v>
      </c>
      <c r="H445" s="1" t="s">
        <v>732</v>
      </c>
      <c r="I445">
        <f>IFERROR(VLOOKUP(Master8[[#This Row],[Cell_ID]],Registre_Maintenance[],3,FALSE),"")</f>
        <v>3.3289240000000002</v>
      </c>
      <c r="J445">
        <f>IFERROR(VLOOKUP(Master8[[#This Row],[Cell_ID]],Registre_Maintenance[],4,FALSE),"")</f>
        <v>24.412261000000001</v>
      </c>
      <c r="K445" t="str">
        <f>IFERROR(VLOOKUP(Master8[[#This Row],[Cell_ID]],Registre_Maintenance[],5,FALSE),"")</f>
        <v>5G</v>
      </c>
      <c r="L445" t="str">
        <f>IFERROR(VLOOKUP(Master8[[#This Row],[Cell_ID]],Registre_Maintenance[],6,FALSE),"")</f>
        <v>Nokia</v>
      </c>
      <c r="M445" s="1" t="str">
        <f>VLOOKUP(Master8[[#This Row],[Province_RDC]],Client[],2,FALSE)</f>
        <v>CLI-00643</v>
      </c>
      <c r="N445" s="1">
        <f>VLOOKUP(Master8[[#This Row],[Province_RDC]],Client[],3,FALSE)</f>
        <v>14</v>
      </c>
      <c r="O445" s="1" t="str">
        <f>VLOOKUP(Master8[[#This Row],[Province_RDC]],Client[],4,FALSE)</f>
        <v>Pro Monde</v>
      </c>
      <c r="P445" s="1">
        <f>VLOOKUP(Master8[[#This Row],[Province_RDC]],Client[],5,FALSE)</f>
        <v>316</v>
      </c>
      <c r="Q445" s="1">
        <f>VLOOKUP(Master8[[#This Row],[Province_RDC]],Client[],6,FALSE)</f>
        <v>62.34</v>
      </c>
      <c r="R445" s="1">
        <f>VLOOKUP(Master8[[#This Row],[Province_RDC]],Client[],7,FALSE)</f>
        <v>4</v>
      </c>
      <c r="S445" s="1" t="str">
        <f>IF(Master8[[#This Row],[Type_Forfait]]="Pro Monde","B2B","B2C")</f>
        <v>B2B</v>
      </c>
      <c r="T445" s="1">
        <f>Master8[[#This Row],[Anciennete_Mois]]/12</f>
        <v>1.1666666666666667</v>
      </c>
      <c r="U445" s="1">
        <f>Master8[[#This Row],[Duree_Cumule_Panne_Min]]/60</f>
        <v>5.2666666666666666</v>
      </c>
      <c r="V44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5" s="6">
        <f>Master8[[#This Row],[Facture_Mensuelle]]*Master8[[#This Row],[Remise]]</f>
        <v>28.053000000000001</v>
      </c>
    </row>
    <row r="446" spans="1:24" x14ac:dyDescent="0.25">
      <c r="A446" s="1" t="s">
        <v>1114</v>
      </c>
      <c r="B446" t="str">
        <f>IFERROR(VLOOKUP(Master8[[#This Row],[Cell_ID]],Registre_Maintenance[],2,FALSE),"")</f>
        <v>Equateur</v>
      </c>
      <c r="C446" s="1" t="s">
        <v>1124</v>
      </c>
      <c r="D446" s="2">
        <v>45216.274305555547</v>
      </c>
      <c r="E446" s="3">
        <v>45216.274305555547</v>
      </c>
      <c r="F446">
        <v>30</v>
      </c>
      <c r="G446">
        <f>Master8[[#This Row],[Duree_Panne_Min]]/60</f>
        <v>0.5</v>
      </c>
      <c r="H446" s="1" t="s">
        <v>735</v>
      </c>
      <c r="I446">
        <f>IFERROR(VLOOKUP(Master8[[#This Row],[Cell_ID]],Registre_Maintenance[],3,FALSE),"")</f>
        <v>-5.7200150000000001</v>
      </c>
      <c r="J446">
        <f>IFERROR(VLOOKUP(Master8[[#This Row],[Cell_ID]],Registre_Maintenance[],4,FALSE),"")</f>
        <v>25.022109</v>
      </c>
      <c r="K446" t="str">
        <f>IFERROR(VLOOKUP(Master8[[#This Row],[Cell_ID]],Registre_Maintenance[],5,FALSE),"")</f>
        <v>5G</v>
      </c>
      <c r="L446" t="str">
        <f>IFERROR(VLOOKUP(Master8[[#This Row],[Cell_ID]],Registre_Maintenance[],6,FALSE),"")</f>
        <v>ZTE</v>
      </c>
      <c r="M446" s="1" t="str">
        <f>VLOOKUP(Master8[[#This Row],[Province_RDC]],Client[],2,FALSE)</f>
        <v>CLI-00643</v>
      </c>
      <c r="N446" s="1">
        <f>VLOOKUP(Master8[[#This Row],[Province_RDC]],Client[],3,FALSE)</f>
        <v>14</v>
      </c>
      <c r="O446" s="1" t="str">
        <f>VLOOKUP(Master8[[#This Row],[Province_RDC]],Client[],4,FALSE)</f>
        <v>Pro Monde</v>
      </c>
      <c r="P446" s="1">
        <f>VLOOKUP(Master8[[#This Row],[Province_RDC]],Client[],5,FALSE)</f>
        <v>316</v>
      </c>
      <c r="Q446" s="1">
        <f>VLOOKUP(Master8[[#This Row],[Province_RDC]],Client[],6,FALSE)</f>
        <v>62.34</v>
      </c>
      <c r="R446" s="1">
        <f>VLOOKUP(Master8[[#This Row],[Province_RDC]],Client[],7,FALSE)</f>
        <v>4</v>
      </c>
      <c r="S446" s="1" t="str">
        <f>IF(Master8[[#This Row],[Type_Forfait]]="Pro Monde","B2B","B2C")</f>
        <v>B2B</v>
      </c>
      <c r="T446" s="1">
        <f>Master8[[#This Row],[Anciennete_Mois]]/12</f>
        <v>1.1666666666666667</v>
      </c>
      <c r="U446" s="1">
        <f>Master8[[#This Row],[Duree_Cumule_Panne_Min]]/60</f>
        <v>5.2666666666666666</v>
      </c>
      <c r="V44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6" s="6">
        <f>Master8[[#This Row],[Facture_Mensuelle]]*Master8[[#This Row],[Remise]]</f>
        <v>28.053000000000001</v>
      </c>
    </row>
    <row r="447" spans="1:24" x14ac:dyDescent="0.25">
      <c r="A447" s="1" t="s">
        <v>1193</v>
      </c>
      <c r="B447" t="str">
        <f>IFERROR(VLOOKUP(Master8[[#This Row],[Cell_ID]],Registre_Maintenance[],2,FALSE),"")</f>
        <v>Equateur</v>
      </c>
      <c r="C447" s="1" t="s">
        <v>1200</v>
      </c>
      <c r="D447" s="2">
        <v>45214.634722222218</v>
      </c>
      <c r="E447" s="3">
        <v>45214.634722222218</v>
      </c>
      <c r="F447">
        <v>112</v>
      </c>
      <c r="G447">
        <f>Master8[[#This Row],[Duree_Panne_Min]]/60</f>
        <v>1.8666666666666667</v>
      </c>
      <c r="H447" s="1" t="s">
        <v>735</v>
      </c>
      <c r="I447">
        <f>IFERROR(VLOOKUP(Master8[[#This Row],[Cell_ID]],Registre_Maintenance[],3,FALSE),"")</f>
        <v>-6.1490739999999997</v>
      </c>
      <c r="J447">
        <f>IFERROR(VLOOKUP(Master8[[#This Row],[Cell_ID]],Registre_Maintenance[],4,FALSE),"")</f>
        <v>23.304411000000002</v>
      </c>
      <c r="K447" t="str">
        <f>IFERROR(VLOOKUP(Master8[[#This Row],[Cell_ID]],Registre_Maintenance[],5,FALSE),"")</f>
        <v>5G</v>
      </c>
      <c r="L447" t="str">
        <f>IFERROR(VLOOKUP(Master8[[#This Row],[Cell_ID]],Registre_Maintenance[],6,FALSE),"")</f>
        <v>ZTE</v>
      </c>
      <c r="M447" s="1" t="str">
        <f>VLOOKUP(Master8[[#This Row],[Province_RDC]],Client[],2,FALSE)</f>
        <v>CLI-00643</v>
      </c>
      <c r="N447" s="1">
        <f>VLOOKUP(Master8[[#This Row],[Province_RDC]],Client[],3,FALSE)</f>
        <v>14</v>
      </c>
      <c r="O447" s="1" t="str">
        <f>VLOOKUP(Master8[[#This Row],[Province_RDC]],Client[],4,FALSE)</f>
        <v>Pro Monde</v>
      </c>
      <c r="P447" s="1">
        <f>VLOOKUP(Master8[[#This Row],[Province_RDC]],Client[],5,FALSE)</f>
        <v>316</v>
      </c>
      <c r="Q447" s="1">
        <f>VLOOKUP(Master8[[#This Row],[Province_RDC]],Client[],6,FALSE)</f>
        <v>62.34</v>
      </c>
      <c r="R447" s="1">
        <f>VLOOKUP(Master8[[#This Row],[Province_RDC]],Client[],7,FALSE)</f>
        <v>4</v>
      </c>
      <c r="S447" s="1" t="str">
        <f>IF(Master8[[#This Row],[Type_Forfait]]="Pro Monde","B2B","B2C")</f>
        <v>B2B</v>
      </c>
      <c r="T447" s="1">
        <f>Master8[[#This Row],[Anciennete_Mois]]/12</f>
        <v>1.1666666666666667</v>
      </c>
      <c r="U447" s="1">
        <f>Master8[[#This Row],[Duree_Cumule_Panne_Min]]/60</f>
        <v>5.2666666666666666</v>
      </c>
      <c r="V44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7" s="6">
        <f>Master8[[#This Row],[Facture_Mensuelle]]*Master8[[#This Row],[Remise]]</f>
        <v>28.053000000000001</v>
      </c>
    </row>
    <row r="448" spans="1:24" x14ac:dyDescent="0.25">
      <c r="A448" s="1" t="s">
        <v>1330</v>
      </c>
      <c r="B448" t="str">
        <f>IFERROR(VLOOKUP(Master8[[#This Row],[Cell_ID]],Registre_Maintenance[],2,FALSE),"")</f>
        <v>Equateur</v>
      </c>
      <c r="C448" s="1" t="s">
        <v>1190</v>
      </c>
      <c r="D448" s="2">
        <v>45214.290277777778</v>
      </c>
      <c r="E448" s="3">
        <v>45214.290277777778</v>
      </c>
      <c r="F448">
        <v>27</v>
      </c>
      <c r="G448">
        <f>Master8[[#This Row],[Duree_Panne_Min]]/60</f>
        <v>0.45</v>
      </c>
      <c r="H448" s="1" t="s">
        <v>735</v>
      </c>
      <c r="I448">
        <f>IFERROR(VLOOKUP(Master8[[#This Row],[Cell_ID]],Registre_Maintenance[],3,FALSE),"")</f>
        <v>-12.839263000000001</v>
      </c>
      <c r="J448">
        <f>IFERROR(VLOOKUP(Master8[[#This Row],[Cell_ID]],Registre_Maintenance[],4,FALSE),"")</f>
        <v>12.355677</v>
      </c>
      <c r="K448" t="str">
        <f>IFERROR(VLOOKUP(Master8[[#This Row],[Cell_ID]],Registre_Maintenance[],5,FALSE),"")</f>
        <v>3G</v>
      </c>
      <c r="L448" t="str">
        <f>IFERROR(VLOOKUP(Master8[[#This Row],[Cell_ID]],Registre_Maintenance[],6,FALSE),"")</f>
        <v>Huawei</v>
      </c>
      <c r="M448" s="1" t="str">
        <f>VLOOKUP(Master8[[#This Row],[Province_RDC]],Client[],2,FALSE)</f>
        <v>CLI-00643</v>
      </c>
      <c r="N448" s="1">
        <f>VLOOKUP(Master8[[#This Row],[Province_RDC]],Client[],3,FALSE)</f>
        <v>14</v>
      </c>
      <c r="O448" s="1" t="str">
        <f>VLOOKUP(Master8[[#This Row],[Province_RDC]],Client[],4,FALSE)</f>
        <v>Pro Monde</v>
      </c>
      <c r="P448" s="1">
        <f>VLOOKUP(Master8[[#This Row],[Province_RDC]],Client[],5,FALSE)</f>
        <v>316</v>
      </c>
      <c r="Q448" s="1">
        <f>VLOOKUP(Master8[[#This Row],[Province_RDC]],Client[],6,FALSE)</f>
        <v>62.34</v>
      </c>
      <c r="R448" s="1">
        <f>VLOOKUP(Master8[[#This Row],[Province_RDC]],Client[],7,FALSE)</f>
        <v>4</v>
      </c>
      <c r="S448" s="1" t="str">
        <f>IF(Master8[[#This Row],[Type_Forfait]]="Pro Monde","B2B","B2C")</f>
        <v>B2B</v>
      </c>
      <c r="T448" s="1">
        <f>Master8[[#This Row],[Anciennete_Mois]]/12</f>
        <v>1.1666666666666667</v>
      </c>
      <c r="U448" s="1">
        <f>Master8[[#This Row],[Duree_Cumule_Panne_Min]]/60</f>
        <v>5.2666666666666666</v>
      </c>
      <c r="V44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8" s="6">
        <f>Master8[[#This Row],[Facture_Mensuelle]]*Master8[[#This Row],[Remise]]</f>
        <v>28.053000000000001</v>
      </c>
    </row>
    <row r="449" spans="1:24" x14ac:dyDescent="0.25">
      <c r="A449" s="1" t="s">
        <v>1114</v>
      </c>
      <c r="B449" t="str">
        <f>IFERROR(VLOOKUP(Master8[[#This Row],[Cell_ID]],Registre_Maintenance[],2,FALSE),"")</f>
        <v>Equateur</v>
      </c>
      <c r="C449" s="1" t="s">
        <v>1120</v>
      </c>
      <c r="D449" s="2">
        <v>45213.763194444437</v>
      </c>
      <c r="E449" s="3">
        <v>45213.763194444437</v>
      </c>
      <c r="F449">
        <v>119</v>
      </c>
      <c r="G449">
        <f>Master8[[#This Row],[Duree_Panne_Min]]/60</f>
        <v>1.9833333333333334</v>
      </c>
      <c r="H449" s="1" t="s">
        <v>737</v>
      </c>
      <c r="I449">
        <f>IFERROR(VLOOKUP(Master8[[#This Row],[Cell_ID]],Registre_Maintenance[],3,FALSE),"")</f>
        <v>-0.79459900000000006</v>
      </c>
      <c r="J449">
        <f>IFERROR(VLOOKUP(Master8[[#This Row],[Cell_ID]],Registre_Maintenance[],4,FALSE),"")</f>
        <v>26.775570999999999</v>
      </c>
      <c r="K449" t="str">
        <f>IFERROR(VLOOKUP(Master8[[#This Row],[Cell_ID]],Registre_Maintenance[],5,FALSE),"")</f>
        <v>5G</v>
      </c>
      <c r="L449" t="str">
        <f>IFERROR(VLOOKUP(Master8[[#This Row],[Cell_ID]],Registre_Maintenance[],6,FALSE),"")</f>
        <v>Huawei</v>
      </c>
      <c r="M449" s="1" t="str">
        <f>VLOOKUP(Master8[[#This Row],[Province_RDC]],Client[],2,FALSE)</f>
        <v>CLI-00643</v>
      </c>
      <c r="N449" s="1">
        <f>VLOOKUP(Master8[[#This Row],[Province_RDC]],Client[],3,FALSE)</f>
        <v>14</v>
      </c>
      <c r="O449" s="1" t="str">
        <f>VLOOKUP(Master8[[#This Row],[Province_RDC]],Client[],4,FALSE)</f>
        <v>Pro Monde</v>
      </c>
      <c r="P449" s="1">
        <f>VLOOKUP(Master8[[#This Row],[Province_RDC]],Client[],5,FALSE)</f>
        <v>316</v>
      </c>
      <c r="Q449" s="1">
        <f>VLOOKUP(Master8[[#This Row],[Province_RDC]],Client[],6,FALSE)</f>
        <v>62.34</v>
      </c>
      <c r="R449" s="1">
        <f>VLOOKUP(Master8[[#This Row],[Province_RDC]],Client[],7,FALSE)</f>
        <v>4</v>
      </c>
      <c r="S449" s="1" t="str">
        <f>IF(Master8[[#This Row],[Type_Forfait]]="Pro Monde","B2B","B2C")</f>
        <v>B2B</v>
      </c>
      <c r="T449" s="1">
        <f>Master8[[#This Row],[Anciennete_Mois]]/12</f>
        <v>1.1666666666666667</v>
      </c>
      <c r="U449" s="1">
        <f>Master8[[#This Row],[Duree_Cumule_Panne_Min]]/60</f>
        <v>5.2666666666666666</v>
      </c>
      <c r="V44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4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49" s="6">
        <f>Master8[[#This Row],[Facture_Mensuelle]]*Master8[[#This Row],[Remise]]</f>
        <v>28.053000000000001</v>
      </c>
    </row>
    <row r="450" spans="1:24" x14ac:dyDescent="0.25">
      <c r="A450" s="1" t="s">
        <v>1382</v>
      </c>
      <c r="B450" t="str">
        <f>IFERROR(VLOOKUP(Master8[[#This Row],[Cell_ID]],Registre_Maintenance[],2,FALSE),"")</f>
        <v>Equateur</v>
      </c>
      <c r="C450" s="1" t="s">
        <v>1400</v>
      </c>
      <c r="D450" s="2">
        <v>45211.587500000001</v>
      </c>
      <c r="E450" s="3">
        <v>45211.587500000001</v>
      </c>
      <c r="F450">
        <v>27</v>
      </c>
      <c r="G450">
        <f>Master8[[#This Row],[Duree_Panne_Min]]/60</f>
        <v>0.45</v>
      </c>
      <c r="H450" s="1" t="s">
        <v>737</v>
      </c>
      <c r="I450">
        <f>IFERROR(VLOOKUP(Master8[[#This Row],[Cell_ID]],Registre_Maintenance[],3,FALSE),"")</f>
        <v>-7.8215969999999997</v>
      </c>
      <c r="J450">
        <f>IFERROR(VLOOKUP(Master8[[#This Row],[Cell_ID]],Registre_Maintenance[],4,FALSE),"")</f>
        <v>26.797349000000001</v>
      </c>
      <c r="K450" t="str">
        <f>IFERROR(VLOOKUP(Master8[[#This Row],[Cell_ID]],Registre_Maintenance[],5,FALSE),"")</f>
        <v>3G</v>
      </c>
      <c r="L450" t="str">
        <f>IFERROR(VLOOKUP(Master8[[#This Row],[Cell_ID]],Registre_Maintenance[],6,FALSE),"")</f>
        <v>Ericsson</v>
      </c>
      <c r="M450" s="1" t="str">
        <f>VLOOKUP(Master8[[#This Row],[Province_RDC]],Client[],2,FALSE)</f>
        <v>CLI-00643</v>
      </c>
      <c r="N450" s="1">
        <f>VLOOKUP(Master8[[#This Row],[Province_RDC]],Client[],3,FALSE)</f>
        <v>14</v>
      </c>
      <c r="O450" s="1" t="str">
        <f>VLOOKUP(Master8[[#This Row],[Province_RDC]],Client[],4,FALSE)</f>
        <v>Pro Monde</v>
      </c>
      <c r="P450" s="1">
        <f>VLOOKUP(Master8[[#This Row],[Province_RDC]],Client[],5,FALSE)</f>
        <v>316</v>
      </c>
      <c r="Q450" s="1">
        <f>VLOOKUP(Master8[[#This Row],[Province_RDC]],Client[],6,FALSE)</f>
        <v>62.34</v>
      </c>
      <c r="R450" s="1">
        <f>VLOOKUP(Master8[[#This Row],[Province_RDC]],Client[],7,FALSE)</f>
        <v>4</v>
      </c>
      <c r="S450" s="1" t="str">
        <f>IF(Master8[[#This Row],[Type_Forfait]]="Pro Monde","B2B","B2C")</f>
        <v>B2B</v>
      </c>
      <c r="T450" s="1">
        <f>Master8[[#This Row],[Anciennete_Mois]]/12</f>
        <v>1.1666666666666667</v>
      </c>
      <c r="U450" s="1">
        <f>Master8[[#This Row],[Duree_Cumule_Panne_Min]]/60</f>
        <v>5.2666666666666666</v>
      </c>
      <c r="V45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0" s="6">
        <f>Master8[[#This Row],[Facture_Mensuelle]]*Master8[[#This Row],[Remise]]</f>
        <v>28.053000000000001</v>
      </c>
    </row>
    <row r="451" spans="1:24" x14ac:dyDescent="0.25">
      <c r="A451" s="1" t="s">
        <v>1114</v>
      </c>
      <c r="B451" t="str">
        <f>IFERROR(VLOOKUP(Master8[[#This Row],[Cell_ID]],Registre_Maintenance[],2,FALSE),"")</f>
        <v>Equateur</v>
      </c>
      <c r="C451" s="1" t="s">
        <v>1120</v>
      </c>
      <c r="D451" s="2">
        <v>45210.703472222223</v>
      </c>
      <c r="E451" s="3">
        <v>45210.703472222223</v>
      </c>
      <c r="F451">
        <v>20</v>
      </c>
      <c r="G451">
        <f>Master8[[#This Row],[Duree_Panne_Min]]/60</f>
        <v>0.33333333333333331</v>
      </c>
      <c r="H451" s="1" t="s">
        <v>732</v>
      </c>
      <c r="I451">
        <f>IFERROR(VLOOKUP(Master8[[#This Row],[Cell_ID]],Registre_Maintenance[],3,FALSE),"")</f>
        <v>-0.79459900000000006</v>
      </c>
      <c r="J451">
        <f>IFERROR(VLOOKUP(Master8[[#This Row],[Cell_ID]],Registre_Maintenance[],4,FALSE),"")</f>
        <v>26.775570999999999</v>
      </c>
      <c r="K451" t="str">
        <f>IFERROR(VLOOKUP(Master8[[#This Row],[Cell_ID]],Registre_Maintenance[],5,FALSE),"")</f>
        <v>5G</v>
      </c>
      <c r="L451" t="str">
        <f>IFERROR(VLOOKUP(Master8[[#This Row],[Cell_ID]],Registre_Maintenance[],6,FALSE),"")</f>
        <v>Huawei</v>
      </c>
      <c r="M451" s="1" t="str">
        <f>VLOOKUP(Master8[[#This Row],[Province_RDC]],Client[],2,FALSE)</f>
        <v>CLI-00643</v>
      </c>
      <c r="N451" s="1">
        <f>VLOOKUP(Master8[[#This Row],[Province_RDC]],Client[],3,FALSE)</f>
        <v>14</v>
      </c>
      <c r="O451" s="1" t="str">
        <f>VLOOKUP(Master8[[#This Row],[Province_RDC]],Client[],4,FALSE)</f>
        <v>Pro Monde</v>
      </c>
      <c r="P451" s="1">
        <f>VLOOKUP(Master8[[#This Row],[Province_RDC]],Client[],5,FALSE)</f>
        <v>316</v>
      </c>
      <c r="Q451" s="1">
        <f>VLOOKUP(Master8[[#This Row],[Province_RDC]],Client[],6,FALSE)</f>
        <v>62.34</v>
      </c>
      <c r="R451" s="1">
        <f>VLOOKUP(Master8[[#This Row],[Province_RDC]],Client[],7,FALSE)</f>
        <v>4</v>
      </c>
      <c r="S451" s="1" t="str">
        <f>IF(Master8[[#This Row],[Type_Forfait]]="Pro Monde","B2B","B2C")</f>
        <v>B2B</v>
      </c>
      <c r="T451" s="1">
        <f>Master8[[#This Row],[Anciennete_Mois]]/12</f>
        <v>1.1666666666666667</v>
      </c>
      <c r="U451" s="1">
        <f>Master8[[#This Row],[Duree_Cumule_Panne_Min]]/60</f>
        <v>5.2666666666666666</v>
      </c>
      <c r="V45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1" s="6">
        <f>Master8[[#This Row],[Facture_Mensuelle]]*Master8[[#This Row],[Remise]]</f>
        <v>28.053000000000001</v>
      </c>
    </row>
    <row r="452" spans="1:24" x14ac:dyDescent="0.25">
      <c r="A452" s="1" t="s">
        <v>1308</v>
      </c>
      <c r="B452" t="str">
        <f>IFERROR(VLOOKUP(Master8[[#This Row],[Cell_ID]],Registre_Maintenance[],2,FALSE),"")</f>
        <v>Equateur</v>
      </c>
      <c r="C452" s="1" t="s">
        <v>1200</v>
      </c>
      <c r="D452" s="2">
        <v>45209.988888888889</v>
      </c>
      <c r="E452" s="3">
        <v>45209.988888888889</v>
      </c>
      <c r="F452">
        <v>51</v>
      </c>
      <c r="G452">
        <f>Master8[[#This Row],[Duree_Panne_Min]]/60</f>
        <v>0.85</v>
      </c>
      <c r="H452" s="1" t="s">
        <v>735</v>
      </c>
      <c r="I452">
        <f>IFERROR(VLOOKUP(Master8[[#This Row],[Cell_ID]],Registre_Maintenance[],3,FALSE),"")</f>
        <v>-6.1490739999999997</v>
      </c>
      <c r="J452">
        <f>IFERROR(VLOOKUP(Master8[[#This Row],[Cell_ID]],Registre_Maintenance[],4,FALSE),"")</f>
        <v>23.304411000000002</v>
      </c>
      <c r="K452" t="str">
        <f>IFERROR(VLOOKUP(Master8[[#This Row],[Cell_ID]],Registre_Maintenance[],5,FALSE),"")</f>
        <v>5G</v>
      </c>
      <c r="L452" t="str">
        <f>IFERROR(VLOOKUP(Master8[[#This Row],[Cell_ID]],Registre_Maintenance[],6,FALSE),"")</f>
        <v>ZTE</v>
      </c>
      <c r="M452" s="1" t="str">
        <f>VLOOKUP(Master8[[#This Row],[Province_RDC]],Client[],2,FALSE)</f>
        <v>CLI-00643</v>
      </c>
      <c r="N452" s="1">
        <f>VLOOKUP(Master8[[#This Row],[Province_RDC]],Client[],3,FALSE)</f>
        <v>14</v>
      </c>
      <c r="O452" s="1" t="str">
        <f>VLOOKUP(Master8[[#This Row],[Province_RDC]],Client[],4,FALSE)</f>
        <v>Pro Monde</v>
      </c>
      <c r="P452" s="1">
        <f>VLOOKUP(Master8[[#This Row],[Province_RDC]],Client[],5,FALSE)</f>
        <v>316</v>
      </c>
      <c r="Q452" s="1">
        <f>VLOOKUP(Master8[[#This Row],[Province_RDC]],Client[],6,FALSE)</f>
        <v>62.34</v>
      </c>
      <c r="R452" s="1">
        <f>VLOOKUP(Master8[[#This Row],[Province_RDC]],Client[],7,FALSE)</f>
        <v>4</v>
      </c>
      <c r="S452" s="1" t="str">
        <f>IF(Master8[[#This Row],[Type_Forfait]]="Pro Monde","B2B","B2C")</f>
        <v>B2B</v>
      </c>
      <c r="T452" s="1">
        <f>Master8[[#This Row],[Anciennete_Mois]]/12</f>
        <v>1.1666666666666667</v>
      </c>
      <c r="U452" s="1">
        <f>Master8[[#This Row],[Duree_Cumule_Panne_Min]]/60</f>
        <v>5.2666666666666666</v>
      </c>
      <c r="V45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2" s="6">
        <f>Master8[[#This Row],[Facture_Mensuelle]]*Master8[[#This Row],[Remise]]</f>
        <v>28.053000000000001</v>
      </c>
    </row>
    <row r="453" spans="1:24" x14ac:dyDescent="0.25">
      <c r="A453" s="1" t="s">
        <v>823</v>
      </c>
      <c r="B453" t="str">
        <f>IFERROR(VLOOKUP(Master8[[#This Row],[Cell_ID]],Registre_Maintenance[],2,FALSE),"")</f>
        <v>Equateur</v>
      </c>
      <c r="C453" s="1" t="s">
        <v>857</v>
      </c>
      <c r="D453" s="2">
        <v>45209.32708333333</v>
      </c>
      <c r="E453" s="3">
        <v>45209.32708333333</v>
      </c>
      <c r="F453">
        <v>107</v>
      </c>
      <c r="G453">
        <f>Master8[[#This Row],[Duree_Panne_Min]]/60</f>
        <v>1.7833333333333334</v>
      </c>
      <c r="H453" s="1" t="s">
        <v>735</v>
      </c>
      <c r="I453">
        <f>IFERROR(VLOOKUP(Master8[[#This Row],[Cell_ID]],Registre_Maintenance[],3,FALSE),"")</f>
        <v>-5.0402180000000003</v>
      </c>
      <c r="J453">
        <f>IFERROR(VLOOKUP(Master8[[#This Row],[Cell_ID]],Registre_Maintenance[],4,FALSE),"")</f>
        <v>13.892471</v>
      </c>
      <c r="K453" t="str">
        <f>IFERROR(VLOOKUP(Master8[[#This Row],[Cell_ID]],Registre_Maintenance[],5,FALSE),"")</f>
        <v>3G</v>
      </c>
      <c r="L453" t="str">
        <f>IFERROR(VLOOKUP(Master8[[#This Row],[Cell_ID]],Registre_Maintenance[],6,FALSE),"")</f>
        <v>ZTE</v>
      </c>
      <c r="M453" s="1" t="str">
        <f>VLOOKUP(Master8[[#This Row],[Province_RDC]],Client[],2,FALSE)</f>
        <v>CLI-00643</v>
      </c>
      <c r="N453" s="1">
        <f>VLOOKUP(Master8[[#This Row],[Province_RDC]],Client[],3,FALSE)</f>
        <v>14</v>
      </c>
      <c r="O453" s="1" t="str">
        <f>VLOOKUP(Master8[[#This Row],[Province_RDC]],Client[],4,FALSE)</f>
        <v>Pro Monde</v>
      </c>
      <c r="P453" s="1">
        <f>VLOOKUP(Master8[[#This Row],[Province_RDC]],Client[],5,FALSE)</f>
        <v>316</v>
      </c>
      <c r="Q453" s="1">
        <f>VLOOKUP(Master8[[#This Row],[Province_RDC]],Client[],6,FALSE)</f>
        <v>62.34</v>
      </c>
      <c r="R453" s="1">
        <f>VLOOKUP(Master8[[#This Row],[Province_RDC]],Client[],7,FALSE)</f>
        <v>4</v>
      </c>
      <c r="S453" s="1" t="str">
        <f>IF(Master8[[#This Row],[Type_Forfait]]="Pro Monde","B2B","B2C")</f>
        <v>B2B</v>
      </c>
      <c r="T453" s="1">
        <f>Master8[[#This Row],[Anciennete_Mois]]/12</f>
        <v>1.1666666666666667</v>
      </c>
      <c r="U453" s="1">
        <f>Master8[[#This Row],[Duree_Cumule_Panne_Min]]/60</f>
        <v>5.2666666666666666</v>
      </c>
      <c r="V45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3" s="6">
        <f>Master8[[#This Row],[Facture_Mensuelle]]*Master8[[#This Row],[Remise]]</f>
        <v>28.053000000000001</v>
      </c>
    </row>
    <row r="454" spans="1:24" x14ac:dyDescent="0.25">
      <c r="A454" s="1" t="s">
        <v>1288</v>
      </c>
      <c r="B454" t="str">
        <f>IFERROR(VLOOKUP(Master8[[#This Row],[Cell_ID]],Registre_Maintenance[],2,FALSE),"")</f>
        <v>Equateur</v>
      </c>
      <c r="C454" s="1" t="s">
        <v>1200</v>
      </c>
      <c r="D454" s="2">
        <v>45204.122916666667</v>
      </c>
      <c r="E454" s="3">
        <v>45204.122916666667</v>
      </c>
      <c r="F454">
        <v>34</v>
      </c>
      <c r="G454">
        <f>Master8[[#This Row],[Duree_Panne_Min]]/60</f>
        <v>0.56666666666666665</v>
      </c>
      <c r="H454" s="1" t="s">
        <v>732</v>
      </c>
      <c r="I454">
        <f>IFERROR(VLOOKUP(Master8[[#This Row],[Cell_ID]],Registre_Maintenance[],3,FALSE),"")</f>
        <v>-6.1490739999999997</v>
      </c>
      <c r="J454">
        <f>IFERROR(VLOOKUP(Master8[[#This Row],[Cell_ID]],Registre_Maintenance[],4,FALSE),"")</f>
        <v>23.304411000000002</v>
      </c>
      <c r="K454" t="str">
        <f>IFERROR(VLOOKUP(Master8[[#This Row],[Cell_ID]],Registre_Maintenance[],5,FALSE),"")</f>
        <v>5G</v>
      </c>
      <c r="L454" t="str">
        <f>IFERROR(VLOOKUP(Master8[[#This Row],[Cell_ID]],Registre_Maintenance[],6,FALSE),"")</f>
        <v>ZTE</v>
      </c>
      <c r="M454" s="1" t="str">
        <f>VLOOKUP(Master8[[#This Row],[Province_RDC]],Client[],2,FALSE)</f>
        <v>CLI-00643</v>
      </c>
      <c r="N454" s="1">
        <f>VLOOKUP(Master8[[#This Row],[Province_RDC]],Client[],3,FALSE)</f>
        <v>14</v>
      </c>
      <c r="O454" s="1" t="str">
        <f>VLOOKUP(Master8[[#This Row],[Province_RDC]],Client[],4,FALSE)</f>
        <v>Pro Monde</v>
      </c>
      <c r="P454" s="1">
        <f>VLOOKUP(Master8[[#This Row],[Province_RDC]],Client[],5,FALSE)</f>
        <v>316</v>
      </c>
      <c r="Q454" s="1">
        <f>VLOOKUP(Master8[[#This Row],[Province_RDC]],Client[],6,FALSE)</f>
        <v>62.34</v>
      </c>
      <c r="R454" s="1">
        <f>VLOOKUP(Master8[[#This Row],[Province_RDC]],Client[],7,FALSE)</f>
        <v>4</v>
      </c>
      <c r="S454" s="1" t="str">
        <f>IF(Master8[[#This Row],[Type_Forfait]]="Pro Monde","B2B","B2C")</f>
        <v>B2B</v>
      </c>
      <c r="T454" s="1">
        <f>Master8[[#This Row],[Anciennete_Mois]]/12</f>
        <v>1.1666666666666667</v>
      </c>
      <c r="U454" s="1">
        <f>Master8[[#This Row],[Duree_Cumule_Panne_Min]]/60</f>
        <v>5.2666666666666666</v>
      </c>
      <c r="V45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4" s="6">
        <f>Master8[[#This Row],[Facture_Mensuelle]]*Master8[[#This Row],[Remise]]</f>
        <v>28.053000000000001</v>
      </c>
    </row>
    <row r="455" spans="1:24" x14ac:dyDescent="0.25">
      <c r="A455" s="1" t="s">
        <v>730</v>
      </c>
      <c r="B455" t="str">
        <f>IFERROR(VLOOKUP(Master8[[#This Row],[Cell_ID]],Registre_Maintenance[],2,FALSE),"")</f>
        <v>Equateur</v>
      </c>
      <c r="C455" s="1" t="s">
        <v>773</v>
      </c>
      <c r="D455" s="2">
        <v>45202.290277777778</v>
      </c>
      <c r="E455" s="3">
        <v>45202.290277777778</v>
      </c>
      <c r="F455">
        <v>103</v>
      </c>
      <c r="G455">
        <f>Master8[[#This Row],[Duree_Panne_Min]]/60</f>
        <v>1.7166666666666666</v>
      </c>
      <c r="H455" s="1" t="s">
        <v>735</v>
      </c>
      <c r="I455">
        <f>IFERROR(VLOOKUP(Master8[[#This Row],[Cell_ID]],Registre_Maintenance[],3,FALSE),"")</f>
        <v>4.9250049999999996</v>
      </c>
      <c r="J455">
        <f>IFERROR(VLOOKUP(Master8[[#This Row],[Cell_ID]],Registre_Maintenance[],4,FALSE),"")</f>
        <v>19.887931999999999</v>
      </c>
      <c r="K455" t="str">
        <f>IFERROR(VLOOKUP(Master8[[#This Row],[Cell_ID]],Registre_Maintenance[],5,FALSE),"")</f>
        <v>4G</v>
      </c>
      <c r="L455" t="str">
        <f>IFERROR(VLOOKUP(Master8[[#This Row],[Cell_ID]],Registre_Maintenance[],6,FALSE),"")</f>
        <v>Huawei</v>
      </c>
      <c r="M455" s="1" t="str">
        <f>VLOOKUP(Master8[[#This Row],[Province_RDC]],Client[],2,FALSE)</f>
        <v>CLI-00643</v>
      </c>
      <c r="N455" s="1">
        <f>VLOOKUP(Master8[[#This Row],[Province_RDC]],Client[],3,FALSE)</f>
        <v>14</v>
      </c>
      <c r="O455" s="1" t="str">
        <f>VLOOKUP(Master8[[#This Row],[Province_RDC]],Client[],4,FALSE)</f>
        <v>Pro Monde</v>
      </c>
      <c r="P455" s="1">
        <f>VLOOKUP(Master8[[#This Row],[Province_RDC]],Client[],5,FALSE)</f>
        <v>316</v>
      </c>
      <c r="Q455" s="1">
        <f>VLOOKUP(Master8[[#This Row],[Province_RDC]],Client[],6,FALSE)</f>
        <v>62.34</v>
      </c>
      <c r="R455" s="1">
        <f>VLOOKUP(Master8[[#This Row],[Province_RDC]],Client[],7,FALSE)</f>
        <v>4</v>
      </c>
      <c r="S455" s="1" t="str">
        <f>IF(Master8[[#This Row],[Type_Forfait]]="Pro Monde","B2B","B2C")</f>
        <v>B2B</v>
      </c>
      <c r="T455" s="1">
        <f>Master8[[#This Row],[Anciennete_Mois]]/12</f>
        <v>1.1666666666666667</v>
      </c>
      <c r="U455" s="1">
        <f>Master8[[#This Row],[Duree_Cumule_Panne_Min]]/60</f>
        <v>5.2666666666666666</v>
      </c>
      <c r="V45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5" s="6">
        <f>Master8[[#This Row],[Facture_Mensuelle]]*Master8[[#This Row],[Remise]]</f>
        <v>28.053000000000001</v>
      </c>
    </row>
    <row r="456" spans="1:24" x14ac:dyDescent="0.25">
      <c r="A456" s="1" t="s">
        <v>1114</v>
      </c>
      <c r="B456" t="str">
        <f>IFERROR(VLOOKUP(Master8[[#This Row],[Cell_ID]],Registre_Maintenance[],2,FALSE),"")</f>
        <v>Bas-Uele</v>
      </c>
      <c r="C456" s="1" t="s">
        <v>1123</v>
      </c>
      <c r="D456" s="2">
        <v>45230.868055555547</v>
      </c>
      <c r="E456" s="3">
        <v>45230.868055555547</v>
      </c>
      <c r="F456">
        <v>103</v>
      </c>
      <c r="G456">
        <f>Master8[[#This Row],[Duree_Panne_Min]]/60</f>
        <v>1.7166666666666666</v>
      </c>
      <c r="H456" s="1" t="s">
        <v>737</v>
      </c>
      <c r="I456">
        <f>IFERROR(VLOOKUP(Master8[[#This Row],[Cell_ID]],Registre_Maintenance[],3,FALSE),"")</f>
        <v>-2.8532869999999999</v>
      </c>
      <c r="J456">
        <f>IFERROR(VLOOKUP(Master8[[#This Row],[Cell_ID]],Registre_Maintenance[],4,FALSE),"")</f>
        <v>22.117896000000002</v>
      </c>
      <c r="K456" t="str">
        <f>IFERROR(VLOOKUP(Master8[[#This Row],[Cell_ID]],Registre_Maintenance[],5,FALSE),"")</f>
        <v>5G</v>
      </c>
      <c r="L456" t="str">
        <f>IFERROR(VLOOKUP(Master8[[#This Row],[Cell_ID]],Registre_Maintenance[],6,FALSE),"")</f>
        <v>Huawei</v>
      </c>
      <c r="M456" s="1" t="str">
        <f>VLOOKUP(Master8[[#This Row],[Province_RDC]],Client[],2,FALSE)</f>
        <v>CLI-01128</v>
      </c>
      <c r="N456" s="1">
        <f>VLOOKUP(Master8[[#This Row],[Province_RDC]],Client[],3,FALSE)</f>
        <v>112</v>
      </c>
      <c r="O456" s="1" t="str">
        <f>VLOOKUP(Master8[[#This Row],[Province_RDC]],Client[],4,FALSE)</f>
        <v>Premium 5G 150Go</v>
      </c>
      <c r="P456" s="1">
        <f>VLOOKUP(Master8[[#This Row],[Province_RDC]],Client[],5,FALSE)</f>
        <v>460</v>
      </c>
      <c r="Q456" s="1">
        <f>VLOOKUP(Master8[[#This Row],[Province_RDC]],Client[],6,FALSE)</f>
        <v>55.47</v>
      </c>
      <c r="R456" s="1">
        <f>VLOOKUP(Master8[[#This Row],[Province_RDC]],Client[],7,FALSE)</f>
        <v>4</v>
      </c>
      <c r="S456" s="1" t="str">
        <f>IF(Master8[[#This Row],[Type_Forfait]]="Pro Monde","B2B","B2C")</f>
        <v>B2C</v>
      </c>
      <c r="T456" s="1">
        <f>Master8[[#This Row],[Anciennete_Mois]]/12</f>
        <v>9.3333333333333339</v>
      </c>
      <c r="U456" s="1">
        <f>Master8[[#This Row],[Duree_Cumule_Panne_Min]]/60</f>
        <v>7.666666666666667</v>
      </c>
      <c r="V45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6" s="6">
        <f>Master8[[#This Row],[Facture_Mensuelle]]*Master8[[#This Row],[Remise]]</f>
        <v>24.961500000000001</v>
      </c>
    </row>
    <row r="457" spans="1:24" x14ac:dyDescent="0.25">
      <c r="A457" s="1" t="s">
        <v>1382</v>
      </c>
      <c r="B457" t="str">
        <f>IFERROR(VLOOKUP(Master8[[#This Row],[Cell_ID]],Registre_Maintenance[],2,FALSE),"")</f>
        <v>Bas-Uele</v>
      </c>
      <c r="C457" s="1" t="s">
        <v>1123</v>
      </c>
      <c r="D457" s="2">
        <v>45230.429166666669</v>
      </c>
      <c r="E457" s="3">
        <v>45230.429166666669</v>
      </c>
      <c r="F457">
        <v>11</v>
      </c>
      <c r="G457">
        <f>Master8[[#This Row],[Duree_Panne_Min]]/60</f>
        <v>0.18333333333333332</v>
      </c>
      <c r="H457" s="1" t="s">
        <v>737</v>
      </c>
      <c r="I457">
        <f>IFERROR(VLOOKUP(Master8[[#This Row],[Cell_ID]],Registre_Maintenance[],3,FALSE),"")</f>
        <v>-2.8532869999999999</v>
      </c>
      <c r="J457">
        <f>IFERROR(VLOOKUP(Master8[[#This Row],[Cell_ID]],Registre_Maintenance[],4,FALSE),"")</f>
        <v>22.117896000000002</v>
      </c>
      <c r="K457" t="str">
        <f>IFERROR(VLOOKUP(Master8[[#This Row],[Cell_ID]],Registre_Maintenance[],5,FALSE),"")</f>
        <v>5G</v>
      </c>
      <c r="L457" t="str">
        <f>IFERROR(VLOOKUP(Master8[[#This Row],[Cell_ID]],Registre_Maintenance[],6,FALSE),"")</f>
        <v>Huawei</v>
      </c>
      <c r="M457" s="1" t="str">
        <f>VLOOKUP(Master8[[#This Row],[Province_RDC]],Client[],2,FALSE)</f>
        <v>CLI-01128</v>
      </c>
      <c r="N457" s="1">
        <f>VLOOKUP(Master8[[#This Row],[Province_RDC]],Client[],3,FALSE)</f>
        <v>112</v>
      </c>
      <c r="O457" s="1" t="str">
        <f>VLOOKUP(Master8[[#This Row],[Province_RDC]],Client[],4,FALSE)</f>
        <v>Premium 5G 150Go</v>
      </c>
      <c r="P457" s="1">
        <f>VLOOKUP(Master8[[#This Row],[Province_RDC]],Client[],5,FALSE)</f>
        <v>460</v>
      </c>
      <c r="Q457" s="1">
        <f>VLOOKUP(Master8[[#This Row],[Province_RDC]],Client[],6,FALSE)</f>
        <v>55.47</v>
      </c>
      <c r="R457" s="1">
        <f>VLOOKUP(Master8[[#This Row],[Province_RDC]],Client[],7,FALSE)</f>
        <v>4</v>
      </c>
      <c r="S457" s="1" t="str">
        <f>IF(Master8[[#This Row],[Type_Forfait]]="Pro Monde","B2B","B2C")</f>
        <v>B2C</v>
      </c>
      <c r="T457" s="1">
        <f>Master8[[#This Row],[Anciennete_Mois]]/12</f>
        <v>9.3333333333333339</v>
      </c>
      <c r="U457" s="1">
        <f>Master8[[#This Row],[Duree_Cumule_Panne_Min]]/60</f>
        <v>7.666666666666667</v>
      </c>
      <c r="V45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7" s="6">
        <f>Master8[[#This Row],[Facture_Mensuelle]]*Master8[[#This Row],[Remise]]</f>
        <v>24.961500000000001</v>
      </c>
    </row>
    <row r="458" spans="1:24" x14ac:dyDescent="0.25">
      <c r="A458" s="1" t="s">
        <v>1345</v>
      </c>
      <c r="B458" t="str">
        <f>IFERROR(VLOOKUP(Master8[[#This Row],[Cell_ID]],Registre_Maintenance[],2,FALSE),"")</f>
        <v>Bas-Uele</v>
      </c>
      <c r="C458" s="1" t="s">
        <v>1360</v>
      </c>
      <c r="D458" s="2">
        <v>45230.395138888889</v>
      </c>
      <c r="E458" s="3">
        <v>45230.395138888889</v>
      </c>
      <c r="F458">
        <v>89</v>
      </c>
      <c r="G458">
        <f>Master8[[#This Row],[Duree_Panne_Min]]/60</f>
        <v>1.4833333333333334</v>
      </c>
      <c r="H458" s="1" t="s">
        <v>737</v>
      </c>
      <c r="I458">
        <f>IFERROR(VLOOKUP(Master8[[#This Row],[Cell_ID]],Registre_Maintenance[],3,FALSE),"")</f>
        <v>-7.3952039999999997</v>
      </c>
      <c r="J458">
        <f>IFERROR(VLOOKUP(Master8[[#This Row],[Cell_ID]],Registre_Maintenance[],4,FALSE),"")</f>
        <v>21.651043999999999</v>
      </c>
      <c r="K458" t="str">
        <f>IFERROR(VLOOKUP(Master8[[#This Row],[Cell_ID]],Registre_Maintenance[],5,FALSE),"")</f>
        <v>4G</v>
      </c>
      <c r="L458" t="str">
        <f>IFERROR(VLOOKUP(Master8[[#This Row],[Cell_ID]],Registre_Maintenance[],6,FALSE),"")</f>
        <v>Huawei</v>
      </c>
      <c r="M458" s="1" t="str">
        <f>VLOOKUP(Master8[[#This Row],[Province_RDC]],Client[],2,FALSE)</f>
        <v>CLI-01128</v>
      </c>
      <c r="N458" s="1">
        <f>VLOOKUP(Master8[[#This Row],[Province_RDC]],Client[],3,FALSE)</f>
        <v>112</v>
      </c>
      <c r="O458" s="1" t="str">
        <f>VLOOKUP(Master8[[#This Row],[Province_RDC]],Client[],4,FALSE)</f>
        <v>Premium 5G 150Go</v>
      </c>
      <c r="P458" s="1">
        <f>VLOOKUP(Master8[[#This Row],[Province_RDC]],Client[],5,FALSE)</f>
        <v>460</v>
      </c>
      <c r="Q458" s="1">
        <f>VLOOKUP(Master8[[#This Row],[Province_RDC]],Client[],6,FALSE)</f>
        <v>55.47</v>
      </c>
      <c r="R458" s="1">
        <f>VLOOKUP(Master8[[#This Row],[Province_RDC]],Client[],7,FALSE)</f>
        <v>4</v>
      </c>
      <c r="S458" s="1" t="str">
        <f>IF(Master8[[#This Row],[Type_Forfait]]="Pro Monde","B2B","B2C")</f>
        <v>B2C</v>
      </c>
      <c r="T458" s="1">
        <f>Master8[[#This Row],[Anciennete_Mois]]/12</f>
        <v>9.3333333333333339</v>
      </c>
      <c r="U458" s="1">
        <f>Master8[[#This Row],[Duree_Cumule_Panne_Min]]/60</f>
        <v>7.666666666666667</v>
      </c>
      <c r="V45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8" s="6">
        <f>Master8[[#This Row],[Facture_Mensuelle]]*Master8[[#This Row],[Remise]]</f>
        <v>24.961500000000001</v>
      </c>
    </row>
    <row r="459" spans="1:24" x14ac:dyDescent="0.25">
      <c r="A459" s="1" t="s">
        <v>861</v>
      </c>
      <c r="B459" t="str">
        <f>IFERROR(VLOOKUP(Master8[[#This Row],[Cell_ID]],Registre_Maintenance[],2,FALSE),"")</f>
        <v>Bas-Uele</v>
      </c>
      <c r="C459" s="1" t="s">
        <v>901</v>
      </c>
      <c r="D459" s="2">
        <v>45228.614583333343</v>
      </c>
      <c r="E459" s="3">
        <v>45228.614583333343</v>
      </c>
      <c r="F459">
        <v>48</v>
      </c>
      <c r="G459">
        <f>Master8[[#This Row],[Duree_Panne_Min]]/60</f>
        <v>0.8</v>
      </c>
      <c r="H459" s="1" t="s">
        <v>735</v>
      </c>
      <c r="I459">
        <f>IFERROR(VLOOKUP(Master8[[#This Row],[Cell_ID]],Registre_Maintenance[],3,FALSE),"")</f>
        <v>-3.6945459999999999</v>
      </c>
      <c r="J459">
        <f>IFERROR(VLOOKUP(Master8[[#This Row],[Cell_ID]],Registre_Maintenance[],4,FALSE),"")</f>
        <v>16.809108999999999</v>
      </c>
      <c r="K459" t="str">
        <f>IFERROR(VLOOKUP(Master8[[#This Row],[Cell_ID]],Registre_Maintenance[],5,FALSE),"")</f>
        <v>5G</v>
      </c>
      <c r="L459" t="str">
        <f>IFERROR(VLOOKUP(Master8[[#This Row],[Cell_ID]],Registre_Maintenance[],6,FALSE),"")</f>
        <v>ZTE</v>
      </c>
      <c r="M459" s="1" t="str">
        <f>VLOOKUP(Master8[[#This Row],[Province_RDC]],Client[],2,FALSE)</f>
        <v>CLI-01128</v>
      </c>
      <c r="N459" s="1">
        <f>VLOOKUP(Master8[[#This Row],[Province_RDC]],Client[],3,FALSE)</f>
        <v>112</v>
      </c>
      <c r="O459" s="1" t="str">
        <f>VLOOKUP(Master8[[#This Row],[Province_RDC]],Client[],4,FALSE)</f>
        <v>Premium 5G 150Go</v>
      </c>
      <c r="P459" s="1">
        <f>VLOOKUP(Master8[[#This Row],[Province_RDC]],Client[],5,FALSE)</f>
        <v>460</v>
      </c>
      <c r="Q459" s="1">
        <f>VLOOKUP(Master8[[#This Row],[Province_RDC]],Client[],6,FALSE)</f>
        <v>55.47</v>
      </c>
      <c r="R459" s="1">
        <f>VLOOKUP(Master8[[#This Row],[Province_RDC]],Client[],7,FALSE)</f>
        <v>4</v>
      </c>
      <c r="S459" s="1" t="str">
        <f>IF(Master8[[#This Row],[Type_Forfait]]="Pro Monde","B2B","B2C")</f>
        <v>B2C</v>
      </c>
      <c r="T459" s="1">
        <f>Master8[[#This Row],[Anciennete_Mois]]/12</f>
        <v>9.3333333333333339</v>
      </c>
      <c r="U459" s="1">
        <f>Master8[[#This Row],[Duree_Cumule_Panne_Min]]/60</f>
        <v>7.666666666666667</v>
      </c>
      <c r="V45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5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59" s="6">
        <f>Master8[[#This Row],[Facture_Mensuelle]]*Master8[[#This Row],[Remise]]</f>
        <v>24.961500000000001</v>
      </c>
    </row>
    <row r="460" spans="1:24" x14ac:dyDescent="0.25">
      <c r="A460" s="1" t="s">
        <v>1241</v>
      </c>
      <c r="B460" t="str">
        <f>IFERROR(VLOOKUP(Master8[[#This Row],[Cell_ID]],Registre_Maintenance[],2,FALSE),"")</f>
        <v>Bas-Uele</v>
      </c>
      <c r="C460" s="1" t="s">
        <v>1260</v>
      </c>
      <c r="D460" s="2">
        <v>45224.195138888892</v>
      </c>
      <c r="E460" s="3">
        <v>45224.195138888892</v>
      </c>
      <c r="F460">
        <v>81</v>
      </c>
      <c r="G460">
        <f>Master8[[#This Row],[Duree_Panne_Min]]/60</f>
        <v>1.35</v>
      </c>
      <c r="H460" s="1" t="s">
        <v>735</v>
      </c>
      <c r="I460">
        <f>IFERROR(VLOOKUP(Master8[[#This Row],[Cell_ID]],Registre_Maintenance[],3,FALSE),"")</f>
        <v>-1.500685</v>
      </c>
      <c r="J460">
        <f>IFERROR(VLOOKUP(Master8[[#This Row],[Cell_ID]],Registre_Maintenance[],4,FALSE),"")</f>
        <v>26.563376000000002</v>
      </c>
      <c r="K460" t="str">
        <f>IFERROR(VLOOKUP(Master8[[#This Row],[Cell_ID]],Registre_Maintenance[],5,FALSE),"")</f>
        <v>5G</v>
      </c>
      <c r="L460" t="str">
        <f>IFERROR(VLOOKUP(Master8[[#This Row],[Cell_ID]],Registre_Maintenance[],6,FALSE),"")</f>
        <v>Nokia</v>
      </c>
      <c r="M460" s="1" t="str">
        <f>VLOOKUP(Master8[[#This Row],[Province_RDC]],Client[],2,FALSE)</f>
        <v>CLI-01128</v>
      </c>
      <c r="N460" s="1">
        <f>VLOOKUP(Master8[[#This Row],[Province_RDC]],Client[],3,FALSE)</f>
        <v>112</v>
      </c>
      <c r="O460" s="1" t="str">
        <f>VLOOKUP(Master8[[#This Row],[Province_RDC]],Client[],4,FALSE)</f>
        <v>Premium 5G 150Go</v>
      </c>
      <c r="P460" s="1">
        <f>VLOOKUP(Master8[[#This Row],[Province_RDC]],Client[],5,FALSE)</f>
        <v>460</v>
      </c>
      <c r="Q460" s="1">
        <f>VLOOKUP(Master8[[#This Row],[Province_RDC]],Client[],6,FALSE)</f>
        <v>55.47</v>
      </c>
      <c r="R460" s="1">
        <f>VLOOKUP(Master8[[#This Row],[Province_RDC]],Client[],7,FALSE)</f>
        <v>4</v>
      </c>
      <c r="S460" s="1" t="str">
        <f>IF(Master8[[#This Row],[Type_Forfait]]="Pro Monde","B2B","B2C")</f>
        <v>B2C</v>
      </c>
      <c r="T460" s="1">
        <f>Master8[[#This Row],[Anciennete_Mois]]/12</f>
        <v>9.3333333333333339</v>
      </c>
      <c r="U460" s="1">
        <f>Master8[[#This Row],[Duree_Cumule_Panne_Min]]/60</f>
        <v>7.666666666666667</v>
      </c>
      <c r="V46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0" s="6">
        <f>Master8[[#This Row],[Facture_Mensuelle]]*Master8[[#This Row],[Remise]]</f>
        <v>24.961500000000001</v>
      </c>
    </row>
    <row r="461" spans="1:24" x14ac:dyDescent="0.25">
      <c r="A461" s="1" t="s">
        <v>1308</v>
      </c>
      <c r="B461" t="str">
        <f>IFERROR(VLOOKUP(Master8[[#This Row],[Cell_ID]],Registre_Maintenance[],2,FALSE),"")</f>
        <v>Bas-Uele</v>
      </c>
      <c r="C461" s="1" t="s">
        <v>922</v>
      </c>
      <c r="D461" s="2">
        <v>45223.436111111107</v>
      </c>
      <c r="E461" s="3">
        <v>45223.436111111107</v>
      </c>
      <c r="F461">
        <v>26</v>
      </c>
      <c r="G461">
        <f>Master8[[#This Row],[Duree_Panne_Min]]/60</f>
        <v>0.43333333333333335</v>
      </c>
      <c r="H461" s="1" t="s">
        <v>732</v>
      </c>
      <c r="I461">
        <f>IFERROR(VLOOKUP(Master8[[#This Row],[Cell_ID]],Registre_Maintenance[],3,FALSE),"")</f>
        <v>1.5278670000000001</v>
      </c>
      <c r="J461">
        <f>IFERROR(VLOOKUP(Master8[[#This Row],[Cell_ID]],Registre_Maintenance[],4,FALSE),"")</f>
        <v>13.899388999999999</v>
      </c>
      <c r="K461" t="str">
        <f>IFERROR(VLOOKUP(Master8[[#This Row],[Cell_ID]],Registre_Maintenance[],5,FALSE),"")</f>
        <v>3G</v>
      </c>
      <c r="L461" t="str">
        <f>IFERROR(VLOOKUP(Master8[[#This Row],[Cell_ID]],Registre_Maintenance[],6,FALSE),"")</f>
        <v>Huawei</v>
      </c>
      <c r="M461" s="1" t="str">
        <f>VLOOKUP(Master8[[#This Row],[Province_RDC]],Client[],2,FALSE)</f>
        <v>CLI-01128</v>
      </c>
      <c r="N461" s="1">
        <f>VLOOKUP(Master8[[#This Row],[Province_RDC]],Client[],3,FALSE)</f>
        <v>112</v>
      </c>
      <c r="O461" s="1" t="str">
        <f>VLOOKUP(Master8[[#This Row],[Province_RDC]],Client[],4,FALSE)</f>
        <v>Premium 5G 150Go</v>
      </c>
      <c r="P461" s="1">
        <f>VLOOKUP(Master8[[#This Row],[Province_RDC]],Client[],5,FALSE)</f>
        <v>460</v>
      </c>
      <c r="Q461" s="1">
        <f>VLOOKUP(Master8[[#This Row],[Province_RDC]],Client[],6,FALSE)</f>
        <v>55.47</v>
      </c>
      <c r="R461" s="1">
        <f>VLOOKUP(Master8[[#This Row],[Province_RDC]],Client[],7,FALSE)</f>
        <v>4</v>
      </c>
      <c r="S461" s="1" t="str">
        <f>IF(Master8[[#This Row],[Type_Forfait]]="Pro Monde","B2B","B2C")</f>
        <v>B2C</v>
      </c>
      <c r="T461" s="1">
        <f>Master8[[#This Row],[Anciennete_Mois]]/12</f>
        <v>9.3333333333333339</v>
      </c>
      <c r="U461" s="1">
        <f>Master8[[#This Row],[Duree_Cumule_Panne_Min]]/60</f>
        <v>7.666666666666667</v>
      </c>
      <c r="V46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1" s="6">
        <f>Master8[[#This Row],[Facture_Mensuelle]]*Master8[[#This Row],[Remise]]</f>
        <v>24.961500000000001</v>
      </c>
    </row>
    <row r="462" spans="1:24" x14ac:dyDescent="0.25">
      <c r="A462" s="1" t="s">
        <v>1114</v>
      </c>
      <c r="B462" t="str">
        <f>IFERROR(VLOOKUP(Master8[[#This Row],[Cell_ID]],Registre_Maintenance[],2,FALSE),"")</f>
        <v>Bas-Uele</v>
      </c>
      <c r="C462" s="1" t="s">
        <v>901</v>
      </c>
      <c r="D462" s="2">
        <v>45222.763194444437</v>
      </c>
      <c r="E462" s="3">
        <v>45222.763194444437</v>
      </c>
      <c r="F462">
        <v>91</v>
      </c>
      <c r="G462">
        <f>Master8[[#This Row],[Duree_Panne_Min]]/60</f>
        <v>1.5166666666666666</v>
      </c>
      <c r="H462" s="1" t="s">
        <v>737</v>
      </c>
      <c r="I462">
        <f>IFERROR(VLOOKUP(Master8[[#This Row],[Cell_ID]],Registre_Maintenance[],3,FALSE),"")</f>
        <v>-3.6945459999999999</v>
      </c>
      <c r="J462">
        <f>IFERROR(VLOOKUP(Master8[[#This Row],[Cell_ID]],Registre_Maintenance[],4,FALSE),"")</f>
        <v>16.809108999999999</v>
      </c>
      <c r="K462" t="str">
        <f>IFERROR(VLOOKUP(Master8[[#This Row],[Cell_ID]],Registre_Maintenance[],5,FALSE),"")</f>
        <v>5G</v>
      </c>
      <c r="L462" t="str">
        <f>IFERROR(VLOOKUP(Master8[[#This Row],[Cell_ID]],Registre_Maintenance[],6,FALSE),"")</f>
        <v>ZTE</v>
      </c>
      <c r="M462" s="1" t="str">
        <f>VLOOKUP(Master8[[#This Row],[Province_RDC]],Client[],2,FALSE)</f>
        <v>CLI-01128</v>
      </c>
      <c r="N462" s="1">
        <f>VLOOKUP(Master8[[#This Row],[Province_RDC]],Client[],3,FALSE)</f>
        <v>112</v>
      </c>
      <c r="O462" s="1" t="str">
        <f>VLOOKUP(Master8[[#This Row],[Province_RDC]],Client[],4,FALSE)</f>
        <v>Premium 5G 150Go</v>
      </c>
      <c r="P462" s="1">
        <f>VLOOKUP(Master8[[#This Row],[Province_RDC]],Client[],5,FALSE)</f>
        <v>460</v>
      </c>
      <c r="Q462" s="1">
        <f>VLOOKUP(Master8[[#This Row],[Province_RDC]],Client[],6,FALSE)</f>
        <v>55.47</v>
      </c>
      <c r="R462" s="1">
        <f>VLOOKUP(Master8[[#This Row],[Province_RDC]],Client[],7,FALSE)</f>
        <v>4</v>
      </c>
      <c r="S462" s="1" t="str">
        <f>IF(Master8[[#This Row],[Type_Forfait]]="Pro Monde","B2B","B2C")</f>
        <v>B2C</v>
      </c>
      <c r="T462" s="1">
        <f>Master8[[#This Row],[Anciennete_Mois]]/12</f>
        <v>9.3333333333333339</v>
      </c>
      <c r="U462" s="1">
        <f>Master8[[#This Row],[Duree_Cumule_Panne_Min]]/60</f>
        <v>7.666666666666667</v>
      </c>
      <c r="V46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2" s="6">
        <f>Master8[[#This Row],[Facture_Mensuelle]]*Master8[[#This Row],[Remise]]</f>
        <v>24.961500000000001</v>
      </c>
    </row>
    <row r="463" spans="1:24" x14ac:dyDescent="0.25">
      <c r="A463" s="1" t="s">
        <v>779</v>
      </c>
      <c r="B463" t="str">
        <f>IFERROR(VLOOKUP(Master8[[#This Row],[Cell_ID]],Registre_Maintenance[],2,FALSE),"")</f>
        <v>Bas-Uele</v>
      </c>
      <c r="C463" s="1" t="s">
        <v>817</v>
      </c>
      <c r="D463" s="2">
        <v>45222.427083333343</v>
      </c>
      <c r="E463" s="3">
        <v>45222.427083333343</v>
      </c>
      <c r="F463">
        <v>82</v>
      </c>
      <c r="G463">
        <f>Master8[[#This Row],[Duree_Panne_Min]]/60</f>
        <v>1.3666666666666667</v>
      </c>
      <c r="H463" s="1" t="s">
        <v>732</v>
      </c>
      <c r="I463">
        <f>IFERROR(VLOOKUP(Master8[[#This Row],[Cell_ID]],Registre_Maintenance[],3,FALSE),"")</f>
        <v>-4.4697000000000001E-2</v>
      </c>
      <c r="J463">
        <f>IFERROR(VLOOKUP(Master8[[#This Row],[Cell_ID]],Registre_Maintenance[],4,FALSE),"")</f>
        <v>22.943373000000001</v>
      </c>
      <c r="K463" t="str">
        <f>IFERROR(VLOOKUP(Master8[[#This Row],[Cell_ID]],Registre_Maintenance[],5,FALSE),"")</f>
        <v>3G</v>
      </c>
      <c r="L463" t="str">
        <f>IFERROR(VLOOKUP(Master8[[#This Row],[Cell_ID]],Registre_Maintenance[],6,FALSE),"")</f>
        <v>Huawei</v>
      </c>
      <c r="M463" s="1" t="str">
        <f>VLOOKUP(Master8[[#This Row],[Province_RDC]],Client[],2,FALSE)</f>
        <v>CLI-01128</v>
      </c>
      <c r="N463" s="1">
        <f>VLOOKUP(Master8[[#This Row],[Province_RDC]],Client[],3,FALSE)</f>
        <v>112</v>
      </c>
      <c r="O463" s="1" t="str">
        <f>VLOOKUP(Master8[[#This Row],[Province_RDC]],Client[],4,FALSE)</f>
        <v>Premium 5G 150Go</v>
      </c>
      <c r="P463" s="1">
        <f>VLOOKUP(Master8[[#This Row],[Province_RDC]],Client[],5,FALSE)</f>
        <v>460</v>
      </c>
      <c r="Q463" s="1">
        <f>VLOOKUP(Master8[[#This Row],[Province_RDC]],Client[],6,FALSE)</f>
        <v>55.47</v>
      </c>
      <c r="R463" s="1">
        <f>VLOOKUP(Master8[[#This Row],[Province_RDC]],Client[],7,FALSE)</f>
        <v>4</v>
      </c>
      <c r="S463" s="1" t="str">
        <f>IF(Master8[[#This Row],[Type_Forfait]]="Pro Monde","B2B","B2C")</f>
        <v>B2C</v>
      </c>
      <c r="T463" s="1">
        <f>Master8[[#This Row],[Anciennete_Mois]]/12</f>
        <v>9.3333333333333339</v>
      </c>
      <c r="U463" s="1">
        <f>Master8[[#This Row],[Duree_Cumule_Panne_Min]]/60</f>
        <v>7.666666666666667</v>
      </c>
      <c r="V46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3" s="6">
        <f>Master8[[#This Row],[Facture_Mensuelle]]*Master8[[#This Row],[Remise]]</f>
        <v>24.961500000000001</v>
      </c>
    </row>
    <row r="464" spans="1:24" x14ac:dyDescent="0.25">
      <c r="A464" s="1" t="s">
        <v>1024</v>
      </c>
      <c r="B464" t="str">
        <f>IFERROR(VLOOKUP(Master8[[#This Row],[Cell_ID]],Registre_Maintenance[],2,FALSE),"")</f>
        <v>Bas-Uele</v>
      </c>
      <c r="C464" s="1" t="s">
        <v>1053</v>
      </c>
      <c r="D464" s="2">
        <v>45220.893750000003</v>
      </c>
      <c r="E464" s="3">
        <v>45220.893750000003</v>
      </c>
      <c r="F464">
        <v>101</v>
      </c>
      <c r="G464">
        <f>Master8[[#This Row],[Duree_Panne_Min]]/60</f>
        <v>1.6833333333333333</v>
      </c>
      <c r="H464" s="1" t="s">
        <v>737</v>
      </c>
      <c r="I464">
        <f>IFERROR(VLOOKUP(Master8[[#This Row],[Cell_ID]],Registre_Maintenance[],3,FALSE),"")</f>
        <v>-2.2876210000000001</v>
      </c>
      <c r="J464">
        <f>IFERROR(VLOOKUP(Master8[[#This Row],[Cell_ID]],Registre_Maintenance[],4,FALSE),"")</f>
        <v>27.582545</v>
      </c>
      <c r="K464" t="str">
        <f>IFERROR(VLOOKUP(Master8[[#This Row],[Cell_ID]],Registre_Maintenance[],5,FALSE),"")</f>
        <v>4G</v>
      </c>
      <c r="L464" t="str">
        <f>IFERROR(VLOOKUP(Master8[[#This Row],[Cell_ID]],Registre_Maintenance[],6,FALSE),"")</f>
        <v>Huawei</v>
      </c>
      <c r="M464" s="1" t="str">
        <f>VLOOKUP(Master8[[#This Row],[Province_RDC]],Client[],2,FALSE)</f>
        <v>CLI-01128</v>
      </c>
      <c r="N464" s="1">
        <f>VLOOKUP(Master8[[#This Row],[Province_RDC]],Client[],3,FALSE)</f>
        <v>112</v>
      </c>
      <c r="O464" s="1" t="str">
        <f>VLOOKUP(Master8[[#This Row],[Province_RDC]],Client[],4,FALSE)</f>
        <v>Premium 5G 150Go</v>
      </c>
      <c r="P464" s="1">
        <f>VLOOKUP(Master8[[#This Row],[Province_RDC]],Client[],5,FALSE)</f>
        <v>460</v>
      </c>
      <c r="Q464" s="1">
        <f>VLOOKUP(Master8[[#This Row],[Province_RDC]],Client[],6,FALSE)</f>
        <v>55.47</v>
      </c>
      <c r="R464" s="1">
        <f>VLOOKUP(Master8[[#This Row],[Province_RDC]],Client[],7,FALSE)</f>
        <v>4</v>
      </c>
      <c r="S464" s="1" t="str">
        <f>IF(Master8[[#This Row],[Type_Forfait]]="Pro Monde","B2B","B2C")</f>
        <v>B2C</v>
      </c>
      <c r="T464" s="1">
        <f>Master8[[#This Row],[Anciennete_Mois]]/12</f>
        <v>9.3333333333333339</v>
      </c>
      <c r="U464" s="1">
        <f>Master8[[#This Row],[Duree_Cumule_Panne_Min]]/60</f>
        <v>7.666666666666667</v>
      </c>
      <c r="V46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4" s="6">
        <f>Master8[[#This Row],[Facture_Mensuelle]]*Master8[[#This Row],[Remise]]</f>
        <v>24.961500000000001</v>
      </c>
    </row>
    <row r="465" spans="1:24" x14ac:dyDescent="0.25">
      <c r="A465" s="1" t="s">
        <v>1404</v>
      </c>
      <c r="B465" t="str">
        <f>IFERROR(VLOOKUP(Master8[[#This Row],[Cell_ID]],Registre_Maintenance[],2,FALSE),"")</f>
        <v>Bas-Uele</v>
      </c>
      <c r="C465" s="1" t="s">
        <v>901</v>
      </c>
      <c r="D465" s="2">
        <v>45219.095833333333</v>
      </c>
      <c r="E465" s="3">
        <v>45219.095833333333</v>
      </c>
      <c r="F465">
        <v>113</v>
      </c>
      <c r="G465">
        <f>Master8[[#This Row],[Duree_Panne_Min]]/60</f>
        <v>1.8833333333333333</v>
      </c>
      <c r="H465" s="1" t="s">
        <v>737</v>
      </c>
      <c r="I465">
        <f>IFERROR(VLOOKUP(Master8[[#This Row],[Cell_ID]],Registre_Maintenance[],3,FALSE),"")</f>
        <v>-3.6945459999999999</v>
      </c>
      <c r="J465">
        <f>IFERROR(VLOOKUP(Master8[[#This Row],[Cell_ID]],Registre_Maintenance[],4,FALSE),"")</f>
        <v>16.809108999999999</v>
      </c>
      <c r="K465" t="str">
        <f>IFERROR(VLOOKUP(Master8[[#This Row],[Cell_ID]],Registre_Maintenance[],5,FALSE),"")</f>
        <v>5G</v>
      </c>
      <c r="L465" t="str">
        <f>IFERROR(VLOOKUP(Master8[[#This Row],[Cell_ID]],Registre_Maintenance[],6,FALSE),"")</f>
        <v>ZTE</v>
      </c>
      <c r="M465" s="1" t="str">
        <f>VLOOKUP(Master8[[#This Row],[Province_RDC]],Client[],2,FALSE)</f>
        <v>CLI-01128</v>
      </c>
      <c r="N465" s="1">
        <f>VLOOKUP(Master8[[#This Row],[Province_RDC]],Client[],3,FALSE)</f>
        <v>112</v>
      </c>
      <c r="O465" s="1" t="str">
        <f>VLOOKUP(Master8[[#This Row],[Province_RDC]],Client[],4,FALSE)</f>
        <v>Premium 5G 150Go</v>
      </c>
      <c r="P465" s="1">
        <f>VLOOKUP(Master8[[#This Row],[Province_RDC]],Client[],5,FALSE)</f>
        <v>460</v>
      </c>
      <c r="Q465" s="1">
        <f>VLOOKUP(Master8[[#This Row],[Province_RDC]],Client[],6,FALSE)</f>
        <v>55.47</v>
      </c>
      <c r="R465" s="1">
        <f>VLOOKUP(Master8[[#This Row],[Province_RDC]],Client[],7,FALSE)</f>
        <v>4</v>
      </c>
      <c r="S465" s="1" t="str">
        <f>IF(Master8[[#This Row],[Type_Forfait]]="Pro Monde","B2B","B2C")</f>
        <v>B2C</v>
      </c>
      <c r="T465" s="1">
        <f>Master8[[#This Row],[Anciennete_Mois]]/12</f>
        <v>9.3333333333333339</v>
      </c>
      <c r="U465" s="1">
        <f>Master8[[#This Row],[Duree_Cumule_Panne_Min]]/60</f>
        <v>7.666666666666667</v>
      </c>
      <c r="V46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5" s="6">
        <f>Master8[[#This Row],[Facture_Mensuelle]]*Master8[[#This Row],[Remise]]</f>
        <v>24.961500000000001</v>
      </c>
    </row>
    <row r="466" spans="1:24" x14ac:dyDescent="0.25">
      <c r="A466" s="1" t="s">
        <v>1241</v>
      </c>
      <c r="B466" t="str">
        <f>IFERROR(VLOOKUP(Master8[[#This Row],[Cell_ID]],Registre_Maintenance[],2,FALSE),"")</f>
        <v>Bas-Uele</v>
      </c>
      <c r="C466" s="1" t="s">
        <v>1057</v>
      </c>
      <c r="D466" s="2">
        <v>45216.970138888893</v>
      </c>
      <c r="E466" s="3">
        <v>45216.970138888893</v>
      </c>
      <c r="F466">
        <v>13</v>
      </c>
      <c r="G466">
        <f>Master8[[#This Row],[Duree_Panne_Min]]/60</f>
        <v>0.21666666666666667</v>
      </c>
      <c r="H466" s="1" t="s">
        <v>737</v>
      </c>
      <c r="I466">
        <f>IFERROR(VLOOKUP(Master8[[#This Row],[Cell_ID]],Registre_Maintenance[],3,FALSE),"")</f>
        <v>-6.4197189999999997</v>
      </c>
      <c r="J466">
        <f>IFERROR(VLOOKUP(Master8[[#This Row],[Cell_ID]],Registre_Maintenance[],4,FALSE),"")</f>
        <v>22.287264</v>
      </c>
      <c r="K466" t="str">
        <f>IFERROR(VLOOKUP(Master8[[#This Row],[Cell_ID]],Registre_Maintenance[],5,FALSE),"")</f>
        <v>3G</v>
      </c>
      <c r="L466" t="str">
        <f>IFERROR(VLOOKUP(Master8[[#This Row],[Cell_ID]],Registre_Maintenance[],6,FALSE),"")</f>
        <v>Ericsson</v>
      </c>
      <c r="M466" s="1" t="str">
        <f>VLOOKUP(Master8[[#This Row],[Province_RDC]],Client[],2,FALSE)</f>
        <v>CLI-01128</v>
      </c>
      <c r="N466" s="1">
        <f>VLOOKUP(Master8[[#This Row],[Province_RDC]],Client[],3,FALSE)</f>
        <v>112</v>
      </c>
      <c r="O466" s="1" t="str">
        <f>VLOOKUP(Master8[[#This Row],[Province_RDC]],Client[],4,FALSE)</f>
        <v>Premium 5G 150Go</v>
      </c>
      <c r="P466" s="1">
        <f>VLOOKUP(Master8[[#This Row],[Province_RDC]],Client[],5,FALSE)</f>
        <v>460</v>
      </c>
      <c r="Q466" s="1">
        <f>VLOOKUP(Master8[[#This Row],[Province_RDC]],Client[],6,FALSE)</f>
        <v>55.47</v>
      </c>
      <c r="R466" s="1">
        <f>VLOOKUP(Master8[[#This Row],[Province_RDC]],Client[],7,FALSE)</f>
        <v>4</v>
      </c>
      <c r="S466" s="1" t="str">
        <f>IF(Master8[[#This Row],[Type_Forfait]]="Pro Monde","B2B","B2C")</f>
        <v>B2C</v>
      </c>
      <c r="T466" s="1">
        <f>Master8[[#This Row],[Anciennete_Mois]]/12</f>
        <v>9.3333333333333339</v>
      </c>
      <c r="U466" s="1">
        <f>Master8[[#This Row],[Duree_Cumule_Panne_Min]]/60</f>
        <v>7.666666666666667</v>
      </c>
      <c r="V46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6" s="6">
        <f>Master8[[#This Row],[Facture_Mensuelle]]*Master8[[#This Row],[Remise]]</f>
        <v>24.961500000000001</v>
      </c>
    </row>
    <row r="467" spans="1:24" x14ac:dyDescent="0.25">
      <c r="A467" s="1" t="s">
        <v>1382</v>
      </c>
      <c r="B467" t="str">
        <f>IFERROR(VLOOKUP(Master8[[#This Row],[Cell_ID]],Registre_Maintenance[],2,FALSE),"")</f>
        <v>Bas-Uele</v>
      </c>
      <c r="C467" s="1" t="s">
        <v>901</v>
      </c>
      <c r="D467" s="2">
        <v>45214.172222222223</v>
      </c>
      <c r="E467" s="3">
        <v>45214.172222222223</v>
      </c>
      <c r="F467">
        <v>6</v>
      </c>
      <c r="G467">
        <f>Master8[[#This Row],[Duree_Panne_Min]]/60</f>
        <v>0.1</v>
      </c>
      <c r="H467" s="1" t="s">
        <v>732</v>
      </c>
      <c r="I467">
        <f>IFERROR(VLOOKUP(Master8[[#This Row],[Cell_ID]],Registre_Maintenance[],3,FALSE),"")</f>
        <v>-3.6945459999999999</v>
      </c>
      <c r="J467">
        <f>IFERROR(VLOOKUP(Master8[[#This Row],[Cell_ID]],Registre_Maintenance[],4,FALSE),"")</f>
        <v>16.809108999999999</v>
      </c>
      <c r="K467" t="str">
        <f>IFERROR(VLOOKUP(Master8[[#This Row],[Cell_ID]],Registre_Maintenance[],5,FALSE),"")</f>
        <v>5G</v>
      </c>
      <c r="L467" t="str">
        <f>IFERROR(VLOOKUP(Master8[[#This Row],[Cell_ID]],Registre_Maintenance[],6,FALSE),"")</f>
        <v>ZTE</v>
      </c>
      <c r="M467" s="1" t="str">
        <f>VLOOKUP(Master8[[#This Row],[Province_RDC]],Client[],2,FALSE)</f>
        <v>CLI-01128</v>
      </c>
      <c r="N467" s="1">
        <f>VLOOKUP(Master8[[#This Row],[Province_RDC]],Client[],3,FALSE)</f>
        <v>112</v>
      </c>
      <c r="O467" s="1" t="str">
        <f>VLOOKUP(Master8[[#This Row],[Province_RDC]],Client[],4,FALSE)</f>
        <v>Premium 5G 150Go</v>
      </c>
      <c r="P467" s="1">
        <f>VLOOKUP(Master8[[#This Row],[Province_RDC]],Client[],5,FALSE)</f>
        <v>460</v>
      </c>
      <c r="Q467" s="1">
        <f>VLOOKUP(Master8[[#This Row],[Province_RDC]],Client[],6,FALSE)</f>
        <v>55.47</v>
      </c>
      <c r="R467" s="1">
        <f>VLOOKUP(Master8[[#This Row],[Province_RDC]],Client[],7,FALSE)</f>
        <v>4</v>
      </c>
      <c r="S467" s="1" t="str">
        <f>IF(Master8[[#This Row],[Type_Forfait]]="Pro Monde","B2B","B2C")</f>
        <v>B2C</v>
      </c>
      <c r="T467" s="1">
        <f>Master8[[#This Row],[Anciennete_Mois]]/12</f>
        <v>9.3333333333333339</v>
      </c>
      <c r="U467" s="1">
        <f>Master8[[#This Row],[Duree_Cumule_Panne_Min]]/60</f>
        <v>7.666666666666667</v>
      </c>
      <c r="V46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7" s="6">
        <f>Master8[[#This Row],[Facture_Mensuelle]]*Master8[[#This Row],[Remise]]</f>
        <v>24.961500000000001</v>
      </c>
    </row>
    <row r="468" spans="1:24" x14ac:dyDescent="0.25">
      <c r="A468" s="1" t="s">
        <v>1138</v>
      </c>
      <c r="B468" t="str">
        <f>IFERROR(VLOOKUP(Master8[[#This Row],[Cell_ID]],Registre_Maintenance[],2,FALSE),"")</f>
        <v>Bas-Uele</v>
      </c>
      <c r="C468" s="1" t="s">
        <v>922</v>
      </c>
      <c r="D468" s="2">
        <v>45209.921527777777</v>
      </c>
      <c r="E468" s="3">
        <v>45209.921527777777</v>
      </c>
      <c r="F468">
        <v>119</v>
      </c>
      <c r="G468">
        <f>Master8[[#This Row],[Duree_Panne_Min]]/60</f>
        <v>1.9833333333333334</v>
      </c>
      <c r="H468" s="1" t="s">
        <v>732</v>
      </c>
      <c r="I468">
        <f>IFERROR(VLOOKUP(Master8[[#This Row],[Cell_ID]],Registre_Maintenance[],3,FALSE),"")</f>
        <v>1.5278670000000001</v>
      </c>
      <c r="J468">
        <f>IFERROR(VLOOKUP(Master8[[#This Row],[Cell_ID]],Registre_Maintenance[],4,FALSE),"")</f>
        <v>13.899388999999999</v>
      </c>
      <c r="K468" t="str">
        <f>IFERROR(VLOOKUP(Master8[[#This Row],[Cell_ID]],Registre_Maintenance[],5,FALSE),"")</f>
        <v>3G</v>
      </c>
      <c r="L468" t="str">
        <f>IFERROR(VLOOKUP(Master8[[#This Row],[Cell_ID]],Registre_Maintenance[],6,FALSE),"")</f>
        <v>Huawei</v>
      </c>
      <c r="M468" s="1" t="str">
        <f>VLOOKUP(Master8[[#This Row],[Province_RDC]],Client[],2,FALSE)</f>
        <v>CLI-01128</v>
      </c>
      <c r="N468" s="1">
        <f>VLOOKUP(Master8[[#This Row],[Province_RDC]],Client[],3,FALSE)</f>
        <v>112</v>
      </c>
      <c r="O468" s="1" t="str">
        <f>VLOOKUP(Master8[[#This Row],[Province_RDC]],Client[],4,FALSE)</f>
        <v>Premium 5G 150Go</v>
      </c>
      <c r="P468" s="1">
        <f>VLOOKUP(Master8[[#This Row],[Province_RDC]],Client[],5,FALSE)</f>
        <v>460</v>
      </c>
      <c r="Q468" s="1">
        <f>VLOOKUP(Master8[[#This Row],[Province_RDC]],Client[],6,FALSE)</f>
        <v>55.47</v>
      </c>
      <c r="R468" s="1">
        <f>VLOOKUP(Master8[[#This Row],[Province_RDC]],Client[],7,FALSE)</f>
        <v>4</v>
      </c>
      <c r="S468" s="1" t="str">
        <f>IF(Master8[[#This Row],[Type_Forfait]]="Pro Monde","B2B","B2C")</f>
        <v>B2C</v>
      </c>
      <c r="T468" s="1">
        <f>Master8[[#This Row],[Anciennete_Mois]]/12</f>
        <v>9.3333333333333339</v>
      </c>
      <c r="U468" s="1">
        <f>Master8[[#This Row],[Duree_Cumule_Panne_Min]]/60</f>
        <v>7.666666666666667</v>
      </c>
      <c r="V46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8" s="6">
        <f>Master8[[#This Row],[Facture_Mensuelle]]*Master8[[#This Row],[Remise]]</f>
        <v>24.961500000000001</v>
      </c>
    </row>
    <row r="469" spans="1:24" x14ac:dyDescent="0.25">
      <c r="A469" s="1" t="s">
        <v>1404</v>
      </c>
      <c r="B469" t="str">
        <f>IFERROR(VLOOKUP(Master8[[#This Row],[Cell_ID]],Registre_Maintenance[],2,FALSE),"")</f>
        <v>Bas-Uele</v>
      </c>
      <c r="C469" s="1" t="s">
        <v>1057</v>
      </c>
      <c r="D469" s="2">
        <v>45209.913888888892</v>
      </c>
      <c r="E469" s="3">
        <v>45209.913888888892</v>
      </c>
      <c r="F469">
        <v>111</v>
      </c>
      <c r="G469">
        <f>Master8[[#This Row],[Duree_Panne_Min]]/60</f>
        <v>1.85</v>
      </c>
      <c r="H469" s="1" t="s">
        <v>737</v>
      </c>
      <c r="I469">
        <f>IFERROR(VLOOKUP(Master8[[#This Row],[Cell_ID]],Registre_Maintenance[],3,FALSE),"")</f>
        <v>-6.4197189999999997</v>
      </c>
      <c r="J469">
        <f>IFERROR(VLOOKUP(Master8[[#This Row],[Cell_ID]],Registre_Maintenance[],4,FALSE),"")</f>
        <v>22.287264</v>
      </c>
      <c r="K469" t="str">
        <f>IFERROR(VLOOKUP(Master8[[#This Row],[Cell_ID]],Registre_Maintenance[],5,FALSE),"")</f>
        <v>3G</v>
      </c>
      <c r="L469" t="str">
        <f>IFERROR(VLOOKUP(Master8[[#This Row],[Cell_ID]],Registre_Maintenance[],6,FALSE),"")</f>
        <v>Ericsson</v>
      </c>
      <c r="M469" s="1" t="str">
        <f>VLOOKUP(Master8[[#This Row],[Province_RDC]],Client[],2,FALSE)</f>
        <v>CLI-01128</v>
      </c>
      <c r="N469" s="1">
        <f>VLOOKUP(Master8[[#This Row],[Province_RDC]],Client[],3,FALSE)</f>
        <v>112</v>
      </c>
      <c r="O469" s="1" t="str">
        <f>VLOOKUP(Master8[[#This Row],[Province_RDC]],Client[],4,FALSE)</f>
        <v>Premium 5G 150Go</v>
      </c>
      <c r="P469" s="1">
        <f>VLOOKUP(Master8[[#This Row],[Province_RDC]],Client[],5,FALSE)</f>
        <v>460</v>
      </c>
      <c r="Q469" s="1">
        <f>VLOOKUP(Master8[[#This Row],[Province_RDC]],Client[],6,FALSE)</f>
        <v>55.47</v>
      </c>
      <c r="R469" s="1">
        <f>VLOOKUP(Master8[[#This Row],[Province_RDC]],Client[],7,FALSE)</f>
        <v>4</v>
      </c>
      <c r="S469" s="1" t="str">
        <f>IF(Master8[[#This Row],[Type_Forfait]]="Pro Monde","B2B","B2C")</f>
        <v>B2C</v>
      </c>
      <c r="T469" s="1">
        <f>Master8[[#This Row],[Anciennete_Mois]]/12</f>
        <v>9.3333333333333339</v>
      </c>
      <c r="U469" s="1">
        <f>Master8[[#This Row],[Duree_Cumule_Panne_Min]]/60</f>
        <v>7.666666666666667</v>
      </c>
      <c r="V46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6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69" s="6">
        <f>Master8[[#This Row],[Facture_Mensuelle]]*Master8[[#This Row],[Remise]]</f>
        <v>24.961500000000001</v>
      </c>
    </row>
    <row r="470" spans="1:24" x14ac:dyDescent="0.25">
      <c r="A470" s="1" t="s">
        <v>1361</v>
      </c>
      <c r="B470" t="str">
        <f>IFERROR(VLOOKUP(Master8[[#This Row],[Cell_ID]],Registre_Maintenance[],2,FALSE),"")</f>
        <v>Bas-Uele</v>
      </c>
      <c r="C470" s="1" t="s">
        <v>1363</v>
      </c>
      <c r="D470" s="2">
        <v>45208.961805555547</v>
      </c>
      <c r="E470" s="3">
        <v>45208.961805555547</v>
      </c>
      <c r="F470">
        <v>68</v>
      </c>
      <c r="G470">
        <f>Master8[[#This Row],[Duree_Panne_Min]]/60</f>
        <v>1.1333333333333333</v>
      </c>
      <c r="H470" s="1" t="s">
        <v>732</v>
      </c>
      <c r="I470">
        <f>IFERROR(VLOOKUP(Master8[[#This Row],[Cell_ID]],Registre_Maintenance[],3,FALSE),"")</f>
        <v>-2.3269820000000001</v>
      </c>
      <c r="J470">
        <f>IFERROR(VLOOKUP(Master8[[#This Row],[Cell_ID]],Registre_Maintenance[],4,FALSE),"")</f>
        <v>14.609259</v>
      </c>
      <c r="K470" t="str">
        <f>IFERROR(VLOOKUP(Master8[[#This Row],[Cell_ID]],Registre_Maintenance[],5,FALSE),"")</f>
        <v>3G</v>
      </c>
      <c r="L470" t="str">
        <f>IFERROR(VLOOKUP(Master8[[#This Row],[Cell_ID]],Registre_Maintenance[],6,FALSE),"")</f>
        <v>Nokia</v>
      </c>
      <c r="M470" s="1" t="str">
        <f>VLOOKUP(Master8[[#This Row],[Province_RDC]],Client[],2,FALSE)</f>
        <v>CLI-01128</v>
      </c>
      <c r="N470" s="1">
        <f>VLOOKUP(Master8[[#This Row],[Province_RDC]],Client[],3,FALSE)</f>
        <v>112</v>
      </c>
      <c r="O470" s="1" t="str">
        <f>VLOOKUP(Master8[[#This Row],[Province_RDC]],Client[],4,FALSE)</f>
        <v>Premium 5G 150Go</v>
      </c>
      <c r="P470" s="1">
        <f>VLOOKUP(Master8[[#This Row],[Province_RDC]],Client[],5,FALSE)</f>
        <v>460</v>
      </c>
      <c r="Q470" s="1">
        <f>VLOOKUP(Master8[[#This Row],[Province_RDC]],Client[],6,FALSE)</f>
        <v>55.47</v>
      </c>
      <c r="R470" s="1">
        <f>VLOOKUP(Master8[[#This Row],[Province_RDC]],Client[],7,FALSE)</f>
        <v>4</v>
      </c>
      <c r="S470" s="1" t="str">
        <f>IF(Master8[[#This Row],[Type_Forfait]]="Pro Monde","B2B","B2C")</f>
        <v>B2C</v>
      </c>
      <c r="T470" s="1">
        <f>Master8[[#This Row],[Anciennete_Mois]]/12</f>
        <v>9.3333333333333339</v>
      </c>
      <c r="U470" s="1">
        <f>Master8[[#This Row],[Duree_Cumule_Panne_Min]]/60</f>
        <v>7.666666666666667</v>
      </c>
      <c r="V470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0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0" s="6">
        <f>Master8[[#This Row],[Facture_Mensuelle]]*Master8[[#This Row],[Remise]]</f>
        <v>24.961500000000001</v>
      </c>
    </row>
    <row r="471" spans="1:24" x14ac:dyDescent="0.25">
      <c r="A471" s="1" t="s">
        <v>1165</v>
      </c>
      <c r="B471" t="str">
        <f>IFERROR(VLOOKUP(Master8[[#This Row],[Cell_ID]],Registre_Maintenance[],2,FALSE),"")</f>
        <v>Bas-Uele</v>
      </c>
      <c r="C471" s="1" t="s">
        <v>1172</v>
      </c>
      <c r="D471" s="2">
        <v>45207.342361111107</v>
      </c>
      <c r="E471" s="3">
        <v>45207.342361111107</v>
      </c>
      <c r="F471">
        <v>28</v>
      </c>
      <c r="G471">
        <f>Master8[[#This Row],[Duree_Panne_Min]]/60</f>
        <v>0.46666666666666667</v>
      </c>
      <c r="H471" s="1" t="s">
        <v>732</v>
      </c>
      <c r="I471">
        <f>IFERROR(VLOOKUP(Master8[[#This Row],[Cell_ID]],Registre_Maintenance[],3,FALSE),"")</f>
        <v>0.40267799999999998</v>
      </c>
      <c r="J471">
        <f>IFERROR(VLOOKUP(Master8[[#This Row],[Cell_ID]],Registre_Maintenance[],4,FALSE),"")</f>
        <v>16.000858000000001</v>
      </c>
      <c r="K471" t="str">
        <f>IFERROR(VLOOKUP(Master8[[#This Row],[Cell_ID]],Registre_Maintenance[],5,FALSE),"")</f>
        <v>3G</v>
      </c>
      <c r="L471" t="str">
        <f>IFERROR(VLOOKUP(Master8[[#This Row],[Cell_ID]],Registre_Maintenance[],6,FALSE),"")</f>
        <v>Nokia</v>
      </c>
      <c r="M471" s="1" t="str">
        <f>VLOOKUP(Master8[[#This Row],[Province_RDC]],Client[],2,FALSE)</f>
        <v>CLI-01128</v>
      </c>
      <c r="N471" s="1">
        <f>VLOOKUP(Master8[[#This Row],[Province_RDC]],Client[],3,FALSE)</f>
        <v>112</v>
      </c>
      <c r="O471" s="1" t="str">
        <f>VLOOKUP(Master8[[#This Row],[Province_RDC]],Client[],4,FALSE)</f>
        <v>Premium 5G 150Go</v>
      </c>
      <c r="P471" s="1">
        <f>VLOOKUP(Master8[[#This Row],[Province_RDC]],Client[],5,FALSE)</f>
        <v>460</v>
      </c>
      <c r="Q471" s="1">
        <f>VLOOKUP(Master8[[#This Row],[Province_RDC]],Client[],6,FALSE)</f>
        <v>55.47</v>
      </c>
      <c r="R471" s="1">
        <f>VLOOKUP(Master8[[#This Row],[Province_RDC]],Client[],7,FALSE)</f>
        <v>4</v>
      </c>
      <c r="S471" s="1" t="str">
        <f>IF(Master8[[#This Row],[Type_Forfait]]="Pro Monde","B2B","B2C")</f>
        <v>B2C</v>
      </c>
      <c r="T471" s="1">
        <f>Master8[[#This Row],[Anciennete_Mois]]/12</f>
        <v>9.3333333333333339</v>
      </c>
      <c r="U471" s="1">
        <f>Master8[[#This Row],[Duree_Cumule_Panne_Min]]/60</f>
        <v>7.666666666666667</v>
      </c>
      <c r="V471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1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1" s="6">
        <f>Master8[[#This Row],[Facture_Mensuelle]]*Master8[[#This Row],[Remise]]</f>
        <v>24.961500000000001</v>
      </c>
    </row>
    <row r="472" spans="1:24" x14ac:dyDescent="0.25">
      <c r="A472" s="1" t="s">
        <v>902</v>
      </c>
      <c r="B472" t="str">
        <f>IFERROR(VLOOKUP(Master8[[#This Row],[Cell_ID]],Registre_Maintenance[],2,FALSE),"")</f>
        <v>Bas-Uele</v>
      </c>
      <c r="C472" s="1" t="s">
        <v>922</v>
      </c>
      <c r="D472" s="2">
        <v>45205.018055555563</v>
      </c>
      <c r="E472" s="3">
        <v>45205.018055555563</v>
      </c>
      <c r="F472">
        <v>67</v>
      </c>
      <c r="G472">
        <f>Master8[[#This Row],[Duree_Panne_Min]]/60</f>
        <v>1.1166666666666667</v>
      </c>
      <c r="H472" s="1" t="s">
        <v>737</v>
      </c>
      <c r="I472">
        <f>IFERROR(VLOOKUP(Master8[[#This Row],[Cell_ID]],Registre_Maintenance[],3,FALSE),"")</f>
        <v>1.5278670000000001</v>
      </c>
      <c r="J472">
        <f>IFERROR(VLOOKUP(Master8[[#This Row],[Cell_ID]],Registre_Maintenance[],4,FALSE),"")</f>
        <v>13.899388999999999</v>
      </c>
      <c r="K472" t="str">
        <f>IFERROR(VLOOKUP(Master8[[#This Row],[Cell_ID]],Registre_Maintenance[],5,FALSE),"")</f>
        <v>3G</v>
      </c>
      <c r="L472" t="str">
        <f>IFERROR(VLOOKUP(Master8[[#This Row],[Cell_ID]],Registre_Maintenance[],6,FALSE),"")</f>
        <v>Huawei</v>
      </c>
      <c r="M472" s="1" t="str">
        <f>VLOOKUP(Master8[[#This Row],[Province_RDC]],Client[],2,FALSE)</f>
        <v>CLI-01128</v>
      </c>
      <c r="N472" s="1">
        <f>VLOOKUP(Master8[[#This Row],[Province_RDC]],Client[],3,FALSE)</f>
        <v>112</v>
      </c>
      <c r="O472" s="1" t="str">
        <f>VLOOKUP(Master8[[#This Row],[Province_RDC]],Client[],4,FALSE)</f>
        <v>Premium 5G 150Go</v>
      </c>
      <c r="P472" s="1">
        <f>VLOOKUP(Master8[[#This Row],[Province_RDC]],Client[],5,FALSE)</f>
        <v>460</v>
      </c>
      <c r="Q472" s="1">
        <f>VLOOKUP(Master8[[#This Row],[Province_RDC]],Client[],6,FALSE)</f>
        <v>55.47</v>
      </c>
      <c r="R472" s="1">
        <f>VLOOKUP(Master8[[#This Row],[Province_RDC]],Client[],7,FALSE)</f>
        <v>4</v>
      </c>
      <c r="S472" s="1" t="str">
        <f>IF(Master8[[#This Row],[Type_Forfait]]="Pro Monde","B2B","B2C")</f>
        <v>B2C</v>
      </c>
      <c r="T472" s="1">
        <f>Master8[[#This Row],[Anciennete_Mois]]/12</f>
        <v>9.3333333333333339</v>
      </c>
      <c r="U472" s="1">
        <f>Master8[[#This Row],[Duree_Cumule_Panne_Min]]/60</f>
        <v>7.666666666666667</v>
      </c>
      <c r="V472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2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2" s="6">
        <f>Master8[[#This Row],[Facture_Mensuelle]]*Master8[[#This Row],[Remise]]</f>
        <v>24.961500000000001</v>
      </c>
    </row>
    <row r="473" spans="1:24" x14ac:dyDescent="0.25">
      <c r="A473" s="1" t="s">
        <v>1024</v>
      </c>
      <c r="B473" t="str">
        <f>IFERROR(VLOOKUP(Master8[[#This Row],[Cell_ID]],Registre_Maintenance[],2,FALSE),"")</f>
        <v>Bas-Uele</v>
      </c>
      <c r="C473" s="1" t="s">
        <v>1050</v>
      </c>
      <c r="D473" s="2">
        <v>45204.905555555553</v>
      </c>
      <c r="E473" s="3">
        <v>45204.905555555553</v>
      </c>
      <c r="F473">
        <v>61</v>
      </c>
      <c r="G473">
        <f>Master8[[#This Row],[Duree_Panne_Min]]/60</f>
        <v>1.0166666666666666</v>
      </c>
      <c r="H473" s="1" t="s">
        <v>732</v>
      </c>
      <c r="I473">
        <f>IFERROR(VLOOKUP(Master8[[#This Row],[Cell_ID]],Registre_Maintenance[],3,FALSE),"")</f>
        <v>4.497306</v>
      </c>
      <c r="J473">
        <f>IFERROR(VLOOKUP(Master8[[#This Row],[Cell_ID]],Registre_Maintenance[],4,FALSE),"")</f>
        <v>12.857251</v>
      </c>
      <c r="K473" t="str">
        <f>IFERROR(VLOOKUP(Master8[[#This Row],[Cell_ID]],Registre_Maintenance[],5,FALSE),"")</f>
        <v>5G</v>
      </c>
      <c r="L473" t="str">
        <f>IFERROR(VLOOKUP(Master8[[#This Row],[Cell_ID]],Registre_Maintenance[],6,FALSE),"")</f>
        <v>Ericsson</v>
      </c>
      <c r="M473" s="1" t="str">
        <f>VLOOKUP(Master8[[#This Row],[Province_RDC]],Client[],2,FALSE)</f>
        <v>CLI-01128</v>
      </c>
      <c r="N473" s="1">
        <f>VLOOKUP(Master8[[#This Row],[Province_RDC]],Client[],3,FALSE)</f>
        <v>112</v>
      </c>
      <c r="O473" s="1" t="str">
        <f>VLOOKUP(Master8[[#This Row],[Province_RDC]],Client[],4,FALSE)</f>
        <v>Premium 5G 150Go</v>
      </c>
      <c r="P473" s="1">
        <f>VLOOKUP(Master8[[#This Row],[Province_RDC]],Client[],5,FALSE)</f>
        <v>460</v>
      </c>
      <c r="Q473" s="1">
        <f>VLOOKUP(Master8[[#This Row],[Province_RDC]],Client[],6,FALSE)</f>
        <v>55.47</v>
      </c>
      <c r="R473" s="1">
        <f>VLOOKUP(Master8[[#This Row],[Province_RDC]],Client[],7,FALSE)</f>
        <v>4</v>
      </c>
      <c r="S473" s="1" t="str">
        <f>IF(Master8[[#This Row],[Type_Forfait]]="Pro Monde","B2B","B2C")</f>
        <v>B2C</v>
      </c>
      <c r="T473" s="1">
        <f>Master8[[#This Row],[Anciennete_Mois]]/12</f>
        <v>9.3333333333333339</v>
      </c>
      <c r="U473" s="1">
        <f>Master8[[#This Row],[Duree_Cumule_Panne_Min]]/60</f>
        <v>7.666666666666667</v>
      </c>
      <c r="V473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3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3" s="6">
        <f>Master8[[#This Row],[Facture_Mensuelle]]*Master8[[#This Row],[Remise]]</f>
        <v>24.961500000000001</v>
      </c>
    </row>
    <row r="474" spans="1:24" x14ac:dyDescent="0.25">
      <c r="A474" s="1" t="s">
        <v>1382</v>
      </c>
      <c r="B474" t="str">
        <f>IFERROR(VLOOKUP(Master8[[#This Row],[Cell_ID]],Registre_Maintenance[],2,FALSE),"")</f>
        <v>Bas-Uele</v>
      </c>
      <c r="C474" s="1" t="s">
        <v>1384</v>
      </c>
      <c r="D474" s="2">
        <v>45204.625</v>
      </c>
      <c r="E474" s="3">
        <v>45204.625</v>
      </c>
      <c r="F474">
        <v>94</v>
      </c>
      <c r="G474">
        <f>Master8[[#This Row],[Duree_Panne_Min]]/60</f>
        <v>1.5666666666666667</v>
      </c>
      <c r="H474" s="1" t="s">
        <v>737</v>
      </c>
      <c r="I474">
        <f>IFERROR(VLOOKUP(Master8[[#This Row],[Cell_ID]],Registre_Maintenance[],3,FALSE),"")</f>
        <v>-1.6893210000000001</v>
      </c>
      <c r="J474">
        <f>IFERROR(VLOOKUP(Master8[[#This Row],[Cell_ID]],Registre_Maintenance[],4,FALSE),"")</f>
        <v>30.446543999999999</v>
      </c>
      <c r="K474" t="str">
        <f>IFERROR(VLOOKUP(Master8[[#This Row],[Cell_ID]],Registre_Maintenance[],5,FALSE),"")</f>
        <v>4G</v>
      </c>
      <c r="L474" t="str">
        <f>IFERROR(VLOOKUP(Master8[[#This Row],[Cell_ID]],Registre_Maintenance[],6,FALSE),"")</f>
        <v>Huawei</v>
      </c>
      <c r="M474" s="1" t="str">
        <f>VLOOKUP(Master8[[#This Row],[Province_RDC]],Client[],2,FALSE)</f>
        <v>CLI-01128</v>
      </c>
      <c r="N474" s="1">
        <f>VLOOKUP(Master8[[#This Row],[Province_RDC]],Client[],3,FALSE)</f>
        <v>112</v>
      </c>
      <c r="O474" s="1" t="str">
        <f>VLOOKUP(Master8[[#This Row],[Province_RDC]],Client[],4,FALSE)</f>
        <v>Premium 5G 150Go</v>
      </c>
      <c r="P474" s="1">
        <f>VLOOKUP(Master8[[#This Row],[Province_RDC]],Client[],5,FALSE)</f>
        <v>460</v>
      </c>
      <c r="Q474" s="1">
        <f>VLOOKUP(Master8[[#This Row],[Province_RDC]],Client[],6,FALSE)</f>
        <v>55.47</v>
      </c>
      <c r="R474" s="1">
        <f>VLOOKUP(Master8[[#This Row],[Province_RDC]],Client[],7,FALSE)</f>
        <v>4</v>
      </c>
      <c r="S474" s="1" t="str">
        <f>IF(Master8[[#This Row],[Type_Forfait]]="Pro Monde","B2B","B2C")</f>
        <v>B2C</v>
      </c>
      <c r="T474" s="1">
        <f>Master8[[#This Row],[Anciennete_Mois]]/12</f>
        <v>9.3333333333333339</v>
      </c>
      <c r="U474" s="1">
        <f>Master8[[#This Row],[Duree_Cumule_Panne_Min]]/60</f>
        <v>7.666666666666667</v>
      </c>
      <c r="V474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4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4" s="6">
        <f>Master8[[#This Row],[Facture_Mensuelle]]*Master8[[#This Row],[Remise]]</f>
        <v>24.961500000000001</v>
      </c>
    </row>
    <row r="475" spans="1:24" x14ac:dyDescent="0.25">
      <c r="A475" s="1" t="s">
        <v>1361</v>
      </c>
      <c r="B475" t="str">
        <f>IFERROR(VLOOKUP(Master8[[#This Row],[Cell_ID]],Registre_Maintenance[],2,FALSE),"")</f>
        <v>Bas-Uele</v>
      </c>
      <c r="C475" s="1" t="s">
        <v>1053</v>
      </c>
      <c r="D475" s="2">
        <v>45203.041666666657</v>
      </c>
      <c r="E475" s="3">
        <v>45203.041666666657</v>
      </c>
      <c r="F475">
        <v>69</v>
      </c>
      <c r="G475">
        <f>Master8[[#This Row],[Duree_Panne_Min]]/60</f>
        <v>1.1499999999999999</v>
      </c>
      <c r="H475" s="1" t="s">
        <v>737</v>
      </c>
      <c r="I475">
        <f>IFERROR(VLOOKUP(Master8[[#This Row],[Cell_ID]],Registre_Maintenance[],3,FALSE),"")</f>
        <v>-2.2876210000000001</v>
      </c>
      <c r="J475">
        <f>IFERROR(VLOOKUP(Master8[[#This Row],[Cell_ID]],Registre_Maintenance[],4,FALSE),"")</f>
        <v>27.582545</v>
      </c>
      <c r="K475" t="str">
        <f>IFERROR(VLOOKUP(Master8[[#This Row],[Cell_ID]],Registre_Maintenance[],5,FALSE),"")</f>
        <v>4G</v>
      </c>
      <c r="L475" t="str">
        <f>IFERROR(VLOOKUP(Master8[[#This Row],[Cell_ID]],Registre_Maintenance[],6,FALSE),"")</f>
        <v>Huawei</v>
      </c>
      <c r="M475" s="1" t="str">
        <f>VLOOKUP(Master8[[#This Row],[Province_RDC]],Client[],2,FALSE)</f>
        <v>CLI-01128</v>
      </c>
      <c r="N475" s="1">
        <f>VLOOKUP(Master8[[#This Row],[Province_RDC]],Client[],3,FALSE)</f>
        <v>112</v>
      </c>
      <c r="O475" s="1" t="str">
        <f>VLOOKUP(Master8[[#This Row],[Province_RDC]],Client[],4,FALSE)</f>
        <v>Premium 5G 150Go</v>
      </c>
      <c r="P475" s="1">
        <f>VLOOKUP(Master8[[#This Row],[Province_RDC]],Client[],5,FALSE)</f>
        <v>460</v>
      </c>
      <c r="Q475" s="1">
        <f>VLOOKUP(Master8[[#This Row],[Province_RDC]],Client[],6,FALSE)</f>
        <v>55.47</v>
      </c>
      <c r="R475" s="1">
        <f>VLOOKUP(Master8[[#This Row],[Province_RDC]],Client[],7,FALSE)</f>
        <v>4</v>
      </c>
      <c r="S475" s="1" t="str">
        <f>IF(Master8[[#This Row],[Type_Forfait]]="Pro Monde","B2B","B2C")</f>
        <v>B2C</v>
      </c>
      <c r="T475" s="1">
        <f>Master8[[#This Row],[Anciennete_Mois]]/12</f>
        <v>9.3333333333333339</v>
      </c>
      <c r="U475" s="1">
        <f>Master8[[#This Row],[Duree_Cumule_Panne_Min]]/60</f>
        <v>7.666666666666667</v>
      </c>
      <c r="V475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5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5" s="6">
        <f>Master8[[#This Row],[Facture_Mensuelle]]*Master8[[#This Row],[Remise]]</f>
        <v>24.961500000000001</v>
      </c>
    </row>
    <row r="476" spans="1:24" x14ac:dyDescent="0.25">
      <c r="A476" s="1" t="s">
        <v>1024</v>
      </c>
      <c r="B476" t="str">
        <f>IFERROR(VLOOKUP(Master8[[#This Row],[Cell_ID]],Registre_Maintenance[],2,FALSE),"")</f>
        <v>Bas-Uele</v>
      </c>
      <c r="C476" s="1" t="s">
        <v>1057</v>
      </c>
      <c r="D476" s="2">
        <v>45202.412499999999</v>
      </c>
      <c r="E476" s="3">
        <v>45202.412499999999</v>
      </c>
      <c r="F476">
        <v>35</v>
      </c>
      <c r="G476">
        <f>Master8[[#This Row],[Duree_Panne_Min]]/60</f>
        <v>0.58333333333333337</v>
      </c>
      <c r="H476" s="1" t="s">
        <v>732</v>
      </c>
      <c r="I476">
        <f>IFERROR(VLOOKUP(Master8[[#This Row],[Cell_ID]],Registre_Maintenance[],3,FALSE),"")</f>
        <v>-6.4197189999999997</v>
      </c>
      <c r="J476">
        <f>IFERROR(VLOOKUP(Master8[[#This Row],[Cell_ID]],Registre_Maintenance[],4,FALSE),"")</f>
        <v>22.287264</v>
      </c>
      <c r="K476" t="str">
        <f>IFERROR(VLOOKUP(Master8[[#This Row],[Cell_ID]],Registre_Maintenance[],5,FALSE),"")</f>
        <v>3G</v>
      </c>
      <c r="L476" t="str">
        <f>IFERROR(VLOOKUP(Master8[[#This Row],[Cell_ID]],Registre_Maintenance[],6,FALSE),"")</f>
        <v>Ericsson</v>
      </c>
      <c r="M476" s="1" t="str">
        <f>VLOOKUP(Master8[[#This Row],[Province_RDC]],Client[],2,FALSE)</f>
        <v>CLI-01128</v>
      </c>
      <c r="N476" s="1">
        <f>VLOOKUP(Master8[[#This Row],[Province_RDC]],Client[],3,FALSE)</f>
        <v>112</v>
      </c>
      <c r="O476" s="1" t="str">
        <f>VLOOKUP(Master8[[#This Row],[Province_RDC]],Client[],4,FALSE)</f>
        <v>Premium 5G 150Go</v>
      </c>
      <c r="P476" s="1">
        <f>VLOOKUP(Master8[[#This Row],[Province_RDC]],Client[],5,FALSE)</f>
        <v>460</v>
      </c>
      <c r="Q476" s="1">
        <f>VLOOKUP(Master8[[#This Row],[Province_RDC]],Client[],6,FALSE)</f>
        <v>55.47</v>
      </c>
      <c r="R476" s="1">
        <f>VLOOKUP(Master8[[#This Row],[Province_RDC]],Client[],7,FALSE)</f>
        <v>4</v>
      </c>
      <c r="S476" s="1" t="str">
        <f>IF(Master8[[#This Row],[Type_Forfait]]="Pro Monde","B2B","B2C")</f>
        <v>B2C</v>
      </c>
      <c r="T476" s="1">
        <f>Master8[[#This Row],[Anciennete_Mois]]/12</f>
        <v>9.3333333333333339</v>
      </c>
      <c r="U476" s="1">
        <f>Master8[[#This Row],[Duree_Cumule_Panne_Min]]/60</f>
        <v>7.666666666666667</v>
      </c>
      <c r="V476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6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6" s="6">
        <f>Master8[[#This Row],[Facture_Mensuelle]]*Master8[[#This Row],[Remise]]</f>
        <v>24.961500000000001</v>
      </c>
    </row>
    <row r="477" spans="1:24" x14ac:dyDescent="0.25">
      <c r="A477" s="1" t="s">
        <v>1114</v>
      </c>
      <c r="B477" t="str">
        <f>IFERROR(VLOOKUP(Master8[[#This Row],[Cell_ID]],Registre_Maintenance[],2,FALSE),"")</f>
        <v>Bas-Uele</v>
      </c>
      <c r="C477" s="1" t="s">
        <v>922</v>
      </c>
      <c r="D477" s="2">
        <v>45201.922222222223</v>
      </c>
      <c r="E477" s="3">
        <v>45201.922222222223</v>
      </c>
      <c r="F477">
        <v>32</v>
      </c>
      <c r="G477">
        <f>Master8[[#This Row],[Duree_Panne_Min]]/60</f>
        <v>0.53333333333333333</v>
      </c>
      <c r="H477" s="1" t="s">
        <v>732</v>
      </c>
      <c r="I477">
        <f>IFERROR(VLOOKUP(Master8[[#This Row],[Cell_ID]],Registre_Maintenance[],3,FALSE),"")</f>
        <v>1.5278670000000001</v>
      </c>
      <c r="J477">
        <f>IFERROR(VLOOKUP(Master8[[#This Row],[Cell_ID]],Registre_Maintenance[],4,FALSE),"")</f>
        <v>13.899388999999999</v>
      </c>
      <c r="K477" t="str">
        <f>IFERROR(VLOOKUP(Master8[[#This Row],[Cell_ID]],Registre_Maintenance[],5,FALSE),"")</f>
        <v>3G</v>
      </c>
      <c r="L477" t="str">
        <f>IFERROR(VLOOKUP(Master8[[#This Row],[Cell_ID]],Registre_Maintenance[],6,FALSE),"")</f>
        <v>Huawei</v>
      </c>
      <c r="M477" s="1" t="str">
        <f>VLOOKUP(Master8[[#This Row],[Province_RDC]],Client[],2,FALSE)</f>
        <v>CLI-01128</v>
      </c>
      <c r="N477" s="1">
        <f>VLOOKUP(Master8[[#This Row],[Province_RDC]],Client[],3,FALSE)</f>
        <v>112</v>
      </c>
      <c r="O477" s="1" t="str">
        <f>VLOOKUP(Master8[[#This Row],[Province_RDC]],Client[],4,FALSE)</f>
        <v>Premium 5G 150Go</v>
      </c>
      <c r="P477" s="1">
        <f>VLOOKUP(Master8[[#This Row],[Province_RDC]],Client[],5,FALSE)</f>
        <v>460</v>
      </c>
      <c r="Q477" s="1">
        <f>VLOOKUP(Master8[[#This Row],[Province_RDC]],Client[],6,FALSE)</f>
        <v>55.47</v>
      </c>
      <c r="R477" s="1">
        <f>VLOOKUP(Master8[[#This Row],[Province_RDC]],Client[],7,FALSE)</f>
        <v>4</v>
      </c>
      <c r="S477" s="1" t="str">
        <f>IF(Master8[[#This Row],[Type_Forfait]]="Pro Monde","B2B","B2C")</f>
        <v>B2C</v>
      </c>
      <c r="T477" s="1">
        <f>Master8[[#This Row],[Anciennete_Mois]]/12</f>
        <v>9.3333333333333339</v>
      </c>
      <c r="U477" s="1">
        <f>Master8[[#This Row],[Duree_Cumule_Panne_Min]]/60</f>
        <v>7.666666666666667</v>
      </c>
      <c r="V477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7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7" s="6">
        <f>Master8[[#This Row],[Facture_Mensuelle]]*Master8[[#This Row],[Remise]]</f>
        <v>24.961500000000001</v>
      </c>
    </row>
    <row r="478" spans="1:24" x14ac:dyDescent="0.25">
      <c r="A478" s="1" t="s">
        <v>1241</v>
      </c>
      <c r="B478" t="str">
        <f>IFERROR(VLOOKUP(Master8[[#This Row],[Cell_ID]],Registre_Maintenance[],2,FALSE),"")</f>
        <v>Bas-Uele</v>
      </c>
      <c r="C478" s="1" t="s">
        <v>1253</v>
      </c>
      <c r="D478" s="2">
        <v>45201.527777777781</v>
      </c>
      <c r="E478" s="3">
        <v>45201.527777777781</v>
      </c>
      <c r="F478">
        <v>20</v>
      </c>
      <c r="G478">
        <f>Master8[[#This Row],[Duree_Panne_Min]]/60</f>
        <v>0.33333333333333331</v>
      </c>
      <c r="H478" s="1" t="s">
        <v>735</v>
      </c>
      <c r="I478">
        <f>IFERROR(VLOOKUP(Master8[[#This Row],[Cell_ID]],Registre_Maintenance[],3,FALSE),"")</f>
        <v>0.45116099999999998</v>
      </c>
      <c r="J478">
        <f>IFERROR(VLOOKUP(Master8[[#This Row],[Cell_ID]],Registre_Maintenance[],4,FALSE),"")</f>
        <v>17.265761000000001</v>
      </c>
      <c r="K478" t="str">
        <f>IFERROR(VLOOKUP(Master8[[#This Row],[Cell_ID]],Registre_Maintenance[],5,FALSE),"")</f>
        <v>4G</v>
      </c>
      <c r="L478" t="str">
        <f>IFERROR(VLOOKUP(Master8[[#This Row],[Cell_ID]],Registre_Maintenance[],6,FALSE),"")</f>
        <v>Huawei</v>
      </c>
      <c r="M478" s="1" t="str">
        <f>VLOOKUP(Master8[[#This Row],[Province_RDC]],Client[],2,FALSE)</f>
        <v>CLI-01128</v>
      </c>
      <c r="N478" s="1">
        <f>VLOOKUP(Master8[[#This Row],[Province_RDC]],Client[],3,FALSE)</f>
        <v>112</v>
      </c>
      <c r="O478" s="1" t="str">
        <f>VLOOKUP(Master8[[#This Row],[Province_RDC]],Client[],4,FALSE)</f>
        <v>Premium 5G 150Go</v>
      </c>
      <c r="P478" s="1">
        <f>VLOOKUP(Master8[[#This Row],[Province_RDC]],Client[],5,FALSE)</f>
        <v>460</v>
      </c>
      <c r="Q478" s="1">
        <f>VLOOKUP(Master8[[#This Row],[Province_RDC]],Client[],6,FALSE)</f>
        <v>55.47</v>
      </c>
      <c r="R478" s="1">
        <f>VLOOKUP(Master8[[#This Row],[Province_RDC]],Client[],7,FALSE)</f>
        <v>4</v>
      </c>
      <c r="S478" s="1" t="str">
        <f>IF(Master8[[#This Row],[Type_Forfait]]="Pro Monde","B2B","B2C")</f>
        <v>B2C</v>
      </c>
      <c r="T478" s="1">
        <f>Master8[[#This Row],[Anciennete_Mois]]/12</f>
        <v>9.3333333333333339</v>
      </c>
      <c r="U478" s="1">
        <f>Master8[[#This Row],[Duree_Cumule_Panne_Min]]/60</f>
        <v>7.666666666666667</v>
      </c>
      <c r="V478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8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8" s="6">
        <f>Master8[[#This Row],[Facture_Mensuelle]]*Master8[[#This Row],[Remise]]</f>
        <v>24.961500000000001</v>
      </c>
    </row>
    <row r="479" spans="1:24" x14ac:dyDescent="0.25">
      <c r="A479" s="1" t="s">
        <v>1219</v>
      </c>
      <c r="B479" t="str">
        <f>IFERROR(VLOOKUP(Master8[[#This Row],[Cell_ID]],Registre_Maintenance[],2,FALSE),"")</f>
        <v>Bas-Uele</v>
      </c>
      <c r="C479" s="1" t="s">
        <v>922</v>
      </c>
      <c r="D479" s="2">
        <v>45200.98541666667</v>
      </c>
      <c r="E479" s="3">
        <v>45200.98541666667</v>
      </c>
      <c r="F479">
        <v>29</v>
      </c>
      <c r="G479">
        <f>Master8[[#This Row],[Duree_Panne_Min]]/60</f>
        <v>0.48333333333333334</v>
      </c>
      <c r="H479" s="1" t="s">
        <v>737</v>
      </c>
      <c r="I479">
        <f>IFERROR(VLOOKUP(Master8[[#This Row],[Cell_ID]],Registre_Maintenance[],3,FALSE),"")</f>
        <v>1.5278670000000001</v>
      </c>
      <c r="J479">
        <f>IFERROR(VLOOKUP(Master8[[#This Row],[Cell_ID]],Registre_Maintenance[],4,FALSE),"")</f>
        <v>13.899388999999999</v>
      </c>
      <c r="K479" t="str">
        <f>IFERROR(VLOOKUP(Master8[[#This Row],[Cell_ID]],Registre_Maintenance[],5,FALSE),"")</f>
        <v>3G</v>
      </c>
      <c r="L479" t="str">
        <f>IFERROR(VLOOKUP(Master8[[#This Row],[Cell_ID]],Registre_Maintenance[],6,FALSE),"")</f>
        <v>Huawei</v>
      </c>
      <c r="M479" s="1" t="str">
        <f>VLOOKUP(Master8[[#This Row],[Province_RDC]],Client[],2,FALSE)</f>
        <v>CLI-01128</v>
      </c>
      <c r="N479" s="1">
        <f>VLOOKUP(Master8[[#This Row],[Province_RDC]],Client[],3,FALSE)</f>
        <v>112</v>
      </c>
      <c r="O479" s="1" t="str">
        <f>VLOOKUP(Master8[[#This Row],[Province_RDC]],Client[],4,FALSE)</f>
        <v>Premium 5G 150Go</v>
      </c>
      <c r="P479" s="1">
        <f>VLOOKUP(Master8[[#This Row],[Province_RDC]],Client[],5,FALSE)</f>
        <v>460</v>
      </c>
      <c r="Q479" s="1">
        <f>VLOOKUP(Master8[[#This Row],[Province_RDC]],Client[],6,FALSE)</f>
        <v>55.47</v>
      </c>
      <c r="R479" s="1">
        <f>VLOOKUP(Master8[[#This Row],[Province_RDC]],Client[],7,FALSE)</f>
        <v>4</v>
      </c>
      <c r="S479" s="1" t="str">
        <f>IF(Master8[[#This Row],[Type_Forfait]]="Pro Monde","B2B","B2C")</f>
        <v>B2C</v>
      </c>
      <c r="T479" s="1">
        <f>Master8[[#This Row],[Anciennete_Mois]]/12</f>
        <v>9.3333333333333339</v>
      </c>
      <c r="U479" s="1">
        <f>Master8[[#This Row],[Duree_Cumule_Panne_Min]]/60</f>
        <v>7.666666666666667</v>
      </c>
      <c r="V479" s="7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Row],[Type_Forfait]]="Premium 5G 150Go")),45%,IF(Master8[[#This Row],[Type_Client]]="B2B",10%,0)))</f>
        <v>0.45</v>
      </c>
      <c r="W479" s="1">
        <f>IF(AND(Master8[[#This Row],[Duree_Cumule_Panne_Heure]]&gt;12,Master8[[#This Row],[Anciennete_Annee]]&gt;5),70%,IF(OR(AND(Master8[[#This Row],[Duree_Cumule_Panne_Heure]]&gt;=4,Master8[[#This Row],[Duree_Cumule_Panne_Heure]]&lt;=12),AND(Master8[[#This Row],[Duree_Cumule_Panne_Heure]]&lt;5,Master8[[#This Row],[Type_Forfait]]="Premieum")),45%,IF(Master8[[#This Row],[Type_Client]]="B2B",10%,0)))</f>
        <v>0.45</v>
      </c>
      <c r="X479" s="6">
        <f>Master8[[#This Row],[Facture_Mensuelle]]*Master8[[#This Row],[Remise]]</f>
        <v>24.961500000000001</v>
      </c>
    </row>
    <row r="480" spans="1:24" x14ac:dyDescent="0.25">
      <c r="A480" s="1"/>
      <c r="B480" s="1"/>
      <c r="C480" s="1"/>
      <c r="D480" s="2"/>
      <c r="E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8"/>
      <c r="W48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124A-95C7-4B5C-8E32-30F6C2250EE6}">
  <dimension ref="A1:H674"/>
  <sheetViews>
    <sheetView topLeftCell="A657" workbookViewId="0">
      <selection activeCell="B2" sqref="B2"/>
    </sheetView>
  </sheetViews>
  <sheetFormatPr baseColWidth="10" defaultRowHeight="15" x14ac:dyDescent="0.25"/>
  <cols>
    <col min="1" max="1" width="17.28515625" bestFit="1" customWidth="1"/>
    <col min="2" max="2" width="19.85546875" customWidth="1"/>
    <col min="3" max="3" width="19.140625" bestFit="1" customWidth="1"/>
    <col min="4" max="4" width="17.85546875" bestFit="1" customWidth="1"/>
    <col min="5" max="5" width="29.28515625" bestFit="1" customWidth="1"/>
    <col min="6" max="6" width="17.85546875" bestFit="1" customWidth="1"/>
    <col min="7" max="7" width="29.28515625" bestFit="1" customWidth="1"/>
    <col min="8" max="8" width="25.28515625" bestFit="1" customWidth="1"/>
    <col min="9" max="9" width="29.42578125" customWidth="1"/>
    <col min="10" max="10" width="24.42578125" bestFit="1" customWidth="1"/>
  </cols>
  <sheetData>
    <row r="1" spans="1:8" x14ac:dyDescent="0.2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</row>
    <row r="2" spans="1:8" x14ac:dyDescent="0.25">
      <c r="A2" s="1" t="s">
        <v>12</v>
      </c>
      <c r="B2" s="1" t="s">
        <v>11</v>
      </c>
      <c r="C2">
        <v>63</v>
      </c>
      <c r="D2" s="1" t="s">
        <v>13</v>
      </c>
      <c r="E2">
        <v>205</v>
      </c>
      <c r="F2">
        <v>89.19</v>
      </c>
      <c r="G2">
        <v>0</v>
      </c>
      <c r="H2" s="1" t="s">
        <v>8</v>
      </c>
    </row>
    <row r="3" spans="1:8" x14ac:dyDescent="0.25">
      <c r="A3" s="1" t="s">
        <v>15</v>
      </c>
      <c r="B3" s="1" t="s">
        <v>14</v>
      </c>
      <c r="C3">
        <v>34</v>
      </c>
      <c r="D3" s="1" t="s">
        <v>13</v>
      </c>
      <c r="E3">
        <v>453</v>
      </c>
      <c r="F3">
        <v>56.84</v>
      </c>
      <c r="G3">
        <v>0</v>
      </c>
      <c r="H3" s="1" t="s">
        <v>8</v>
      </c>
    </row>
    <row r="4" spans="1:8" x14ac:dyDescent="0.25">
      <c r="A4" s="1" t="s">
        <v>17</v>
      </c>
      <c r="B4" s="1" t="s">
        <v>16</v>
      </c>
      <c r="C4">
        <v>44</v>
      </c>
      <c r="D4" s="1" t="s">
        <v>18</v>
      </c>
      <c r="E4">
        <v>348</v>
      </c>
      <c r="F4">
        <v>58.67</v>
      </c>
      <c r="G4">
        <v>0</v>
      </c>
      <c r="H4" s="1" t="s">
        <v>8</v>
      </c>
    </row>
    <row r="5" spans="1:8" x14ac:dyDescent="0.25">
      <c r="A5" s="1" t="s">
        <v>20</v>
      </c>
      <c r="B5" s="1" t="s">
        <v>19</v>
      </c>
      <c r="C5">
        <v>101</v>
      </c>
      <c r="D5" s="1" t="s">
        <v>21</v>
      </c>
      <c r="E5">
        <v>358</v>
      </c>
      <c r="F5">
        <v>29.24</v>
      </c>
      <c r="G5">
        <v>3</v>
      </c>
      <c r="H5" s="1" t="s">
        <v>8</v>
      </c>
    </row>
    <row r="6" spans="1:8" x14ac:dyDescent="0.25">
      <c r="A6" s="1" t="s">
        <v>23</v>
      </c>
      <c r="B6" s="1" t="s">
        <v>22</v>
      </c>
      <c r="C6">
        <v>46</v>
      </c>
      <c r="D6" s="1" t="s">
        <v>10</v>
      </c>
      <c r="E6">
        <v>283</v>
      </c>
      <c r="F6">
        <v>56.05</v>
      </c>
      <c r="G6">
        <v>1</v>
      </c>
      <c r="H6" s="1" t="s">
        <v>8</v>
      </c>
    </row>
    <row r="7" spans="1:8" x14ac:dyDescent="0.25">
      <c r="A7" s="1" t="s">
        <v>23</v>
      </c>
      <c r="B7" s="1" t="s">
        <v>25</v>
      </c>
      <c r="C7">
        <v>6</v>
      </c>
      <c r="D7" s="1" t="s">
        <v>21</v>
      </c>
      <c r="E7">
        <v>155</v>
      </c>
      <c r="F7">
        <v>40.659999999999997</v>
      </c>
      <c r="G7">
        <v>1</v>
      </c>
      <c r="H7" s="1" t="s">
        <v>8</v>
      </c>
    </row>
    <row r="8" spans="1:8" x14ac:dyDescent="0.25">
      <c r="A8" s="1" t="s">
        <v>27</v>
      </c>
      <c r="B8" s="1" t="s">
        <v>26</v>
      </c>
      <c r="C8">
        <v>99</v>
      </c>
      <c r="D8" s="1" t="s">
        <v>18</v>
      </c>
      <c r="E8">
        <v>369</v>
      </c>
      <c r="F8">
        <v>67.209999999999994</v>
      </c>
      <c r="G8">
        <v>3</v>
      </c>
      <c r="H8" s="1" t="s">
        <v>8</v>
      </c>
    </row>
    <row r="9" spans="1:8" x14ac:dyDescent="0.25">
      <c r="A9" s="1" t="s">
        <v>29</v>
      </c>
      <c r="B9" s="1" t="s">
        <v>28</v>
      </c>
      <c r="C9">
        <v>113</v>
      </c>
      <c r="D9" s="1" t="s">
        <v>21</v>
      </c>
      <c r="E9">
        <v>380</v>
      </c>
      <c r="F9">
        <v>12.11</v>
      </c>
      <c r="G9">
        <v>0</v>
      </c>
      <c r="H9" s="1" t="s">
        <v>8</v>
      </c>
    </row>
    <row r="10" spans="1:8" x14ac:dyDescent="0.25">
      <c r="A10" s="1" t="s">
        <v>31</v>
      </c>
      <c r="B10" s="1" t="s">
        <v>30</v>
      </c>
      <c r="C10">
        <v>72</v>
      </c>
      <c r="D10" s="1" t="s">
        <v>13</v>
      </c>
      <c r="E10">
        <v>160</v>
      </c>
      <c r="F10">
        <v>90.13</v>
      </c>
      <c r="G10">
        <v>2</v>
      </c>
      <c r="H10" s="1" t="s">
        <v>8</v>
      </c>
    </row>
    <row r="11" spans="1:8" x14ac:dyDescent="0.25">
      <c r="A11" s="1" t="s">
        <v>33</v>
      </c>
      <c r="B11" s="1" t="s">
        <v>32</v>
      </c>
      <c r="C11">
        <v>35</v>
      </c>
      <c r="D11" s="1" t="s">
        <v>13</v>
      </c>
      <c r="E11">
        <v>465</v>
      </c>
      <c r="F11">
        <v>58.59</v>
      </c>
      <c r="G11">
        <v>5</v>
      </c>
      <c r="H11" s="1" t="s">
        <v>8</v>
      </c>
    </row>
    <row r="12" spans="1:8" x14ac:dyDescent="0.25">
      <c r="A12" s="1" t="s">
        <v>35</v>
      </c>
      <c r="B12" s="1" t="s">
        <v>34</v>
      </c>
      <c r="C12">
        <v>115</v>
      </c>
      <c r="D12" s="1" t="s">
        <v>18</v>
      </c>
      <c r="E12">
        <v>176</v>
      </c>
      <c r="F12">
        <v>33.28</v>
      </c>
      <c r="G12">
        <v>4</v>
      </c>
      <c r="H12" s="1" t="s">
        <v>8</v>
      </c>
    </row>
    <row r="13" spans="1:8" x14ac:dyDescent="0.25">
      <c r="A13" s="1" t="s">
        <v>37</v>
      </c>
      <c r="B13" s="1" t="s">
        <v>36</v>
      </c>
      <c r="C13">
        <v>110</v>
      </c>
      <c r="D13" s="1" t="s">
        <v>13</v>
      </c>
      <c r="E13">
        <v>423</v>
      </c>
      <c r="F13">
        <v>37.35</v>
      </c>
      <c r="G13">
        <v>4</v>
      </c>
      <c r="H13" s="1" t="s">
        <v>8</v>
      </c>
    </row>
    <row r="14" spans="1:8" x14ac:dyDescent="0.25">
      <c r="A14" s="1" t="s">
        <v>12</v>
      </c>
      <c r="B14" s="1" t="s">
        <v>38</v>
      </c>
      <c r="C14">
        <v>89</v>
      </c>
      <c r="D14" s="1" t="s">
        <v>10</v>
      </c>
      <c r="E14">
        <v>143</v>
      </c>
      <c r="F14">
        <v>48.05</v>
      </c>
      <c r="G14">
        <v>4</v>
      </c>
      <c r="H14" s="1" t="s">
        <v>8</v>
      </c>
    </row>
    <row r="15" spans="1:8" x14ac:dyDescent="0.25">
      <c r="A15" s="1" t="s">
        <v>24</v>
      </c>
      <c r="B15" s="1" t="s">
        <v>39</v>
      </c>
      <c r="C15">
        <v>112</v>
      </c>
      <c r="D15" s="1" t="s">
        <v>10</v>
      </c>
      <c r="E15">
        <v>460</v>
      </c>
      <c r="F15">
        <v>55.47</v>
      </c>
      <c r="G15">
        <v>4</v>
      </c>
      <c r="H15" s="1" t="s">
        <v>8</v>
      </c>
    </row>
    <row r="16" spans="1:8" x14ac:dyDescent="0.25">
      <c r="A16" s="1" t="s">
        <v>41</v>
      </c>
      <c r="B16" s="1" t="s">
        <v>40</v>
      </c>
      <c r="C16">
        <v>66</v>
      </c>
      <c r="D16" s="1" t="s">
        <v>21</v>
      </c>
      <c r="E16">
        <v>270</v>
      </c>
      <c r="F16">
        <v>75.88</v>
      </c>
      <c r="G16">
        <v>3</v>
      </c>
      <c r="H16" s="1" t="s">
        <v>8</v>
      </c>
    </row>
    <row r="17" spans="1:8" x14ac:dyDescent="0.25">
      <c r="A17" s="1" t="s">
        <v>27</v>
      </c>
      <c r="B17" s="1" t="s">
        <v>42</v>
      </c>
      <c r="C17">
        <v>78</v>
      </c>
      <c r="D17" s="1" t="s">
        <v>18</v>
      </c>
      <c r="E17">
        <v>312</v>
      </c>
      <c r="F17">
        <v>85.74</v>
      </c>
      <c r="G17">
        <v>2</v>
      </c>
      <c r="H17" s="1" t="s">
        <v>8</v>
      </c>
    </row>
    <row r="18" spans="1:8" x14ac:dyDescent="0.25">
      <c r="A18" s="1" t="s">
        <v>31</v>
      </c>
      <c r="B18" s="1" t="s">
        <v>43</v>
      </c>
      <c r="C18">
        <v>86</v>
      </c>
      <c r="D18" s="1" t="s">
        <v>10</v>
      </c>
      <c r="E18">
        <v>471</v>
      </c>
      <c r="F18">
        <v>33.380000000000003</v>
      </c>
      <c r="G18">
        <v>4</v>
      </c>
      <c r="H18" s="1" t="s">
        <v>8</v>
      </c>
    </row>
    <row r="19" spans="1:8" x14ac:dyDescent="0.25">
      <c r="A19" s="1" t="s">
        <v>27</v>
      </c>
      <c r="B19" s="1" t="s">
        <v>44</v>
      </c>
      <c r="C19">
        <v>14</v>
      </c>
      <c r="D19" s="1" t="s">
        <v>10</v>
      </c>
      <c r="E19">
        <v>75</v>
      </c>
      <c r="F19">
        <v>55.67</v>
      </c>
      <c r="G19">
        <v>3</v>
      </c>
      <c r="H19" s="1" t="s">
        <v>8</v>
      </c>
    </row>
    <row r="20" spans="1:8" x14ac:dyDescent="0.25">
      <c r="A20" s="1" t="s">
        <v>29</v>
      </c>
      <c r="B20" s="1" t="s">
        <v>45</v>
      </c>
      <c r="C20">
        <v>91</v>
      </c>
      <c r="D20" s="1" t="s">
        <v>13</v>
      </c>
      <c r="E20">
        <v>358</v>
      </c>
      <c r="F20">
        <v>21.14</v>
      </c>
      <c r="G20">
        <v>5</v>
      </c>
      <c r="H20" s="1" t="s">
        <v>8</v>
      </c>
    </row>
    <row r="21" spans="1:8" x14ac:dyDescent="0.25">
      <c r="A21" s="1" t="s">
        <v>24</v>
      </c>
      <c r="B21" s="1" t="s">
        <v>46</v>
      </c>
      <c r="C21">
        <v>7</v>
      </c>
      <c r="D21" s="1" t="s">
        <v>10</v>
      </c>
      <c r="E21">
        <v>206</v>
      </c>
      <c r="F21">
        <v>78.09</v>
      </c>
      <c r="G21">
        <v>3</v>
      </c>
      <c r="H21" s="1" t="s">
        <v>8</v>
      </c>
    </row>
    <row r="22" spans="1:8" x14ac:dyDescent="0.25">
      <c r="A22" s="1" t="s">
        <v>48</v>
      </c>
      <c r="B22" s="1" t="s">
        <v>47</v>
      </c>
      <c r="C22">
        <v>119</v>
      </c>
      <c r="D22" s="1" t="s">
        <v>21</v>
      </c>
      <c r="E22">
        <v>228</v>
      </c>
      <c r="F22">
        <v>94.72</v>
      </c>
      <c r="G22">
        <v>3</v>
      </c>
      <c r="H22" s="1" t="s">
        <v>8</v>
      </c>
    </row>
    <row r="23" spans="1:8" x14ac:dyDescent="0.25">
      <c r="A23" s="1" t="s">
        <v>23</v>
      </c>
      <c r="B23" s="1" t="s">
        <v>49</v>
      </c>
      <c r="C23">
        <v>57</v>
      </c>
      <c r="D23" s="1" t="s">
        <v>21</v>
      </c>
      <c r="E23">
        <v>329</v>
      </c>
      <c r="F23">
        <v>50.39</v>
      </c>
      <c r="G23">
        <v>5</v>
      </c>
      <c r="H23" s="1" t="s">
        <v>8</v>
      </c>
    </row>
    <row r="24" spans="1:8" x14ac:dyDescent="0.25">
      <c r="A24" s="1" t="s">
        <v>9</v>
      </c>
      <c r="B24" s="1" t="s">
        <v>50</v>
      </c>
      <c r="C24">
        <v>103</v>
      </c>
      <c r="D24" s="1" t="s">
        <v>13</v>
      </c>
      <c r="E24">
        <v>105</v>
      </c>
      <c r="F24">
        <v>61.52</v>
      </c>
      <c r="G24">
        <v>3</v>
      </c>
      <c r="H24" s="1" t="s">
        <v>8</v>
      </c>
    </row>
    <row r="25" spans="1:8" x14ac:dyDescent="0.25">
      <c r="A25" s="1" t="s">
        <v>24</v>
      </c>
      <c r="B25" s="1" t="s">
        <v>51</v>
      </c>
      <c r="C25">
        <v>59</v>
      </c>
      <c r="D25" s="1" t="s">
        <v>21</v>
      </c>
      <c r="E25">
        <v>454</v>
      </c>
      <c r="F25">
        <v>10.47</v>
      </c>
      <c r="G25">
        <v>5</v>
      </c>
      <c r="H25" s="1" t="s">
        <v>8</v>
      </c>
    </row>
    <row r="26" spans="1:8" x14ac:dyDescent="0.25">
      <c r="A26" s="1" t="s">
        <v>33</v>
      </c>
      <c r="B26" s="1" t="s">
        <v>52</v>
      </c>
      <c r="C26">
        <v>108</v>
      </c>
      <c r="D26" s="1" t="s">
        <v>21</v>
      </c>
      <c r="E26">
        <v>278</v>
      </c>
      <c r="F26">
        <v>40.51</v>
      </c>
      <c r="G26">
        <v>3</v>
      </c>
      <c r="H26" s="1" t="s">
        <v>8</v>
      </c>
    </row>
    <row r="27" spans="1:8" x14ac:dyDescent="0.25">
      <c r="A27" s="1" t="s">
        <v>54</v>
      </c>
      <c r="B27" s="1" t="s">
        <v>53</v>
      </c>
      <c r="C27">
        <v>97</v>
      </c>
      <c r="D27" s="1" t="s">
        <v>13</v>
      </c>
      <c r="E27">
        <v>319</v>
      </c>
      <c r="F27">
        <v>31.25</v>
      </c>
      <c r="G27">
        <v>1</v>
      </c>
      <c r="H27" s="1" t="s">
        <v>8</v>
      </c>
    </row>
    <row r="28" spans="1:8" x14ac:dyDescent="0.25">
      <c r="A28" s="1" t="s">
        <v>31</v>
      </c>
      <c r="B28" s="1" t="s">
        <v>55</v>
      </c>
      <c r="C28">
        <v>15</v>
      </c>
      <c r="D28" s="1" t="s">
        <v>13</v>
      </c>
      <c r="E28">
        <v>403</v>
      </c>
      <c r="F28">
        <v>77.12</v>
      </c>
      <c r="G28">
        <v>1</v>
      </c>
      <c r="H28" s="1" t="s">
        <v>8</v>
      </c>
    </row>
    <row r="29" spans="1:8" x14ac:dyDescent="0.25">
      <c r="A29" s="1" t="s">
        <v>57</v>
      </c>
      <c r="B29" s="1" t="s">
        <v>56</v>
      </c>
      <c r="C29">
        <v>14</v>
      </c>
      <c r="D29" s="1" t="s">
        <v>13</v>
      </c>
      <c r="E29">
        <v>316</v>
      </c>
      <c r="F29">
        <v>62.34</v>
      </c>
      <c r="G29">
        <v>4</v>
      </c>
      <c r="H29" s="1" t="s">
        <v>8</v>
      </c>
    </row>
    <row r="30" spans="1:8" x14ac:dyDescent="0.25">
      <c r="A30" s="1" t="s">
        <v>59</v>
      </c>
      <c r="B30" s="1" t="s">
        <v>58</v>
      </c>
      <c r="C30">
        <v>101</v>
      </c>
      <c r="D30" s="1" t="s">
        <v>13</v>
      </c>
      <c r="E30">
        <v>333</v>
      </c>
      <c r="F30">
        <v>74.319999999999993</v>
      </c>
      <c r="G30">
        <v>1</v>
      </c>
      <c r="H30" s="1" t="s">
        <v>8</v>
      </c>
    </row>
    <row r="31" spans="1:8" x14ac:dyDescent="0.25">
      <c r="A31" s="1" t="s">
        <v>61</v>
      </c>
      <c r="B31" s="1" t="s">
        <v>60</v>
      </c>
      <c r="C31">
        <v>79</v>
      </c>
      <c r="D31" s="1" t="s">
        <v>10</v>
      </c>
      <c r="E31">
        <v>226</v>
      </c>
      <c r="F31">
        <v>94.38</v>
      </c>
      <c r="G31">
        <v>3</v>
      </c>
      <c r="H31" s="1" t="s">
        <v>8</v>
      </c>
    </row>
    <row r="32" spans="1:8" x14ac:dyDescent="0.25">
      <c r="A32" s="1" t="s">
        <v>20</v>
      </c>
      <c r="B32" s="1" t="s">
        <v>63</v>
      </c>
      <c r="C32">
        <v>110</v>
      </c>
      <c r="D32" s="1" t="s">
        <v>21</v>
      </c>
      <c r="E32">
        <v>454</v>
      </c>
      <c r="F32">
        <v>31.05</v>
      </c>
      <c r="G32">
        <v>1</v>
      </c>
      <c r="H32" s="1" t="s">
        <v>8</v>
      </c>
    </row>
    <row r="33" spans="1:8" x14ac:dyDescent="0.25">
      <c r="A33" s="1" t="s">
        <v>12</v>
      </c>
      <c r="B33" s="1" t="s">
        <v>64</v>
      </c>
      <c r="C33">
        <v>14</v>
      </c>
      <c r="D33" s="1" t="s">
        <v>18</v>
      </c>
      <c r="E33">
        <v>415</v>
      </c>
      <c r="F33">
        <v>36.93</v>
      </c>
      <c r="G33">
        <v>5</v>
      </c>
      <c r="H33" s="1" t="s">
        <v>8</v>
      </c>
    </row>
    <row r="34" spans="1:8" x14ac:dyDescent="0.25">
      <c r="A34" s="1" t="s">
        <v>27</v>
      </c>
      <c r="B34" s="1" t="s">
        <v>65</v>
      </c>
      <c r="C34">
        <v>106</v>
      </c>
      <c r="D34" s="1" t="s">
        <v>18</v>
      </c>
      <c r="E34">
        <v>400</v>
      </c>
      <c r="F34">
        <v>70.02</v>
      </c>
      <c r="G34">
        <v>4</v>
      </c>
      <c r="H34" s="1" t="s">
        <v>8</v>
      </c>
    </row>
    <row r="35" spans="1:8" x14ac:dyDescent="0.25">
      <c r="A35" s="1" t="s">
        <v>27</v>
      </c>
      <c r="B35" s="1" t="s">
        <v>66</v>
      </c>
      <c r="C35">
        <v>72</v>
      </c>
      <c r="D35" s="1" t="s">
        <v>18</v>
      </c>
      <c r="E35">
        <v>332</v>
      </c>
      <c r="F35">
        <v>83.36</v>
      </c>
      <c r="G35">
        <v>4</v>
      </c>
      <c r="H35" s="1" t="s">
        <v>8</v>
      </c>
    </row>
    <row r="36" spans="1:8" x14ac:dyDescent="0.25">
      <c r="A36" s="1" t="s">
        <v>68</v>
      </c>
      <c r="B36" s="1" t="s">
        <v>67</v>
      </c>
      <c r="C36">
        <v>6</v>
      </c>
      <c r="D36" s="1" t="s">
        <v>10</v>
      </c>
      <c r="E36">
        <v>207</v>
      </c>
      <c r="F36">
        <v>61.55</v>
      </c>
      <c r="G36">
        <v>0</v>
      </c>
      <c r="H36" s="1" t="s">
        <v>8</v>
      </c>
    </row>
    <row r="37" spans="1:8" x14ac:dyDescent="0.25">
      <c r="A37" s="1" t="s">
        <v>23</v>
      </c>
      <c r="B37" s="1" t="s">
        <v>69</v>
      </c>
      <c r="C37">
        <v>14</v>
      </c>
      <c r="D37" s="1" t="s">
        <v>13</v>
      </c>
      <c r="E37">
        <v>101</v>
      </c>
      <c r="F37">
        <v>43.99</v>
      </c>
      <c r="G37">
        <v>1</v>
      </c>
      <c r="H37" s="1" t="s">
        <v>8</v>
      </c>
    </row>
    <row r="38" spans="1:8" x14ac:dyDescent="0.25">
      <c r="A38" s="1" t="s">
        <v>37</v>
      </c>
      <c r="B38" s="1" t="s">
        <v>70</v>
      </c>
      <c r="C38">
        <v>22</v>
      </c>
      <c r="D38" s="1" t="s">
        <v>21</v>
      </c>
      <c r="E38">
        <v>451</v>
      </c>
      <c r="F38">
        <v>76.38</v>
      </c>
      <c r="G38">
        <v>3</v>
      </c>
      <c r="H38" s="1" t="s">
        <v>8</v>
      </c>
    </row>
    <row r="39" spans="1:8" x14ac:dyDescent="0.25">
      <c r="A39" s="1" t="s">
        <v>72</v>
      </c>
      <c r="B39" s="1" t="s">
        <v>71</v>
      </c>
      <c r="C39">
        <v>81</v>
      </c>
      <c r="D39" s="1" t="s">
        <v>13</v>
      </c>
      <c r="E39">
        <v>154</v>
      </c>
      <c r="F39">
        <v>19.47</v>
      </c>
      <c r="G39">
        <v>3</v>
      </c>
      <c r="H39" s="1" t="s">
        <v>8</v>
      </c>
    </row>
    <row r="40" spans="1:8" x14ac:dyDescent="0.25">
      <c r="A40" s="1" t="s">
        <v>9</v>
      </c>
      <c r="B40" s="1" t="s">
        <v>73</v>
      </c>
      <c r="C40">
        <v>16</v>
      </c>
      <c r="D40" s="1" t="s">
        <v>18</v>
      </c>
      <c r="E40">
        <v>43</v>
      </c>
      <c r="F40">
        <v>56.48</v>
      </c>
      <c r="G40">
        <v>0</v>
      </c>
      <c r="H40" s="1" t="s">
        <v>8</v>
      </c>
    </row>
    <row r="41" spans="1:8" x14ac:dyDescent="0.25">
      <c r="A41" s="1" t="s">
        <v>48</v>
      </c>
      <c r="B41" s="1" t="s">
        <v>74</v>
      </c>
      <c r="C41">
        <v>112</v>
      </c>
      <c r="D41" s="1" t="s">
        <v>13</v>
      </c>
      <c r="E41">
        <v>18</v>
      </c>
      <c r="F41">
        <v>27.33</v>
      </c>
      <c r="G41">
        <v>5</v>
      </c>
      <c r="H41" s="1" t="s">
        <v>8</v>
      </c>
    </row>
    <row r="42" spans="1:8" x14ac:dyDescent="0.25">
      <c r="A42" s="1" t="s">
        <v>29</v>
      </c>
      <c r="B42" s="1" t="s">
        <v>75</v>
      </c>
      <c r="C42">
        <v>27</v>
      </c>
      <c r="D42" s="1" t="s">
        <v>18</v>
      </c>
      <c r="E42">
        <v>275</v>
      </c>
      <c r="F42">
        <v>80.069999999999993</v>
      </c>
      <c r="G42">
        <v>1</v>
      </c>
      <c r="H42" s="1" t="s">
        <v>8</v>
      </c>
    </row>
    <row r="43" spans="1:8" x14ac:dyDescent="0.25">
      <c r="A43" s="1" t="s">
        <v>54</v>
      </c>
      <c r="B43" s="1" t="s">
        <v>76</v>
      </c>
      <c r="C43">
        <v>117</v>
      </c>
      <c r="D43" s="1" t="s">
        <v>21</v>
      </c>
      <c r="E43">
        <v>171</v>
      </c>
      <c r="F43">
        <v>50.89</v>
      </c>
      <c r="G43">
        <v>4</v>
      </c>
      <c r="H43" s="1" t="s">
        <v>8</v>
      </c>
    </row>
    <row r="44" spans="1:8" x14ac:dyDescent="0.25">
      <c r="A44" s="1" t="s">
        <v>48</v>
      </c>
      <c r="B44" s="1" t="s">
        <v>77</v>
      </c>
      <c r="C44">
        <v>47</v>
      </c>
      <c r="D44" s="1" t="s">
        <v>18</v>
      </c>
      <c r="E44">
        <v>199</v>
      </c>
      <c r="F44">
        <v>23.19</v>
      </c>
      <c r="G44">
        <v>2</v>
      </c>
      <c r="H44" s="1" t="s">
        <v>8</v>
      </c>
    </row>
    <row r="45" spans="1:8" x14ac:dyDescent="0.25">
      <c r="A45" s="1" t="s">
        <v>57</v>
      </c>
      <c r="B45" s="1" t="s">
        <v>78</v>
      </c>
      <c r="C45">
        <v>21</v>
      </c>
      <c r="D45" s="1" t="s">
        <v>10</v>
      </c>
      <c r="E45">
        <v>371</v>
      </c>
      <c r="F45">
        <v>48.31</v>
      </c>
      <c r="G45">
        <v>0</v>
      </c>
      <c r="H45" s="1" t="s">
        <v>8</v>
      </c>
    </row>
    <row r="46" spans="1:8" x14ac:dyDescent="0.25">
      <c r="A46" s="1" t="s">
        <v>48</v>
      </c>
      <c r="B46" s="1" t="s">
        <v>80</v>
      </c>
      <c r="C46">
        <v>82</v>
      </c>
      <c r="D46" s="1" t="s">
        <v>18</v>
      </c>
      <c r="E46">
        <v>132</v>
      </c>
      <c r="F46">
        <v>50.14</v>
      </c>
      <c r="G46">
        <v>5</v>
      </c>
      <c r="H46" s="1" t="s">
        <v>79</v>
      </c>
    </row>
    <row r="47" spans="1:8" x14ac:dyDescent="0.25">
      <c r="A47" s="1" t="s">
        <v>20</v>
      </c>
      <c r="B47" s="1" t="s">
        <v>81</v>
      </c>
      <c r="C47">
        <v>59</v>
      </c>
      <c r="D47" s="1" t="s">
        <v>21</v>
      </c>
      <c r="E47">
        <v>192</v>
      </c>
      <c r="F47">
        <v>86.17</v>
      </c>
      <c r="G47">
        <v>1</v>
      </c>
      <c r="H47" s="1" t="s">
        <v>79</v>
      </c>
    </row>
    <row r="48" spans="1:8" x14ac:dyDescent="0.25">
      <c r="A48" s="1" t="s">
        <v>83</v>
      </c>
      <c r="B48" s="1" t="s">
        <v>82</v>
      </c>
      <c r="C48">
        <v>98</v>
      </c>
      <c r="D48" s="1" t="s">
        <v>13</v>
      </c>
      <c r="E48">
        <v>482</v>
      </c>
      <c r="F48">
        <v>55.04</v>
      </c>
      <c r="G48">
        <v>5</v>
      </c>
      <c r="H48" s="1" t="s">
        <v>79</v>
      </c>
    </row>
    <row r="49" spans="1:8" x14ac:dyDescent="0.25">
      <c r="A49" s="1" t="s">
        <v>33</v>
      </c>
      <c r="B49" s="1" t="s">
        <v>84</v>
      </c>
      <c r="C49">
        <v>58</v>
      </c>
      <c r="D49" s="1" t="s">
        <v>18</v>
      </c>
      <c r="E49">
        <v>423</v>
      </c>
      <c r="F49">
        <v>80.459999999999994</v>
      </c>
      <c r="G49">
        <v>0</v>
      </c>
      <c r="H49" s="1" t="s">
        <v>79</v>
      </c>
    </row>
    <row r="50" spans="1:8" x14ac:dyDescent="0.25">
      <c r="A50" s="1" t="s">
        <v>59</v>
      </c>
      <c r="B50" s="1" t="s">
        <v>85</v>
      </c>
      <c r="C50">
        <v>86</v>
      </c>
      <c r="D50" s="1" t="s">
        <v>18</v>
      </c>
      <c r="E50">
        <v>460</v>
      </c>
      <c r="F50">
        <v>22.81</v>
      </c>
      <c r="G50">
        <v>4</v>
      </c>
      <c r="H50" s="1" t="s">
        <v>79</v>
      </c>
    </row>
    <row r="51" spans="1:8" x14ac:dyDescent="0.25">
      <c r="A51" s="1" t="s">
        <v>68</v>
      </c>
      <c r="B51" s="1" t="s">
        <v>86</v>
      </c>
      <c r="C51">
        <v>58</v>
      </c>
      <c r="D51" s="1" t="s">
        <v>21</v>
      </c>
      <c r="E51">
        <v>61</v>
      </c>
      <c r="F51">
        <v>58.64</v>
      </c>
      <c r="G51">
        <v>3</v>
      </c>
      <c r="H51" s="1" t="s">
        <v>79</v>
      </c>
    </row>
    <row r="52" spans="1:8" x14ac:dyDescent="0.25">
      <c r="A52" s="1" t="s">
        <v>41</v>
      </c>
      <c r="B52" s="1" t="s">
        <v>87</v>
      </c>
      <c r="C52">
        <v>20</v>
      </c>
      <c r="D52" s="1" t="s">
        <v>18</v>
      </c>
      <c r="E52">
        <v>26</v>
      </c>
      <c r="F52">
        <v>25.14</v>
      </c>
      <c r="G52">
        <v>0</v>
      </c>
      <c r="H52" s="1" t="s">
        <v>79</v>
      </c>
    </row>
    <row r="53" spans="1:8" x14ac:dyDescent="0.25">
      <c r="A53" s="1" t="s">
        <v>48</v>
      </c>
      <c r="B53" s="1" t="s">
        <v>88</v>
      </c>
      <c r="C53">
        <v>111</v>
      </c>
      <c r="D53" s="1" t="s">
        <v>10</v>
      </c>
      <c r="E53">
        <v>103</v>
      </c>
      <c r="F53">
        <v>32.06</v>
      </c>
      <c r="G53">
        <v>0</v>
      </c>
      <c r="H53" s="1" t="s">
        <v>79</v>
      </c>
    </row>
    <row r="54" spans="1:8" x14ac:dyDescent="0.25">
      <c r="A54" s="1" t="s">
        <v>20</v>
      </c>
      <c r="B54" s="1" t="s">
        <v>89</v>
      </c>
      <c r="C54">
        <v>94</v>
      </c>
      <c r="D54" s="1" t="s">
        <v>21</v>
      </c>
      <c r="E54">
        <v>122</v>
      </c>
      <c r="F54">
        <v>95.74</v>
      </c>
      <c r="G54">
        <v>5</v>
      </c>
      <c r="H54" s="1" t="s">
        <v>79</v>
      </c>
    </row>
    <row r="55" spans="1:8" x14ac:dyDescent="0.25">
      <c r="A55" s="1" t="s">
        <v>33</v>
      </c>
      <c r="B55" s="1" t="s">
        <v>90</v>
      </c>
      <c r="C55">
        <v>42</v>
      </c>
      <c r="D55" s="1" t="s">
        <v>21</v>
      </c>
      <c r="E55">
        <v>385</v>
      </c>
      <c r="F55">
        <v>96.52</v>
      </c>
      <c r="G55">
        <v>1</v>
      </c>
      <c r="H55" s="1" t="s">
        <v>79</v>
      </c>
    </row>
    <row r="56" spans="1:8" x14ac:dyDescent="0.25">
      <c r="A56" s="1" t="s">
        <v>20</v>
      </c>
      <c r="B56" s="1" t="s">
        <v>91</v>
      </c>
      <c r="C56">
        <v>12</v>
      </c>
      <c r="D56" s="1" t="s">
        <v>13</v>
      </c>
      <c r="E56">
        <v>305</v>
      </c>
      <c r="F56">
        <v>59.96</v>
      </c>
      <c r="G56">
        <v>3</v>
      </c>
      <c r="H56" s="1" t="s">
        <v>79</v>
      </c>
    </row>
    <row r="57" spans="1:8" x14ac:dyDescent="0.25">
      <c r="A57" s="1" t="s">
        <v>33</v>
      </c>
      <c r="B57" s="1" t="s">
        <v>92</v>
      </c>
      <c r="C57">
        <v>103</v>
      </c>
      <c r="D57" s="1" t="s">
        <v>18</v>
      </c>
      <c r="E57">
        <v>300</v>
      </c>
      <c r="F57">
        <v>13.76</v>
      </c>
      <c r="G57">
        <v>4</v>
      </c>
      <c r="H57" s="1" t="s">
        <v>79</v>
      </c>
    </row>
    <row r="58" spans="1:8" x14ac:dyDescent="0.25">
      <c r="A58" s="1" t="s">
        <v>33</v>
      </c>
      <c r="B58" s="1" t="s">
        <v>93</v>
      </c>
      <c r="C58">
        <v>80</v>
      </c>
      <c r="D58" s="1" t="s">
        <v>10</v>
      </c>
      <c r="E58">
        <v>121</v>
      </c>
      <c r="F58">
        <v>83.14</v>
      </c>
      <c r="G58">
        <v>5</v>
      </c>
      <c r="H58" s="1" t="s">
        <v>79</v>
      </c>
    </row>
    <row r="59" spans="1:8" x14ac:dyDescent="0.25">
      <c r="A59" s="1" t="s">
        <v>61</v>
      </c>
      <c r="B59" s="1" t="s">
        <v>94</v>
      </c>
      <c r="C59">
        <v>80</v>
      </c>
      <c r="D59" s="1" t="s">
        <v>18</v>
      </c>
      <c r="E59">
        <v>260</v>
      </c>
      <c r="F59">
        <v>65.87</v>
      </c>
      <c r="G59">
        <v>3</v>
      </c>
      <c r="H59" s="1" t="s">
        <v>79</v>
      </c>
    </row>
    <row r="60" spans="1:8" x14ac:dyDescent="0.25">
      <c r="A60" s="1" t="s">
        <v>23</v>
      </c>
      <c r="B60" s="1" t="s">
        <v>95</v>
      </c>
      <c r="C60">
        <v>53</v>
      </c>
      <c r="D60" s="1" t="s">
        <v>13</v>
      </c>
      <c r="E60">
        <v>385</v>
      </c>
      <c r="F60">
        <v>68.78</v>
      </c>
      <c r="G60">
        <v>3</v>
      </c>
      <c r="H60" s="1" t="s">
        <v>79</v>
      </c>
    </row>
    <row r="61" spans="1:8" x14ac:dyDescent="0.25">
      <c r="A61" s="1" t="s">
        <v>41</v>
      </c>
      <c r="B61" s="1" t="s">
        <v>96</v>
      </c>
      <c r="C61">
        <v>50</v>
      </c>
      <c r="D61" s="1" t="s">
        <v>18</v>
      </c>
      <c r="E61">
        <v>258</v>
      </c>
      <c r="F61">
        <v>25.06</v>
      </c>
      <c r="G61">
        <v>4</v>
      </c>
      <c r="H61" s="1" t="s">
        <v>79</v>
      </c>
    </row>
    <row r="62" spans="1:8" x14ac:dyDescent="0.25">
      <c r="A62" s="1" t="s">
        <v>41</v>
      </c>
      <c r="B62" s="1" t="s">
        <v>97</v>
      </c>
      <c r="C62">
        <v>30</v>
      </c>
      <c r="D62" s="1" t="s">
        <v>10</v>
      </c>
      <c r="E62">
        <v>197</v>
      </c>
      <c r="F62">
        <v>15.42</v>
      </c>
      <c r="G62">
        <v>0</v>
      </c>
      <c r="H62" s="1" t="s">
        <v>79</v>
      </c>
    </row>
    <row r="63" spans="1:8" x14ac:dyDescent="0.25">
      <c r="A63" s="1" t="s">
        <v>23</v>
      </c>
      <c r="B63" s="1" t="s">
        <v>98</v>
      </c>
      <c r="C63">
        <v>116</v>
      </c>
      <c r="D63" s="1" t="s">
        <v>13</v>
      </c>
      <c r="E63">
        <v>486</v>
      </c>
      <c r="F63">
        <v>92.96</v>
      </c>
      <c r="G63">
        <v>5</v>
      </c>
      <c r="H63" s="1" t="s">
        <v>79</v>
      </c>
    </row>
    <row r="64" spans="1:8" x14ac:dyDescent="0.25">
      <c r="A64" s="1" t="s">
        <v>9</v>
      </c>
      <c r="B64" s="1" t="s">
        <v>99</v>
      </c>
      <c r="C64">
        <v>44</v>
      </c>
      <c r="D64" s="1" t="s">
        <v>13</v>
      </c>
      <c r="E64">
        <v>137</v>
      </c>
      <c r="F64">
        <v>32.58</v>
      </c>
      <c r="G64">
        <v>0</v>
      </c>
      <c r="H64" s="1" t="s">
        <v>79</v>
      </c>
    </row>
    <row r="65" spans="1:8" x14ac:dyDescent="0.25">
      <c r="A65" s="1" t="s">
        <v>33</v>
      </c>
      <c r="B65" s="1" t="s">
        <v>100</v>
      </c>
      <c r="C65">
        <v>6</v>
      </c>
      <c r="D65" s="1" t="s">
        <v>10</v>
      </c>
      <c r="E65">
        <v>162</v>
      </c>
      <c r="F65">
        <v>99.93</v>
      </c>
      <c r="G65">
        <v>0</v>
      </c>
      <c r="H65" s="1" t="s">
        <v>79</v>
      </c>
    </row>
    <row r="66" spans="1:8" x14ac:dyDescent="0.25">
      <c r="A66" s="1" t="s">
        <v>33</v>
      </c>
      <c r="B66" s="1" t="s">
        <v>101</v>
      </c>
      <c r="C66">
        <v>86</v>
      </c>
      <c r="D66" s="1" t="s">
        <v>13</v>
      </c>
      <c r="E66">
        <v>237</v>
      </c>
      <c r="F66">
        <v>85.82</v>
      </c>
      <c r="G66">
        <v>5</v>
      </c>
      <c r="H66" s="1" t="s">
        <v>79</v>
      </c>
    </row>
    <row r="67" spans="1:8" x14ac:dyDescent="0.25">
      <c r="A67" s="1" t="s">
        <v>31</v>
      </c>
      <c r="B67" s="1" t="s">
        <v>102</v>
      </c>
      <c r="C67">
        <v>114</v>
      </c>
      <c r="D67" s="1" t="s">
        <v>10</v>
      </c>
      <c r="E67">
        <v>283</v>
      </c>
      <c r="F67">
        <v>29.15</v>
      </c>
      <c r="G67">
        <v>3</v>
      </c>
      <c r="H67" s="1" t="s">
        <v>79</v>
      </c>
    </row>
    <row r="68" spans="1:8" x14ac:dyDescent="0.25">
      <c r="A68" s="1" t="s">
        <v>27</v>
      </c>
      <c r="B68" s="1" t="s">
        <v>103</v>
      </c>
      <c r="C68">
        <v>57</v>
      </c>
      <c r="D68" s="1" t="s">
        <v>18</v>
      </c>
      <c r="E68">
        <v>208</v>
      </c>
      <c r="F68">
        <v>85.66</v>
      </c>
      <c r="G68">
        <v>5</v>
      </c>
      <c r="H68" s="1" t="s">
        <v>79</v>
      </c>
    </row>
    <row r="69" spans="1:8" x14ac:dyDescent="0.25">
      <c r="A69" s="1" t="s">
        <v>17</v>
      </c>
      <c r="B69" s="1" t="s">
        <v>104</v>
      </c>
      <c r="C69">
        <v>95</v>
      </c>
      <c r="D69" s="1" t="s">
        <v>18</v>
      </c>
      <c r="E69">
        <v>33</v>
      </c>
      <c r="F69">
        <v>35.32</v>
      </c>
      <c r="G69">
        <v>0</v>
      </c>
      <c r="H69" s="1" t="s">
        <v>79</v>
      </c>
    </row>
    <row r="70" spans="1:8" x14ac:dyDescent="0.25">
      <c r="A70" s="1" t="s">
        <v>24</v>
      </c>
      <c r="B70" s="1" t="s">
        <v>105</v>
      </c>
      <c r="C70">
        <v>36</v>
      </c>
      <c r="D70" s="1" t="s">
        <v>18</v>
      </c>
      <c r="E70">
        <v>247</v>
      </c>
      <c r="F70">
        <v>24.53</v>
      </c>
      <c r="G70">
        <v>2</v>
      </c>
      <c r="H70" s="1" t="s">
        <v>79</v>
      </c>
    </row>
    <row r="71" spans="1:8" x14ac:dyDescent="0.25">
      <c r="A71" s="1" t="s">
        <v>61</v>
      </c>
      <c r="B71" s="1" t="s">
        <v>106</v>
      </c>
      <c r="C71">
        <v>83</v>
      </c>
      <c r="D71" s="1" t="s">
        <v>21</v>
      </c>
      <c r="E71">
        <v>14</v>
      </c>
      <c r="F71">
        <v>58.07</v>
      </c>
      <c r="G71">
        <v>3</v>
      </c>
      <c r="H71" s="1" t="s">
        <v>79</v>
      </c>
    </row>
    <row r="72" spans="1:8" x14ac:dyDescent="0.25">
      <c r="A72" s="1" t="s">
        <v>48</v>
      </c>
      <c r="B72" s="1" t="s">
        <v>107</v>
      </c>
      <c r="C72">
        <v>12</v>
      </c>
      <c r="D72" s="1" t="s">
        <v>10</v>
      </c>
      <c r="E72">
        <v>208</v>
      </c>
      <c r="F72">
        <v>16.29</v>
      </c>
      <c r="G72">
        <v>4</v>
      </c>
      <c r="H72" s="1" t="s">
        <v>79</v>
      </c>
    </row>
    <row r="73" spans="1:8" x14ac:dyDescent="0.25">
      <c r="A73" s="1" t="s">
        <v>57</v>
      </c>
      <c r="B73" s="1" t="s">
        <v>108</v>
      </c>
      <c r="C73">
        <v>111</v>
      </c>
      <c r="D73" s="1" t="s">
        <v>21</v>
      </c>
      <c r="E73">
        <v>324</v>
      </c>
      <c r="F73">
        <v>18.07</v>
      </c>
      <c r="G73">
        <v>2</v>
      </c>
      <c r="H73" s="1" t="s">
        <v>79</v>
      </c>
    </row>
    <row r="74" spans="1:8" x14ac:dyDescent="0.25">
      <c r="A74" s="1" t="s">
        <v>20</v>
      </c>
      <c r="B74" s="1" t="s">
        <v>109</v>
      </c>
      <c r="C74">
        <v>22</v>
      </c>
      <c r="D74" s="1" t="s">
        <v>21</v>
      </c>
      <c r="E74">
        <v>119</v>
      </c>
      <c r="F74">
        <v>72.86</v>
      </c>
      <c r="G74">
        <v>3</v>
      </c>
      <c r="H74" s="1" t="s">
        <v>79</v>
      </c>
    </row>
    <row r="75" spans="1:8" x14ac:dyDescent="0.25">
      <c r="A75" s="1" t="s">
        <v>37</v>
      </c>
      <c r="B75" s="1" t="s">
        <v>110</v>
      </c>
      <c r="C75">
        <v>91</v>
      </c>
      <c r="D75" s="1" t="s">
        <v>10</v>
      </c>
      <c r="E75">
        <v>467</v>
      </c>
      <c r="F75">
        <v>84.74</v>
      </c>
      <c r="G75">
        <v>1</v>
      </c>
      <c r="H75" s="1" t="s">
        <v>79</v>
      </c>
    </row>
    <row r="76" spans="1:8" x14ac:dyDescent="0.25">
      <c r="A76" s="1" t="s">
        <v>59</v>
      </c>
      <c r="B76" s="1" t="s">
        <v>111</v>
      </c>
      <c r="C76">
        <v>4</v>
      </c>
      <c r="D76" s="1" t="s">
        <v>18</v>
      </c>
      <c r="E76">
        <v>453</v>
      </c>
      <c r="F76">
        <v>75.260000000000005</v>
      </c>
      <c r="G76">
        <v>5</v>
      </c>
      <c r="H76" s="1" t="s">
        <v>79</v>
      </c>
    </row>
    <row r="77" spans="1:8" x14ac:dyDescent="0.25">
      <c r="A77" s="1" t="s">
        <v>9</v>
      </c>
      <c r="B77" s="1" t="s">
        <v>112</v>
      </c>
      <c r="C77">
        <v>74</v>
      </c>
      <c r="D77" s="1" t="s">
        <v>21</v>
      </c>
      <c r="E77">
        <v>9</v>
      </c>
      <c r="F77">
        <v>99.89</v>
      </c>
      <c r="G77">
        <v>0</v>
      </c>
      <c r="H77" s="1" t="s">
        <v>79</v>
      </c>
    </row>
    <row r="78" spans="1:8" x14ac:dyDescent="0.25">
      <c r="A78" s="1" t="s">
        <v>24</v>
      </c>
      <c r="B78" s="1" t="s">
        <v>113</v>
      </c>
      <c r="C78">
        <v>81</v>
      </c>
      <c r="D78" s="1" t="s">
        <v>10</v>
      </c>
      <c r="E78">
        <v>137</v>
      </c>
      <c r="F78">
        <v>89.05</v>
      </c>
      <c r="G78">
        <v>0</v>
      </c>
      <c r="H78" s="1" t="s">
        <v>79</v>
      </c>
    </row>
    <row r="79" spans="1:8" x14ac:dyDescent="0.25">
      <c r="A79" s="1" t="s">
        <v>83</v>
      </c>
      <c r="B79" s="1" t="s">
        <v>114</v>
      </c>
      <c r="C79">
        <v>102</v>
      </c>
      <c r="D79" s="1" t="s">
        <v>13</v>
      </c>
      <c r="E79">
        <v>283</v>
      </c>
      <c r="F79">
        <v>28.98</v>
      </c>
      <c r="G79">
        <v>3</v>
      </c>
      <c r="H79" s="1" t="s">
        <v>79</v>
      </c>
    </row>
    <row r="80" spans="1:8" x14ac:dyDescent="0.25">
      <c r="A80" s="1" t="s">
        <v>33</v>
      </c>
      <c r="B80" s="1" t="s">
        <v>115</v>
      </c>
      <c r="C80">
        <v>99</v>
      </c>
      <c r="D80" s="1" t="s">
        <v>21</v>
      </c>
      <c r="E80">
        <v>493</v>
      </c>
      <c r="F80">
        <v>55.43</v>
      </c>
      <c r="G80">
        <v>2</v>
      </c>
      <c r="H80" s="1" t="s">
        <v>79</v>
      </c>
    </row>
    <row r="81" spans="1:8" x14ac:dyDescent="0.25">
      <c r="A81" s="1" t="s">
        <v>83</v>
      </c>
      <c r="B81" s="1" t="s">
        <v>116</v>
      </c>
      <c r="C81">
        <v>91</v>
      </c>
      <c r="D81" s="1" t="s">
        <v>18</v>
      </c>
      <c r="E81">
        <v>300</v>
      </c>
      <c r="F81">
        <v>82.19</v>
      </c>
      <c r="G81">
        <v>1</v>
      </c>
      <c r="H81" s="1" t="s">
        <v>79</v>
      </c>
    </row>
    <row r="82" spans="1:8" x14ac:dyDescent="0.25">
      <c r="A82" s="1" t="s">
        <v>118</v>
      </c>
      <c r="B82" s="1" t="s">
        <v>117</v>
      </c>
      <c r="C82">
        <v>40</v>
      </c>
      <c r="D82" s="1" t="s">
        <v>10</v>
      </c>
      <c r="E82">
        <v>345</v>
      </c>
      <c r="F82">
        <v>89.55</v>
      </c>
      <c r="G82">
        <v>3</v>
      </c>
      <c r="H82" s="1" t="s">
        <v>79</v>
      </c>
    </row>
    <row r="83" spans="1:8" x14ac:dyDescent="0.25">
      <c r="A83" s="1" t="s">
        <v>72</v>
      </c>
      <c r="B83" s="1" t="s">
        <v>119</v>
      </c>
      <c r="C83">
        <v>72</v>
      </c>
      <c r="D83" s="1" t="s">
        <v>21</v>
      </c>
      <c r="E83">
        <v>51</v>
      </c>
      <c r="F83">
        <v>95.09</v>
      </c>
      <c r="G83">
        <v>0</v>
      </c>
      <c r="H83" s="1" t="s">
        <v>79</v>
      </c>
    </row>
    <row r="84" spans="1:8" x14ac:dyDescent="0.25">
      <c r="A84" s="1" t="s">
        <v>23</v>
      </c>
      <c r="B84" s="1" t="s">
        <v>120</v>
      </c>
      <c r="C84">
        <v>83</v>
      </c>
      <c r="D84" s="1" t="s">
        <v>18</v>
      </c>
      <c r="E84">
        <v>126</v>
      </c>
      <c r="F84">
        <v>67.17</v>
      </c>
      <c r="G84">
        <v>1</v>
      </c>
      <c r="H84" s="1" t="s">
        <v>79</v>
      </c>
    </row>
    <row r="85" spans="1:8" x14ac:dyDescent="0.25">
      <c r="A85" s="1" t="s">
        <v>122</v>
      </c>
      <c r="B85" s="1" t="s">
        <v>121</v>
      </c>
      <c r="C85">
        <v>16</v>
      </c>
      <c r="D85" s="1" t="s">
        <v>18</v>
      </c>
      <c r="E85">
        <v>390</v>
      </c>
      <c r="F85">
        <v>98.17</v>
      </c>
      <c r="G85">
        <v>5</v>
      </c>
      <c r="H85" s="1" t="s">
        <v>79</v>
      </c>
    </row>
    <row r="86" spans="1:8" x14ac:dyDescent="0.25">
      <c r="A86" s="1" t="s">
        <v>17</v>
      </c>
      <c r="B86" s="1" t="s">
        <v>123</v>
      </c>
      <c r="C86">
        <v>72</v>
      </c>
      <c r="D86" s="1" t="s">
        <v>13</v>
      </c>
      <c r="E86">
        <v>333</v>
      </c>
      <c r="F86">
        <v>34.57</v>
      </c>
      <c r="G86">
        <v>2</v>
      </c>
      <c r="H86" s="1" t="s">
        <v>79</v>
      </c>
    </row>
    <row r="87" spans="1:8" x14ac:dyDescent="0.25">
      <c r="A87" s="1" t="s">
        <v>41</v>
      </c>
      <c r="B87" s="1" t="s">
        <v>124</v>
      </c>
      <c r="C87">
        <v>25</v>
      </c>
      <c r="D87" s="1" t="s">
        <v>10</v>
      </c>
      <c r="E87">
        <v>64</v>
      </c>
      <c r="F87">
        <v>38.950000000000003</v>
      </c>
      <c r="G87">
        <v>5</v>
      </c>
      <c r="H87" s="1" t="s">
        <v>79</v>
      </c>
    </row>
    <row r="88" spans="1:8" x14ac:dyDescent="0.25">
      <c r="A88" s="1" t="s">
        <v>126</v>
      </c>
      <c r="B88" s="1" t="s">
        <v>125</v>
      </c>
      <c r="C88">
        <v>80</v>
      </c>
      <c r="D88" s="1" t="s">
        <v>21</v>
      </c>
      <c r="E88">
        <v>155</v>
      </c>
      <c r="F88">
        <v>28.96</v>
      </c>
      <c r="G88">
        <v>2</v>
      </c>
      <c r="H88" s="1" t="s">
        <v>79</v>
      </c>
    </row>
    <row r="89" spans="1:8" x14ac:dyDescent="0.25">
      <c r="A89" s="1" t="s">
        <v>41</v>
      </c>
      <c r="B89" s="1" t="s">
        <v>127</v>
      </c>
      <c r="C89">
        <v>70</v>
      </c>
      <c r="D89" s="1" t="s">
        <v>13</v>
      </c>
      <c r="E89">
        <v>290</v>
      </c>
      <c r="F89">
        <v>96.31</v>
      </c>
      <c r="G89">
        <v>1</v>
      </c>
      <c r="H89" s="1" t="s">
        <v>79</v>
      </c>
    </row>
    <row r="90" spans="1:8" x14ac:dyDescent="0.25">
      <c r="A90" s="1" t="s">
        <v>68</v>
      </c>
      <c r="B90" s="1" t="s">
        <v>128</v>
      </c>
      <c r="C90">
        <v>74</v>
      </c>
      <c r="D90" s="1" t="s">
        <v>10</v>
      </c>
      <c r="E90">
        <v>208</v>
      </c>
      <c r="F90">
        <v>39.56</v>
      </c>
      <c r="G90">
        <v>0</v>
      </c>
      <c r="H90" s="1" t="s">
        <v>79</v>
      </c>
    </row>
    <row r="91" spans="1:8" x14ac:dyDescent="0.25">
      <c r="A91" s="1" t="s">
        <v>23</v>
      </c>
      <c r="B91" s="1" t="s">
        <v>130</v>
      </c>
      <c r="C91">
        <v>87</v>
      </c>
      <c r="D91" s="1" t="s">
        <v>13</v>
      </c>
      <c r="E91">
        <v>442</v>
      </c>
      <c r="F91">
        <v>22.39</v>
      </c>
      <c r="G91">
        <v>3</v>
      </c>
      <c r="H91" s="1" t="s">
        <v>129</v>
      </c>
    </row>
    <row r="92" spans="1:8" x14ac:dyDescent="0.25">
      <c r="A92" s="1" t="s">
        <v>35</v>
      </c>
      <c r="B92" s="1" t="s">
        <v>131</v>
      </c>
      <c r="C92">
        <v>69</v>
      </c>
      <c r="D92" s="1" t="s">
        <v>18</v>
      </c>
      <c r="E92">
        <v>306</v>
      </c>
      <c r="F92">
        <v>13.97</v>
      </c>
      <c r="G92">
        <v>1</v>
      </c>
      <c r="H92" s="1" t="s">
        <v>129</v>
      </c>
    </row>
    <row r="93" spans="1:8" x14ac:dyDescent="0.25">
      <c r="A93" s="1" t="s">
        <v>54</v>
      </c>
      <c r="B93" s="1" t="s">
        <v>132</v>
      </c>
      <c r="C93">
        <v>79</v>
      </c>
      <c r="D93" s="1" t="s">
        <v>21</v>
      </c>
      <c r="E93">
        <v>403</v>
      </c>
      <c r="F93">
        <v>21.49</v>
      </c>
      <c r="G93">
        <v>0</v>
      </c>
      <c r="H93" s="1" t="s">
        <v>129</v>
      </c>
    </row>
    <row r="94" spans="1:8" x14ac:dyDescent="0.25">
      <c r="A94" s="1" t="s">
        <v>54</v>
      </c>
      <c r="B94" s="1" t="s">
        <v>133</v>
      </c>
      <c r="C94">
        <v>33</v>
      </c>
      <c r="D94" s="1" t="s">
        <v>21</v>
      </c>
      <c r="E94">
        <v>337</v>
      </c>
      <c r="F94">
        <v>62.61</v>
      </c>
      <c r="G94">
        <v>2</v>
      </c>
      <c r="H94" s="1" t="s">
        <v>129</v>
      </c>
    </row>
    <row r="95" spans="1:8" x14ac:dyDescent="0.25">
      <c r="A95" s="1" t="s">
        <v>24</v>
      </c>
      <c r="B95" s="1" t="s">
        <v>134</v>
      </c>
      <c r="C95">
        <v>88</v>
      </c>
      <c r="D95" s="1" t="s">
        <v>21</v>
      </c>
      <c r="E95">
        <v>319</v>
      </c>
      <c r="F95">
        <v>56.18</v>
      </c>
      <c r="G95">
        <v>0</v>
      </c>
      <c r="H95" s="1" t="s">
        <v>129</v>
      </c>
    </row>
    <row r="96" spans="1:8" x14ac:dyDescent="0.25">
      <c r="A96" s="1" t="s">
        <v>20</v>
      </c>
      <c r="B96" s="1" t="s">
        <v>135</v>
      </c>
      <c r="C96">
        <v>72</v>
      </c>
      <c r="D96" s="1" t="s">
        <v>10</v>
      </c>
      <c r="E96">
        <v>5</v>
      </c>
      <c r="F96">
        <v>68.650000000000006</v>
      </c>
      <c r="G96">
        <v>0</v>
      </c>
      <c r="H96" s="1" t="s">
        <v>129</v>
      </c>
    </row>
    <row r="97" spans="1:8" x14ac:dyDescent="0.25">
      <c r="A97" s="1" t="s">
        <v>62</v>
      </c>
      <c r="B97" s="1" t="s">
        <v>136</v>
      </c>
      <c r="C97">
        <v>59</v>
      </c>
      <c r="D97" s="1" t="s">
        <v>18</v>
      </c>
      <c r="E97">
        <v>196</v>
      </c>
      <c r="F97">
        <v>62.53</v>
      </c>
      <c r="G97">
        <v>0</v>
      </c>
      <c r="H97" s="1" t="s">
        <v>129</v>
      </c>
    </row>
    <row r="98" spans="1:8" x14ac:dyDescent="0.25">
      <c r="A98" s="1" t="s">
        <v>35</v>
      </c>
      <c r="B98" s="1" t="s">
        <v>137</v>
      </c>
      <c r="C98">
        <v>55</v>
      </c>
      <c r="D98" s="1" t="s">
        <v>18</v>
      </c>
      <c r="E98">
        <v>407</v>
      </c>
      <c r="F98">
        <v>23.11</v>
      </c>
      <c r="G98">
        <v>0</v>
      </c>
      <c r="H98" s="1" t="s">
        <v>129</v>
      </c>
    </row>
    <row r="99" spans="1:8" x14ac:dyDescent="0.25">
      <c r="A99" s="1" t="s">
        <v>35</v>
      </c>
      <c r="B99" s="1" t="s">
        <v>138</v>
      </c>
      <c r="C99">
        <v>83</v>
      </c>
      <c r="D99" s="1" t="s">
        <v>13</v>
      </c>
      <c r="E99">
        <v>219</v>
      </c>
      <c r="F99">
        <v>52.26</v>
      </c>
      <c r="G99">
        <v>1</v>
      </c>
      <c r="H99" s="1" t="s">
        <v>129</v>
      </c>
    </row>
    <row r="100" spans="1:8" x14ac:dyDescent="0.25">
      <c r="A100" s="1" t="s">
        <v>61</v>
      </c>
      <c r="B100" s="1" t="s">
        <v>139</v>
      </c>
      <c r="C100">
        <v>7</v>
      </c>
      <c r="D100" s="1" t="s">
        <v>10</v>
      </c>
      <c r="E100">
        <v>317</v>
      </c>
      <c r="F100">
        <v>97.32</v>
      </c>
      <c r="G100">
        <v>1</v>
      </c>
      <c r="H100" s="1" t="s">
        <v>129</v>
      </c>
    </row>
    <row r="101" spans="1:8" x14ac:dyDescent="0.25">
      <c r="A101" s="1" t="s">
        <v>31</v>
      </c>
      <c r="B101" s="1" t="s">
        <v>140</v>
      </c>
      <c r="C101">
        <v>110</v>
      </c>
      <c r="D101" s="1" t="s">
        <v>10</v>
      </c>
      <c r="E101">
        <v>51</v>
      </c>
      <c r="F101">
        <v>56.59</v>
      </c>
      <c r="G101">
        <v>5</v>
      </c>
      <c r="H101" s="1" t="s">
        <v>129</v>
      </c>
    </row>
    <row r="102" spans="1:8" x14ac:dyDescent="0.25">
      <c r="A102" s="1" t="s">
        <v>15</v>
      </c>
      <c r="B102" s="1" t="s">
        <v>141</v>
      </c>
      <c r="C102">
        <v>42</v>
      </c>
      <c r="D102" s="1" t="s">
        <v>21</v>
      </c>
      <c r="E102">
        <v>173</v>
      </c>
      <c r="F102">
        <v>69.19</v>
      </c>
      <c r="G102">
        <v>4</v>
      </c>
      <c r="H102" s="1" t="s">
        <v>129</v>
      </c>
    </row>
    <row r="103" spans="1:8" x14ac:dyDescent="0.25">
      <c r="A103" s="1" t="s">
        <v>122</v>
      </c>
      <c r="B103" s="1" t="s">
        <v>142</v>
      </c>
      <c r="C103">
        <v>56</v>
      </c>
      <c r="D103" s="1" t="s">
        <v>18</v>
      </c>
      <c r="E103">
        <v>333</v>
      </c>
      <c r="F103">
        <v>23.01</v>
      </c>
      <c r="G103">
        <v>2</v>
      </c>
      <c r="H103" s="1" t="s">
        <v>129</v>
      </c>
    </row>
    <row r="104" spans="1:8" x14ac:dyDescent="0.25">
      <c r="A104" s="1" t="s">
        <v>48</v>
      </c>
      <c r="B104" s="1" t="s">
        <v>143</v>
      </c>
      <c r="C104">
        <v>109</v>
      </c>
      <c r="D104" s="1" t="s">
        <v>13</v>
      </c>
      <c r="E104">
        <v>480</v>
      </c>
      <c r="F104">
        <v>31.36</v>
      </c>
      <c r="G104">
        <v>0</v>
      </c>
      <c r="H104" s="1" t="s">
        <v>129</v>
      </c>
    </row>
    <row r="105" spans="1:8" x14ac:dyDescent="0.25">
      <c r="A105" s="1" t="s">
        <v>62</v>
      </c>
      <c r="B105" s="1" t="s">
        <v>144</v>
      </c>
      <c r="C105">
        <v>53</v>
      </c>
      <c r="D105" s="1" t="s">
        <v>21</v>
      </c>
      <c r="E105">
        <v>345</v>
      </c>
      <c r="F105">
        <v>83.73</v>
      </c>
      <c r="G105">
        <v>0</v>
      </c>
      <c r="H105" s="1" t="s">
        <v>129</v>
      </c>
    </row>
    <row r="106" spans="1:8" x14ac:dyDescent="0.25">
      <c r="A106" s="1" t="s">
        <v>83</v>
      </c>
      <c r="B106" s="1" t="s">
        <v>145</v>
      </c>
      <c r="C106">
        <v>36</v>
      </c>
      <c r="D106" s="1" t="s">
        <v>10</v>
      </c>
      <c r="E106">
        <v>400</v>
      </c>
      <c r="F106">
        <v>60.35</v>
      </c>
      <c r="G106">
        <v>1</v>
      </c>
      <c r="H106" s="1" t="s">
        <v>129</v>
      </c>
    </row>
    <row r="107" spans="1:8" x14ac:dyDescent="0.25">
      <c r="A107" s="1" t="s">
        <v>68</v>
      </c>
      <c r="B107" s="1" t="s">
        <v>146</v>
      </c>
      <c r="C107">
        <v>16</v>
      </c>
      <c r="D107" s="1" t="s">
        <v>18</v>
      </c>
      <c r="E107">
        <v>13</v>
      </c>
      <c r="F107">
        <v>14.91</v>
      </c>
      <c r="G107">
        <v>1</v>
      </c>
      <c r="H107" s="1" t="s">
        <v>129</v>
      </c>
    </row>
    <row r="108" spans="1:8" x14ac:dyDescent="0.25">
      <c r="A108" s="1" t="s">
        <v>24</v>
      </c>
      <c r="B108" s="1" t="s">
        <v>147</v>
      </c>
      <c r="C108">
        <v>88</v>
      </c>
      <c r="D108" s="1" t="s">
        <v>10</v>
      </c>
      <c r="E108">
        <v>232</v>
      </c>
      <c r="F108">
        <v>40.94</v>
      </c>
      <c r="G108">
        <v>2</v>
      </c>
      <c r="H108" s="1" t="s">
        <v>129</v>
      </c>
    </row>
    <row r="109" spans="1:8" x14ac:dyDescent="0.25">
      <c r="A109" s="1" t="s">
        <v>27</v>
      </c>
      <c r="B109" s="1" t="s">
        <v>148</v>
      </c>
      <c r="C109">
        <v>67</v>
      </c>
      <c r="D109" s="1" t="s">
        <v>21</v>
      </c>
      <c r="E109">
        <v>264</v>
      </c>
      <c r="F109">
        <v>97.89</v>
      </c>
      <c r="G109">
        <v>1</v>
      </c>
      <c r="H109" s="1" t="s">
        <v>129</v>
      </c>
    </row>
    <row r="110" spans="1:8" x14ac:dyDescent="0.25">
      <c r="A110" s="1" t="s">
        <v>57</v>
      </c>
      <c r="B110" s="1" t="s">
        <v>149</v>
      </c>
      <c r="C110">
        <v>60</v>
      </c>
      <c r="D110" s="1" t="s">
        <v>18</v>
      </c>
      <c r="E110">
        <v>168</v>
      </c>
      <c r="F110">
        <v>67.650000000000006</v>
      </c>
      <c r="G110">
        <v>1</v>
      </c>
      <c r="H110" s="1" t="s">
        <v>129</v>
      </c>
    </row>
    <row r="111" spans="1:8" x14ac:dyDescent="0.25">
      <c r="A111" s="1" t="s">
        <v>31</v>
      </c>
      <c r="B111" s="1" t="s">
        <v>150</v>
      </c>
      <c r="C111">
        <v>64</v>
      </c>
      <c r="D111" s="1" t="s">
        <v>13</v>
      </c>
      <c r="E111">
        <v>300</v>
      </c>
      <c r="F111">
        <v>28.11</v>
      </c>
      <c r="G111">
        <v>2</v>
      </c>
      <c r="H111" s="1" t="s">
        <v>129</v>
      </c>
    </row>
    <row r="112" spans="1:8" x14ac:dyDescent="0.25">
      <c r="A112" s="1" t="s">
        <v>12</v>
      </c>
      <c r="B112" s="1" t="s">
        <v>151</v>
      </c>
      <c r="C112">
        <v>47</v>
      </c>
      <c r="D112" s="1" t="s">
        <v>18</v>
      </c>
      <c r="E112">
        <v>98</v>
      </c>
      <c r="F112">
        <v>16.16</v>
      </c>
      <c r="G112">
        <v>5</v>
      </c>
      <c r="H112" s="1" t="s">
        <v>129</v>
      </c>
    </row>
    <row r="113" spans="1:8" x14ac:dyDescent="0.25">
      <c r="A113" s="1" t="s">
        <v>17</v>
      </c>
      <c r="B113" s="1" t="s">
        <v>152</v>
      </c>
      <c r="C113">
        <v>67</v>
      </c>
      <c r="D113" s="1" t="s">
        <v>13</v>
      </c>
      <c r="E113">
        <v>55</v>
      </c>
      <c r="F113">
        <v>27.04</v>
      </c>
      <c r="G113">
        <v>1</v>
      </c>
      <c r="H113" s="1" t="s">
        <v>129</v>
      </c>
    </row>
    <row r="114" spans="1:8" x14ac:dyDescent="0.25">
      <c r="A114" s="1" t="s">
        <v>83</v>
      </c>
      <c r="B114" s="1" t="s">
        <v>153</v>
      </c>
      <c r="C114">
        <v>98</v>
      </c>
      <c r="D114" s="1" t="s">
        <v>18</v>
      </c>
      <c r="E114">
        <v>52</v>
      </c>
      <c r="F114">
        <v>52.82</v>
      </c>
      <c r="G114">
        <v>2</v>
      </c>
      <c r="H114" s="1" t="s">
        <v>129</v>
      </c>
    </row>
    <row r="115" spans="1:8" x14ac:dyDescent="0.25">
      <c r="A115" s="1" t="s">
        <v>12</v>
      </c>
      <c r="B115" s="1" t="s">
        <v>154</v>
      </c>
      <c r="C115">
        <v>6</v>
      </c>
      <c r="D115" s="1" t="s">
        <v>18</v>
      </c>
      <c r="E115">
        <v>6</v>
      </c>
      <c r="F115">
        <v>72.27</v>
      </c>
      <c r="G115">
        <v>4</v>
      </c>
      <c r="H115" s="1" t="s">
        <v>129</v>
      </c>
    </row>
    <row r="116" spans="1:8" x14ac:dyDescent="0.25">
      <c r="A116" s="1" t="s">
        <v>12</v>
      </c>
      <c r="B116" s="1" t="s">
        <v>155</v>
      </c>
      <c r="C116">
        <v>114</v>
      </c>
      <c r="D116" s="1" t="s">
        <v>18</v>
      </c>
      <c r="E116">
        <v>304</v>
      </c>
      <c r="F116">
        <v>52.07</v>
      </c>
      <c r="G116">
        <v>1</v>
      </c>
      <c r="H116" s="1" t="s">
        <v>129</v>
      </c>
    </row>
    <row r="117" spans="1:8" x14ac:dyDescent="0.25">
      <c r="A117" s="1" t="s">
        <v>29</v>
      </c>
      <c r="B117" s="1" t="s">
        <v>156</v>
      </c>
      <c r="C117">
        <v>93</v>
      </c>
      <c r="D117" s="1" t="s">
        <v>18</v>
      </c>
      <c r="E117">
        <v>365</v>
      </c>
      <c r="F117">
        <v>72.319999999999993</v>
      </c>
      <c r="G117">
        <v>1</v>
      </c>
      <c r="H117" s="1" t="s">
        <v>129</v>
      </c>
    </row>
    <row r="118" spans="1:8" x14ac:dyDescent="0.25">
      <c r="A118" s="1" t="s">
        <v>83</v>
      </c>
      <c r="B118" s="1" t="s">
        <v>157</v>
      </c>
      <c r="C118">
        <v>29</v>
      </c>
      <c r="D118" s="1" t="s">
        <v>13</v>
      </c>
      <c r="E118">
        <v>34</v>
      </c>
      <c r="F118">
        <v>86.68</v>
      </c>
      <c r="G118">
        <v>1</v>
      </c>
      <c r="H118" s="1" t="s">
        <v>129</v>
      </c>
    </row>
    <row r="119" spans="1:8" x14ac:dyDescent="0.25">
      <c r="A119" s="1" t="s">
        <v>27</v>
      </c>
      <c r="B119" s="1" t="s">
        <v>158</v>
      </c>
      <c r="C119">
        <v>7</v>
      </c>
      <c r="D119" s="1" t="s">
        <v>10</v>
      </c>
      <c r="E119">
        <v>303</v>
      </c>
      <c r="F119">
        <v>60.95</v>
      </c>
      <c r="G119">
        <v>0</v>
      </c>
      <c r="H119" s="1" t="s">
        <v>129</v>
      </c>
    </row>
    <row r="120" spans="1:8" x14ac:dyDescent="0.25">
      <c r="A120" s="1" t="s">
        <v>83</v>
      </c>
      <c r="B120" s="1" t="s">
        <v>159</v>
      </c>
      <c r="C120">
        <v>118</v>
      </c>
      <c r="D120" s="1" t="s">
        <v>21</v>
      </c>
      <c r="E120">
        <v>430</v>
      </c>
      <c r="F120">
        <v>36.97</v>
      </c>
      <c r="G120">
        <v>2</v>
      </c>
      <c r="H120" s="1" t="s">
        <v>129</v>
      </c>
    </row>
    <row r="121" spans="1:8" x14ac:dyDescent="0.25">
      <c r="A121" s="1" t="s">
        <v>41</v>
      </c>
      <c r="B121" s="1" t="s">
        <v>160</v>
      </c>
      <c r="C121">
        <v>54</v>
      </c>
      <c r="D121" s="1" t="s">
        <v>18</v>
      </c>
      <c r="E121">
        <v>99</v>
      </c>
      <c r="F121">
        <v>39.58</v>
      </c>
      <c r="G121">
        <v>0</v>
      </c>
      <c r="H121" s="1" t="s">
        <v>129</v>
      </c>
    </row>
    <row r="122" spans="1:8" x14ac:dyDescent="0.25">
      <c r="A122" s="1" t="s">
        <v>17</v>
      </c>
      <c r="B122" s="1" t="s">
        <v>161</v>
      </c>
      <c r="C122">
        <v>69</v>
      </c>
      <c r="D122" s="1" t="s">
        <v>13</v>
      </c>
      <c r="E122">
        <v>463</v>
      </c>
      <c r="F122">
        <v>19.440000000000001</v>
      </c>
      <c r="G122">
        <v>0</v>
      </c>
      <c r="H122" s="1" t="s">
        <v>129</v>
      </c>
    </row>
    <row r="123" spans="1:8" x14ac:dyDescent="0.25">
      <c r="A123" s="1" t="s">
        <v>37</v>
      </c>
      <c r="B123" s="1" t="s">
        <v>162</v>
      </c>
      <c r="C123">
        <v>58</v>
      </c>
      <c r="D123" s="1" t="s">
        <v>18</v>
      </c>
      <c r="E123">
        <v>293</v>
      </c>
      <c r="F123">
        <v>88.85</v>
      </c>
      <c r="G123">
        <v>5</v>
      </c>
      <c r="H123" s="1" t="s">
        <v>129</v>
      </c>
    </row>
    <row r="124" spans="1:8" x14ac:dyDescent="0.25">
      <c r="A124" s="1" t="s">
        <v>41</v>
      </c>
      <c r="B124" s="1" t="s">
        <v>163</v>
      </c>
      <c r="C124">
        <v>41</v>
      </c>
      <c r="D124" s="1" t="s">
        <v>10</v>
      </c>
      <c r="E124">
        <v>64</v>
      </c>
      <c r="F124">
        <v>91.95</v>
      </c>
      <c r="G124">
        <v>1</v>
      </c>
      <c r="H124" s="1" t="s">
        <v>129</v>
      </c>
    </row>
    <row r="125" spans="1:8" x14ac:dyDescent="0.25">
      <c r="A125" s="1" t="s">
        <v>62</v>
      </c>
      <c r="B125" s="1" t="s">
        <v>164</v>
      </c>
      <c r="C125">
        <v>1</v>
      </c>
      <c r="D125" s="1" t="s">
        <v>13</v>
      </c>
      <c r="E125">
        <v>326</v>
      </c>
      <c r="F125">
        <v>54.63</v>
      </c>
      <c r="G125">
        <v>3</v>
      </c>
      <c r="H125" s="1" t="s">
        <v>129</v>
      </c>
    </row>
    <row r="126" spans="1:8" x14ac:dyDescent="0.25">
      <c r="A126" s="1" t="s">
        <v>54</v>
      </c>
      <c r="B126" s="1" t="s">
        <v>165</v>
      </c>
      <c r="C126">
        <v>25</v>
      </c>
      <c r="D126" s="1" t="s">
        <v>18</v>
      </c>
      <c r="E126">
        <v>131</v>
      </c>
      <c r="F126">
        <v>67.489999999999995</v>
      </c>
      <c r="G126">
        <v>0</v>
      </c>
      <c r="H126" s="1" t="s">
        <v>129</v>
      </c>
    </row>
    <row r="127" spans="1:8" x14ac:dyDescent="0.25">
      <c r="A127" s="1" t="s">
        <v>68</v>
      </c>
      <c r="B127" s="1" t="s">
        <v>166</v>
      </c>
      <c r="C127">
        <v>43</v>
      </c>
      <c r="D127" s="1" t="s">
        <v>18</v>
      </c>
      <c r="E127">
        <v>181</v>
      </c>
      <c r="F127">
        <v>72.39</v>
      </c>
      <c r="G127">
        <v>2</v>
      </c>
      <c r="H127" s="1" t="s">
        <v>129</v>
      </c>
    </row>
    <row r="128" spans="1:8" x14ac:dyDescent="0.25">
      <c r="A128" s="1" t="s">
        <v>17</v>
      </c>
      <c r="B128" s="1" t="s">
        <v>167</v>
      </c>
      <c r="C128">
        <v>11</v>
      </c>
      <c r="D128" s="1" t="s">
        <v>18</v>
      </c>
      <c r="E128">
        <v>215</v>
      </c>
      <c r="F128">
        <v>51.99</v>
      </c>
      <c r="G128">
        <v>1</v>
      </c>
      <c r="H128" s="1" t="s">
        <v>129</v>
      </c>
    </row>
    <row r="129" spans="1:8" x14ac:dyDescent="0.25">
      <c r="A129" s="1" t="s">
        <v>23</v>
      </c>
      <c r="B129" s="1" t="s">
        <v>168</v>
      </c>
      <c r="C129">
        <v>113</v>
      </c>
      <c r="D129" s="1" t="s">
        <v>10</v>
      </c>
      <c r="E129">
        <v>246</v>
      </c>
      <c r="F129">
        <v>29.18</v>
      </c>
      <c r="G129">
        <v>2</v>
      </c>
      <c r="H129" s="1" t="s">
        <v>129</v>
      </c>
    </row>
    <row r="130" spans="1:8" x14ac:dyDescent="0.25">
      <c r="A130" s="1" t="s">
        <v>62</v>
      </c>
      <c r="B130" s="1" t="s">
        <v>169</v>
      </c>
      <c r="C130">
        <v>74</v>
      </c>
      <c r="D130" s="1" t="s">
        <v>13</v>
      </c>
      <c r="E130">
        <v>371</v>
      </c>
      <c r="F130">
        <v>53.27</v>
      </c>
      <c r="G130">
        <v>3</v>
      </c>
      <c r="H130" s="1" t="s">
        <v>129</v>
      </c>
    </row>
    <row r="131" spans="1:8" x14ac:dyDescent="0.25">
      <c r="A131" s="1" t="s">
        <v>31</v>
      </c>
      <c r="B131" s="1" t="s">
        <v>170</v>
      </c>
      <c r="C131">
        <v>104</v>
      </c>
      <c r="D131" s="1" t="s">
        <v>13</v>
      </c>
      <c r="E131">
        <v>317</v>
      </c>
      <c r="F131">
        <v>79.150000000000006</v>
      </c>
      <c r="G131">
        <v>1</v>
      </c>
      <c r="H131" s="1" t="s">
        <v>129</v>
      </c>
    </row>
    <row r="132" spans="1:8" x14ac:dyDescent="0.25">
      <c r="A132" s="1" t="s">
        <v>12</v>
      </c>
      <c r="B132" s="1" t="s">
        <v>171</v>
      </c>
      <c r="C132">
        <v>4</v>
      </c>
      <c r="D132" s="1" t="s">
        <v>18</v>
      </c>
      <c r="E132">
        <v>227</v>
      </c>
      <c r="F132">
        <v>83.32</v>
      </c>
      <c r="G132">
        <v>2</v>
      </c>
      <c r="H132" s="1" t="s">
        <v>129</v>
      </c>
    </row>
    <row r="133" spans="1:8" x14ac:dyDescent="0.25">
      <c r="A133" s="1" t="s">
        <v>61</v>
      </c>
      <c r="B133" s="1" t="s">
        <v>172</v>
      </c>
      <c r="C133">
        <v>95</v>
      </c>
      <c r="D133" s="1" t="s">
        <v>13</v>
      </c>
      <c r="E133">
        <v>95</v>
      </c>
      <c r="F133">
        <v>82.65</v>
      </c>
      <c r="G133">
        <v>2</v>
      </c>
      <c r="H133" s="1" t="s">
        <v>129</v>
      </c>
    </row>
    <row r="134" spans="1:8" x14ac:dyDescent="0.25">
      <c r="A134" s="1" t="s">
        <v>35</v>
      </c>
      <c r="B134" s="1" t="s">
        <v>173</v>
      </c>
      <c r="C134">
        <v>29</v>
      </c>
      <c r="D134" s="1" t="s">
        <v>21</v>
      </c>
      <c r="E134">
        <v>124</v>
      </c>
      <c r="F134">
        <v>43.83</v>
      </c>
      <c r="G134">
        <v>5</v>
      </c>
      <c r="H134" s="1" t="s">
        <v>129</v>
      </c>
    </row>
    <row r="135" spans="1:8" x14ac:dyDescent="0.25">
      <c r="A135" s="1" t="s">
        <v>29</v>
      </c>
      <c r="B135" s="1" t="s">
        <v>175</v>
      </c>
      <c r="C135">
        <v>97</v>
      </c>
      <c r="D135" s="1" t="s">
        <v>18</v>
      </c>
      <c r="E135">
        <v>484</v>
      </c>
      <c r="F135">
        <v>61.98</v>
      </c>
      <c r="G135">
        <v>1</v>
      </c>
      <c r="H135" s="1" t="s">
        <v>174</v>
      </c>
    </row>
    <row r="136" spans="1:8" x14ac:dyDescent="0.25">
      <c r="A136" s="1" t="s">
        <v>9</v>
      </c>
      <c r="B136" s="1" t="s">
        <v>176</v>
      </c>
      <c r="C136">
        <v>113</v>
      </c>
      <c r="D136" s="1" t="s">
        <v>10</v>
      </c>
      <c r="E136">
        <v>207</v>
      </c>
      <c r="F136">
        <v>21.55</v>
      </c>
      <c r="G136">
        <v>0</v>
      </c>
      <c r="H136" s="1" t="s">
        <v>174</v>
      </c>
    </row>
    <row r="137" spans="1:8" x14ac:dyDescent="0.25">
      <c r="A137" s="1" t="s">
        <v>37</v>
      </c>
      <c r="B137" s="1" t="s">
        <v>177</v>
      </c>
      <c r="C137">
        <v>97</v>
      </c>
      <c r="D137" s="1" t="s">
        <v>10</v>
      </c>
      <c r="E137">
        <v>296</v>
      </c>
      <c r="F137">
        <v>10.87</v>
      </c>
      <c r="G137">
        <v>4</v>
      </c>
      <c r="H137" s="1" t="s">
        <v>174</v>
      </c>
    </row>
    <row r="138" spans="1:8" x14ac:dyDescent="0.25">
      <c r="A138" s="1" t="s">
        <v>48</v>
      </c>
      <c r="B138" s="1" t="s">
        <v>178</v>
      </c>
      <c r="C138">
        <v>66</v>
      </c>
      <c r="D138" s="1" t="s">
        <v>21</v>
      </c>
      <c r="E138">
        <v>387</v>
      </c>
      <c r="F138">
        <v>82.94</v>
      </c>
      <c r="G138">
        <v>3</v>
      </c>
      <c r="H138" s="1" t="s">
        <v>174</v>
      </c>
    </row>
    <row r="139" spans="1:8" x14ac:dyDescent="0.25">
      <c r="A139" s="1" t="s">
        <v>41</v>
      </c>
      <c r="B139" s="1" t="s">
        <v>179</v>
      </c>
      <c r="C139">
        <v>48</v>
      </c>
      <c r="D139" s="1" t="s">
        <v>18</v>
      </c>
      <c r="E139">
        <v>335</v>
      </c>
      <c r="F139">
        <v>85.09</v>
      </c>
      <c r="G139">
        <v>3</v>
      </c>
      <c r="H139" s="1" t="s">
        <v>174</v>
      </c>
    </row>
    <row r="140" spans="1:8" x14ac:dyDescent="0.25">
      <c r="A140" s="1" t="s">
        <v>41</v>
      </c>
      <c r="B140" s="1" t="s">
        <v>180</v>
      </c>
      <c r="C140">
        <v>64</v>
      </c>
      <c r="D140" s="1" t="s">
        <v>13</v>
      </c>
      <c r="E140">
        <v>6</v>
      </c>
      <c r="F140">
        <v>40.58</v>
      </c>
      <c r="G140">
        <v>5</v>
      </c>
      <c r="H140" s="1" t="s">
        <v>174</v>
      </c>
    </row>
    <row r="141" spans="1:8" x14ac:dyDescent="0.25">
      <c r="A141" s="1" t="s">
        <v>23</v>
      </c>
      <c r="B141" s="1" t="s">
        <v>181</v>
      </c>
      <c r="C141">
        <v>67</v>
      </c>
      <c r="D141" s="1" t="s">
        <v>10</v>
      </c>
      <c r="E141">
        <v>241</v>
      </c>
      <c r="F141">
        <v>47.72</v>
      </c>
      <c r="G141">
        <v>0</v>
      </c>
      <c r="H141" s="1" t="s">
        <v>174</v>
      </c>
    </row>
    <row r="142" spans="1:8" x14ac:dyDescent="0.25">
      <c r="A142" s="1" t="s">
        <v>31</v>
      </c>
      <c r="B142" s="1" t="s">
        <v>182</v>
      </c>
      <c r="C142">
        <v>60</v>
      </c>
      <c r="D142" s="1" t="s">
        <v>13</v>
      </c>
      <c r="E142">
        <v>334</v>
      </c>
      <c r="F142">
        <v>71.72</v>
      </c>
      <c r="G142">
        <v>3</v>
      </c>
      <c r="H142" s="1" t="s">
        <v>174</v>
      </c>
    </row>
    <row r="143" spans="1:8" x14ac:dyDescent="0.25">
      <c r="A143" s="1" t="s">
        <v>57</v>
      </c>
      <c r="B143" s="1" t="s">
        <v>183</v>
      </c>
      <c r="C143">
        <v>42</v>
      </c>
      <c r="D143" s="1" t="s">
        <v>13</v>
      </c>
      <c r="E143">
        <v>389</v>
      </c>
      <c r="F143">
        <v>80.08</v>
      </c>
      <c r="G143">
        <v>1</v>
      </c>
      <c r="H143" s="1" t="s">
        <v>174</v>
      </c>
    </row>
    <row r="144" spans="1:8" x14ac:dyDescent="0.25">
      <c r="A144" s="1" t="s">
        <v>122</v>
      </c>
      <c r="B144" s="1" t="s">
        <v>184</v>
      </c>
      <c r="C144">
        <v>92</v>
      </c>
      <c r="D144" s="1" t="s">
        <v>13</v>
      </c>
      <c r="E144">
        <v>487</v>
      </c>
      <c r="F144">
        <v>58.38</v>
      </c>
      <c r="G144">
        <v>1</v>
      </c>
      <c r="H144" s="1" t="s">
        <v>174</v>
      </c>
    </row>
    <row r="145" spans="1:8" x14ac:dyDescent="0.25">
      <c r="A145" s="1" t="s">
        <v>35</v>
      </c>
      <c r="B145" s="1" t="s">
        <v>185</v>
      </c>
      <c r="C145">
        <v>48</v>
      </c>
      <c r="D145" s="1" t="s">
        <v>13</v>
      </c>
      <c r="E145">
        <v>76</v>
      </c>
      <c r="F145">
        <v>39.35</v>
      </c>
      <c r="G145">
        <v>2</v>
      </c>
      <c r="H145" s="1" t="s">
        <v>174</v>
      </c>
    </row>
    <row r="146" spans="1:8" x14ac:dyDescent="0.25">
      <c r="A146" s="1" t="s">
        <v>20</v>
      </c>
      <c r="B146" s="1" t="s">
        <v>186</v>
      </c>
      <c r="C146">
        <v>68</v>
      </c>
      <c r="D146" s="1" t="s">
        <v>10</v>
      </c>
      <c r="E146">
        <v>443</v>
      </c>
      <c r="F146">
        <v>12.09</v>
      </c>
      <c r="G146">
        <v>3</v>
      </c>
      <c r="H146" s="1" t="s">
        <v>174</v>
      </c>
    </row>
    <row r="147" spans="1:8" x14ac:dyDescent="0.25">
      <c r="A147" s="1" t="s">
        <v>72</v>
      </c>
      <c r="B147" s="1" t="s">
        <v>187</v>
      </c>
      <c r="C147">
        <v>89</v>
      </c>
      <c r="D147" s="1" t="s">
        <v>13</v>
      </c>
      <c r="E147">
        <v>203</v>
      </c>
      <c r="F147">
        <v>80.680000000000007</v>
      </c>
      <c r="G147">
        <v>5</v>
      </c>
      <c r="H147" s="1" t="s">
        <v>174</v>
      </c>
    </row>
    <row r="148" spans="1:8" x14ac:dyDescent="0.25">
      <c r="A148" s="1" t="s">
        <v>29</v>
      </c>
      <c r="B148" s="1" t="s">
        <v>188</v>
      </c>
      <c r="C148">
        <v>62</v>
      </c>
      <c r="D148" s="1" t="s">
        <v>10</v>
      </c>
      <c r="E148">
        <v>116</v>
      </c>
      <c r="F148">
        <v>92.99</v>
      </c>
      <c r="G148">
        <v>5</v>
      </c>
      <c r="H148" s="1" t="s">
        <v>174</v>
      </c>
    </row>
    <row r="149" spans="1:8" x14ac:dyDescent="0.25">
      <c r="A149" s="1" t="s">
        <v>9</v>
      </c>
      <c r="B149" s="1" t="s">
        <v>189</v>
      </c>
      <c r="C149">
        <v>92</v>
      </c>
      <c r="D149" s="1" t="s">
        <v>10</v>
      </c>
      <c r="E149">
        <v>116</v>
      </c>
      <c r="F149">
        <v>23.83</v>
      </c>
      <c r="G149">
        <v>3</v>
      </c>
      <c r="H149" s="1" t="s">
        <v>174</v>
      </c>
    </row>
    <row r="150" spans="1:8" x14ac:dyDescent="0.25">
      <c r="A150" s="1" t="s">
        <v>15</v>
      </c>
      <c r="B150" s="1" t="s">
        <v>190</v>
      </c>
      <c r="C150">
        <v>64</v>
      </c>
      <c r="D150" s="1" t="s">
        <v>13</v>
      </c>
      <c r="E150">
        <v>370</v>
      </c>
      <c r="F150">
        <v>95.74</v>
      </c>
      <c r="G150">
        <v>1</v>
      </c>
      <c r="H150" s="1" t="s">
        <v>174</v>
      </c>
    </row>
    <row r="151" spans="1:8" x14ac:dyDescent="0.25">
      <c r="A151" s="1" t="s">
        <v>54</v>
      </c>
      <c r="B151" s="1" t="s">
        <v>191</v>
      </c>
      <c r="C151">
        <v>61</v>
      </c>
      <c r="D151" s="1" t="s">
        <v>18</v>
      </c>
      <c r="E151">
        <v>383</v>
      </c>
      <c r="F151">
        <v>39.72</v>
      </c>
      <c r="G151">
        <v>4</v>
      </c>
      <c r="H151" s="1" t="s">
        <v>174</v>
      </c>
    </row>
    <row r="152" spans="1:8" x14ac:dyDescent="0.25">
      <c r="A152" s="1" t="s">
        <v>59</v>
      </c>
      <c r="B152" s="1" t="s">
        <v>192</v>
      </c>
      <c r="C152">
        <v>35</v>
      </c>
      <c r="D152" s="1" t="s">
        <v>21</v>
      </c>
      <c r="E152">
        <v>107</v>
      </c>
      <c r="F152">
        <v>66.69</v>
      </c>
      <c r="G152">
        <v>4</v>
      </c>
      <c r="H152" s="1" t="s">
        <v>174</v>
      </c>
    </row>
    <row r="153" spans="1:8" x14ac:dyDescent="0.25">
      <c r="A153" s="1" t="s">
        <v>126</v>
      </c>
      <c r="B153" s="1" t="s">
        <v>193</v>
      </c>
      <c r="C153">
        <v>75</v>
      </c>
      <c r="D153" s="1" t="s">
        <v>13</v>
      </c>
      <c r="E153">
        <v>242</v>
      </c>
      <c r="F153">
        <v>64.27</v>
      </c>
      <c r="G153">
        <v>2</v>
      </c>
      <c r="H153" s="1" t="s">
        <v>174</v>
      </c>
    </row>
    <row r="154" spans="1:8" x14ac:dyDescent="0.25">
      <c r="A154" s="1" t="s">
        <v>29</v>
      </c>
      <c r="B154" s="1" t="s">
        <v>194</v>
      </c>
      <c r="C154">
        <v>52</v>
      </c>
      <c r="D154" s="1" t="s">
        <v>21</v>
      </c>
      <c r="E154">
        <v>119</v>
      </c>
      <c r="F154">
        <v>64.709999999999994</v>
      </c>
      <c r="G154">
        <v>4</v>
      </c>
      <c r="H154" s="1" t="s">
        <v>174</v>
      </c>
    </row>
    <row r="155" spans="1:8" x14ac:dyDescent="0.25">
      <c r="A155" s="1" t="s">
        <v>83</v>
      </c>
      <c r="B155" s="1" t="s">
        <v>195</v>
      </c>
      <c r="C155">
        <v>82</v>
      </c>
      <c r="D155" s="1" t="s">
        <v>10</v>
      </c>
      <c r="E155">
        <v>264</v>
      </c>
      <c r="F155">
        <v>88.03</v>
      </c>
      <c r="G155">
        <v>1</v>
      </c>
      <c r="H155" s="1" t="s">
        <v>174</v>
      </c>
    </row>
    <row r="156" spans="1:8" x14ac:dyDescent="0.25">
      <c r="A156" s="1" t="s">
        <v>31</v>
      </c>
      <c r="B156" s="1" t="s">
        <v>196</v>
      </c>
      <c r="C156">
        <v>118</v>
      </c>
      <c r="D156" s="1" t="s">
        <v>18</v>
      </c>
      <c r="E156">
        <v>300</v>
      </c>
      <c r="F156">
        <v>98.22</v>
      </c>
      <c r="G156">
        <v>4</v>
      </c>
      <c r="H156" s="1" t="s">
        <v>174</v>
      </c>
    </row>
    <row r="157" spans="1:8" x14ac:dyDescent="0.25">
      <c r="A157" s="1" t="s">
        <v>57</v>
      </c>
      <c r="B157" s="1" t="s">
        <v>197</v>
      </c>
      <c r="C157">
        <v>102</v>
      </c>
      <c r="D157" s="1" t="s">
        <v>10</v>
      </c>
      <c r="E157">
        <v>402</v>
      </c>
      <c r="F157">
        <v>28.38</v>
      </c>
      <c r="G157">
        <v>5</v>
      </c>
      <c r="H157" s="1" t="s">
        <v>174</v>
      </c>
    </row>
    <row r="158" spans="1:8" x14ac:dyDescent="0.25">
      <c r="A158" s="1" t="s">
        <v>33</v>
      </c>
      <c r="B158" s="1" t="s">
        <v>198</v>
      </c>
      <c r="C158">
        <v>75</v>
      </c>
      <c r="D158" s="1" t="s">
        <v>18</v>
      </c>
      <c r="E158">
        <v>282</v>
      </c>
      <c r="F158">
        <v>45.16</v>
      </c>
      <c r="G158">
        <v>5</v>
      </c>
      <c r="H158" s="1" t="s">
        <v>174</v>
      </c>
    </row>
    <row r="159" spans="1:8" x14ac:dyDescent="0.25">
      <c r="A159" s="1" t="s">
        <v>41</v>
      </c>
      <c r="B159" s="1" t="s">
        <v>199</v>
      </c>
      <c r="C159">
        <v>5</v>
      </c>
      <c r="D159" s="1" t="s">
        <v>18</v>
      </c>
      <c r="E159">
        <v>239</v>
      </c>
      <c r="F159">
        <v>26.95</v>
      </c>
      <c r="G159">
        <v>2</v>
      </c>
      <c r="H159" s="1" t="s">
        <v>174</v>
      </c>
    </row>
    <row r="160" spans="1:8" x14ac:dyDescent="0.25">
      <c r="A160" s="1" t="s">
        <v>72</v>
      </c>
      <c r="B160" s="1" t="s">
        <v>200</v>
      </c>
      <c r="C160">
        <v>27</v>
      </c>
      <c r="D160" s="1" t="s">
        <v>10</v>
      </c>
      <c r="E160">
        <v>369</v>
      </c>
      <c r="F160">
        <v>19.78</v>
      </c>
      <c r="G160">
        <v>1</v>
      </c>
      <c r="H160" s="1" t="s">
        <v>174</v>
      </c>
    </row>
    <row r="161" spans="1:8" x14ac:dyDescent="0.25">
      <c r="A161" s="1" t="s">
        <v>54</v>
      </c>
      <c r="B161" s="1" t="s">
        <v>201</v>
      </c>
      <c r="C161">
        <v>29</v>
      </c>
      <c r="D161" s="1" t="s">
        <v>21</v>
      </c>
      <c r="E161">
        <v>416</v>
      </c>
      <c r="F161">
        <v>61.26</v>
      </c>
      <c r="G161">
        <v>0</v>
      </c>
      <c r="H161" s="1" t="s">
        <v>174</v>
      </c>
    </row>
    <row r="162" spans="1:8" x14ac:dyDescent="0.25">
      <c r="A162" s="1" t="s">
        <v>59</v>
      </c>
      <c r="B162" s="1" t="s">
        <v>202</v>
      </c>
      <c r="C162">
        <v>115</v>
      </c>
      <c r="D162" s="1" t="s">
        <v>18</v>
      </c>
      <c r="E162">
        <v>236</v>
      </c>
      <c r="F162">
        <v>50.64</v>
      </c>
      <c r="G162">
        <v>1</v>
      </c>
      <c r="H162" s="1" t="s">
        <v>174</v>
      </c>
    </row>
    <row r="163" spans="1:8" x14ac:dyDescent="0.25">
      <c r="A163" s="1" t="s">
        <v>15</v>
      </c>
      <c r="B163" s="1" t="s">
        <v>203</v>
      </c>
      <c r="C163">
        <v>26</v>
      </c>
      <c r="D163" s="1" t="s">
        <v>18</v>
      </c>
      <c r="E163">
        <v>174</v>
      </c>
      <c r="F163">
        <v>90.53</v>
      </c>
      <c r="G163">
        <v>3</v>
      </c>
      <c r="H163" s="1" t="s">
        <v>174</v>
      </c>
    </row>
    <row r="164" spans="1:8" x14ac:dyDescent="0.25">
      <c r="A164" s="1" t="s">
        <v>23</v>
      </c>
      <c r="B164" s="1" t="s">
        <v>204</v>
      </c>
      <c r="C164">
        <v>58</v>
      </c>
      <c r="D164" s="1" t="s">
        <v>18</v>
      </c>
      <c r="E164">
        <v>405</v>
      </c>
      <c r="F164">
        <v>18.39</v>
      </c>
      <c r="G164">
        <v>0</v>
      </c>
      <c r="H164" s="1" t="s">
        <v>174</v>
      </c>
    </row>
    <row r="165" spans="1:8" x14ac:dyDescent="0.25">
      <c r="A165" s="1" t="s">
        <v>62</v>
      </c>
      <c r="B165" s="1" t="s">
        <v>205</v>
      </c>
      <c r="C165">
        <v>111</v>
      </c>
      <c r="D165" s="1" t="s">
        <v>10</v>
      </c>
      <c r="E165">
        <v>43</v>
      </c>
      <c r="F165">
        <v>19.39</v>
      </c>
      <c r="G165">
        <v>3</v>
      </c>
      <c r="H165" s="1" t="s">
        <v>174</v>
      </c>
    </row>
    <row r="166" spans="1:8" x14ac:dyDescent="0.25">
      <c r="A166" s="1" t="s">
        <v>41</v>
      </c>
      <c r="B166" s="1" t="s">
        <v>206</v>
      </c>
      <c r="C166">
        <v>31</v>
      </c>
      <c r="D166" s="1" t="s">
        <v>18</v>
      </c>
      <c r="E166">
        <v>160</v>
      </c>
      <c r="F166">
        <v>59.76</v>
      </c>
      <c r="G166">
        <v>4</v>
      </c>
      <c r="H166" s="1" t="s">
        <v>174</v>
      </c>
    </row>
    <row r="167" spans="1:8" x14ac:dyDescent="0.25">
      <c r="A167" s="1" t="s">
        <v>68</v>
      </c>
      <c r="B167" s="1" t="s">
        <v>207</v>
      </c>
      <c r="C167">
        <v>51</v>
      </c>
      <c r="D167" s="1" t="s">
        <v>21</v>
      </c>
      <c r="E167">
        <v>433</v>
      </c>
      <c r="F167">
        <v>12.89</v>
      </c>
      <c r="G167">
        <v>1</v>
      </c>
      <c r="H167" s="1" t="s">
        <v>174</v>
      </c>
    </row>
    <row r="168" spans="1:8" x14ac:dyDescent="0.25">
      <c r="A168" s="1" t="s">
        <v>83</v>
      </c>
      <c r="B168" s="1" t="s">
        <v>208</v>
      </c>
      <c r="C168">
        <v>28</v>
      </c>
      <c r="D168" s="1" t="s">
        <v>10</v>
      </c>
      <c r="E168">
        <v>96</v>
      </c>
      <c r="F168">
        <v>72.010000000000005</v>
      </c>
      <c r="G168">
        <v>4</v>
      </c>
      <c r="H168" s="1" t="s">
        <v>174</v>
      </c>
    </row>
    <row r="169" spans="1:8" x14ac:dyDescent="0.25">
      <c r="A169" s="1" t="s">
        <v>24</v>
      </c>
      <c r="B169" s="1" t="s">
        <v>209</v>
      </c>
      <c r="C169">
        <v>40</v>
      </c>
      <c r="D169" s="1" t="s">
        <v>21</v>
      </c>
      <c r="E169">
        <v>219</v>
      </c>
      <c r="F169">
        <v>53.98</v>
      </c>
      <c r="G169">
        <v>2</v>
      </c>
      <c r="H169" s="1" t="s">
        <v>174</v>
      </c>
    </row>
    <row r="170" spans="1:8" x14ac:dyDescent="0.25">
      <c r="A170" s="1" t="s">
        <v>17</v>
      </c>
      <c r="B170" s="1" t="s">
        <v>210</v>
      </c>
      <c r="C170">
        <v>114</v>
      </c>
      <c r="D170" s="1" t="s">
        <v>10</v>
      </c>
      <c r="E170">
        <v>482</v>
      </c>
      <c r="F170">
        <v>16.25</v>
      </c>
      <c r="G170">
        <v>3</v>
      </c>
      <c r="H170" s="1" t="s">
        <v>174</v>
      </c>
    </row>
    <row r="171" spans="1:8" x14ac:dyDescent="0.25">
      <c r="A171" s="1" t="s">
        <v>37</v>
      </c>
      <c r="B171" s="1" t="s">
        <v>211</v>
      </c>
      <c r="C171">
        <v>49</v>
      </c>
      <c r="D171" s="1" t="s">
        <v>10</v>
      </c>
      <c r="E171">
        <v>357</v>
      </c>
      <c r="F171">
        <v>96.67</v>
      </c>
      <c r="G171">
        <v>3</v>
      </c>
      <c r="H171" s="1" t="s">
        <v>174</v>
      </c>
    </row>
    <row r="172" spans="1:8" x14ac:dyDescent="0.25">
      <c r="A172" s="1" t="s">
        <v>23</v>
      </c>
      <c r="B172" s="1" t="s">
        <v>212</v>
      </c>
      <c r="C172">
        <v>74</v>
      </c>
      <c r="D172" s="1" t="s">
        <v>10</v>
      </c>
      <c r="E172">
        <v>213</v>
      </c>
      <c r="F172">
        <v>35.54</v>
      </c>
      <c r="G172">
        <v>3</v>
      </c>
      <c r="H172" s="1" t="s">
        <v>174</v>
      </c>
    </row>
    <row r="173" spans="1:8" x14ac:dyDescent="0.25">
      <c r="A173" s="1" t="s">
        <v>24</v>
      </c>
      <c r="B173" s="1" t="s">
        <v>213</v>
      </c>
      <c r="C173">
        <v>21</v>
      </c>
      <c r="D173" s="1" t="s">
        <v>21</v>
      </c>
      <c r="E173">
        <v>107</v>
      </c>
      <c r="F173">
        <v>30.97</v>
      </c>
      <c r="G173">
        <v>4</v>
      </c>
      <c r="H173" s="1" t="s">
        <v>174</v>
      </c>
    </row>
    <row r="174" spans="1:8" x14ac:dyDescent="0.25">
      <c r="A174" s="1" t="s">
        <v>23</v>
      </c>
      <c r="B174" s="1" t="s">
        <v>214</v>
      </c>
      <c r="C174">
        <v>120</v>
      </c>
      <c r="D174" s="1" t="s">
        <v>21</v>
      </c>
      <c r="E174">
        <v>224</v>
      </c>
      <c r="F174">
        <v>69.36</v>
      </c>
      <c r="G174">
        <v>0</v>
      </c>
      <c r="H174" s="1" t="s">
        <v>174</v>
      </c>
    </row>
    <row r="175" spans="1:8" x14ac:dyDescent="0.25">
      <c r="A175" s="1" t="s">
        <v>29</v>
      </c>
      <c r="B175" s="1" t="s">
        <v>215</v>
      </c>
      <c r="C175">
        <v>48</v>
      </c>
      <c r="D175" s="1" t="s">
        <v>18</v>
      </c>
      <c r="E175">
        <v>436</v>
      </c>
      <c r="F175">
        <v>15.17</v>
      </c>
      <c r="G175">
        <v>0</v>
      </c>
      <c r="H175" s="1" t="s">
        <v>174</v>
      </c>
    </row>
    <row r="176" spans="1:8" x14ac:dyDescent="0.25">
      <c r="A176" s="1" t="s">
        <v>37</v>
      </c>
      <c r="B176" s="1" t="s">
        <v>216</v>
      </c>
      <c r="C176">
        <v>33</v>
      </c>
      <c r="D176" s="1" t="s">
        <v>10</v>
      </c>
      <c r="E176">
        <v>285</v>
      </c>
      <c r="F176">
        <v>56.67</v>
      </c>
      <c r="G176">
        <v>2</v>
      </c>
      <c r="H176" s="1" t="s">
        <v>174</v>
      </c>
    </row>
    <row r="177" spans="1:8" x14ac:dyDescent="0.25">
      <c r="A177" s="1" t="s">
        <v>27</v>
      </c>
      <c r="B177" s="1" t="s">
        <v>217</v>
      </c>
      <c r="C177">
        <v>71</v>
      </c>
      <c r="D177" s="1" t="s">
        <v>10</v>
      </c>
      <c r="E177">
        <v>15</v>
      </c>
      <c r="F177">
        <v>25.46</v>
      </c>
      <c r="G177">
        <v>5</v>
      </c>
      <c r="H177" s="1" t="s">
        <v>174</v>
      </c>
    </row>
    <row r="178" spans="1:8" x14ac:dyDescent="0.25">
      <c r="A178" s="1" t="s">
        <v>68</v>
      </c>
      <c r="B178" s="1" t="s">
        <v>218</v>
      </c>
      <c r="C178">
        <v>11</v>
      </c>
      <c r="D178" s="1" t="s">
        <v>10</v>
      </c>
      <c r="E178">
        <v>191</v>
      </c>
      <c r="F178">
        <v>87.37</v>
      </c>
      <c r="G178">
        <v>3</v>
      </c>
      <c r="H178" s="1" t="s">
        <v>174</v>
      </c>
    </row>
    <row r="179" spans="1:8" x14ac:dyDescent="0.25">
      <c r="A179" s="1" t="s">
        <v>122</v>
      </c>
      <c r="B179" s="1" t="s">
        <v>219</v>
      </c>
      <c r="C179">
        <v>18</v>
      </c>
      <c r="D179" s="1" t="s">
        <v>13</v>
      </c>
      <c r="E179">
        <v>71</v>
      </c>
      <c r="F179">
        <v>46.98</v>
      </c>
      <c r="G179">
        <v>2</v>
      </c>
      <c r="H179" s="1" t="s">
        <v>174</v>
      </c>
    </row>
    <row r="180" spans="1:8" x14ac:dyDescent="0.25">
      <c r="A180" s="1" t="s">
        <v>33</v>
      </c>
      <c r="B180" s="1" t="s">
        <v>221</v>
      </c>
      <c r="C180">
        <v>27</v>
      </c>
      <c r="D180" s="1" t="s">
        <v>10</v>
      </c>
      <c r="E180">
        <v>61</v>
      </c>
      <c r="F180">
        <v>97.51</v>
      </c>
      <c r="G180">
        <v>5</v>
      </c>
      <c r="H180" s="1" t="s">
        <v>220</v>
      </c>
    </row>
    <row r="181" spans="1:8" x14ac:dyDescent="0.25">
      <c r="A181" s="1" t="s">
        <v>122</v>
      </c>
      <c r="B181" s="1" t="s">
        <v>222</v>
      </c>
      <c r="C181">
        <v>65</v>
      </c>
      <c r="D181" s="1" t="s">
        <v>18</v>
      </c>
      <c r="E181">
        <v>118</v>
      </c>
      <c r="F181">
        <v>72.430000000000007</v>
      </c>
      <c r="G181">
        <v>1</v>
      </c>
      <c r="H181" s="1" t="s">
        <v>220</v>
      </c>
    </row>
    <row r="182" spans="1:8" x14ac:dyDescent="0.25">
      <c r="A182" s="1" t="s">
        <v>29</v>
      </c>
      <c r="B182" s="1" t="s">
        <v>223</v>
      </c>
      <c r="C182">
        <v>6</v>
      </c>
      <c r="D182" s="1" t="s">
        <v>13</v>
      </c>
      <c r="E182">
        <v>109</v>
      </c>
      <c r="F182">
        <v>39.880000000000003</v>
      </c>
      <c r="G182">
        <v>4</v>
      </c>
      <c r="H182" s="1" t="s">
        <v>220</v>
      </c>
    </row>
    <row r="183" spans="1:8" x14ac:dyDescent="0.25">
      <c r="A183" s="1" t="s">
        <v>23</v>
      </c>
      <c r="B183" s="1" t="s">
        <v>224</v>
      </c>
      <c r="C183">
        <v>60</v>
      </c>
      <c r="D183" s="1" t="s">
        <v>21</v>
      </c>
      <c r="E183">
        <v>54</v>
      </c>
      <c r="F183">
        <v>67.180000000000007</v>
      </c>
      <c r="G183">
        <v>3</v>
      </c>
      <c r="H183" s="1" t="s">
        <v>220</v>
      </c>
    </row>
    <row r="184" spans="1:8" x14ac:dyDescent="0.25">
      <c r="A184" s="1" t="s">
        <v>27</v>
      </c>
      <c r="B184" s="1" t="s">
        <v>225</v>
      </c>
      <c r="C184">
        <v>4</v>
      </c>
      <c r="D184" s="1" t="s">
        <v>18</v>
      </c>
      <c r="E184">
        <v>182</v>
      </c>
      <c r="F184">
        <v>89.56</v>
      </c>
      <c r="G184">
        <v>4</v>
      </c>
      <c r="H184" s="1" t="s">
        <v>220</v>
      </c>
    </row>
    <row r="185" spans="1:8" x14ac:dyDescent="0.25">
      <c r="A185" s="1" t="s">
        <v>9</v>
      </c>
      <c r="B185" s="1" t="s">
        <v>226</v>
      </c>
      <c r="C185">
        <v>10</v>
      </c>
      <c r="D185" s="1" t="s">
        <v>18</v>
      </c>
      <c r="E185">
        <v>165</v>
      </c>
      <c r="F185">
        <v>38.619999999999997</v>
      </c>
      <c r="G185">
        <v>2</v>
      </c>
      <c r="H185" s="1" t="s">
        <v>220</v>
      </c>
    </row>
    <row r="186" spans="1:8" x14ac:dyDescent="0.25">
      <c r="A186" s="1" t="s">
        <v>54</v>
      </c>
      <c r="B186" s="1" t="s">
        <v>227</v>
      </c>
      <c r="C186">
        <v>82</v>
      </c>
      <c r="D186" s="1" t="s">
        <v>10</v>
      </c>
      <c r="E186">
        <v>88</v>
      </c>
      <c r="F186">
        <v>86.64</v>
      </c>
      <c r="G186">
        <v>1</v>
      </c>
      <c r="H186" s="1" t="s">
        <v>220</v>
      </c>
    </row>
    <row r="187" spans="1:8" x14ac:dyDescent="0.25">
      <c r="A187" s="1" t="s">
        <v>27</v>
      </c>
      <c r="B187" s="1" t="s">
        <v>228</v>
      </c>
      <c r="C187">
        <v>89</v>
      </c>
      <c r="D187" s="1" t="s">
        <v>21</v>
      </c>
      <c r="E187">
        <v>7</v>
      </c>
      <c r="F187">
        <v>53.39</v>
      </c>
      <c r="G187">
        <v>3</v>
      </c>
      <c r="H187" s="1" t="s">
        <v>220</v>
      </c>
    </row>
    <row r="188" spans="1:8" x14ac:dyDescent="0.25">
      <c r="A188" s="1" t="s">
        <v>29</v>
      </c>
      <c r="B188" s="1" t="s">
        <v>229</v>
      </c>
      <c r="C188">
        <v>87</v>
      </c>
      <c r="D188" s="1" t="s">
        <v>13</v>
      </c>
      <c r="E188">
        <v>205</v>
      </c>
      <c r="F188">
        <v>40.159999999999997</v>
      </c>
      <c r="G188">
        <v>5</v>
      </c>
      <c r="H188" s="1" t="s">
        <v>220</v>
      </c>
    </row>
    <row r="189" spans="1:8" x14ac:dyDescent="0.25">
      <c r="A189" s="1" t="s">
        <v>17</v>
      </c>
      <c r="B189" s="1" t="s">
        <v>230</v>
      </c>
      <c r="C189">
        <v>96</v>
      </c>
      <c r="D189" s="1" t="s">
        <v>10</v>
      </c>
      <c r="E189">
        <v>334</v>
      </c>
      <c r="F189">
        <v>64.77</v>
      </c>
      <c r="G189">
        <v>0</v>
      </c>
      <c r="H189" s="1" t="s">
        <v>220</v>
      </c>
    </row>
    <row r="190" spans="1:8" x14ac:dyDescent="0.25">
      <c r="A190" s="1" t="s">
        <v>9</v>
      </c>
      <c r="B190" s="1" t="s">
        <v>231</v>
      </c>
      <c r="C190">
        <v>60</v>
      </c>
      <c r="D190" s="1" t="s">
        <v>21</v>
      </c>
      <c r="E190">
        <v>161</v>
      </c>
      <c r="F190">
        <v>62.65</v>
      </c>
      <c r="G190">
        <v>0</v>
      </c>
      <c r="H190" s="1" t="s">
        <v>220</v>
      </c>
    </row>
    <row r="191" spans="1:8" x14ac:dyDescent="0.25">
      <c r="A191" s="1" t="s">
        <v>118</v>
      </c>
      <c r="B191" s="1" t="s">
        <v>232</v>
      </c>
      <c r="C191">
        <v>49</v>
      </c>
      <c r="D191" s="1" t="s">
        <v>21</v>
      </c>
      <c r="E191">
        <v>6</v>
      </c>
      <c r="F191">
        <v>44.41</v>
      </c>
      <c r="G191">
        <v>3</v>
      </c>
      <c r="H191" s="1" t="s">
        <v>220</v>
      </c>
    </row>
    <row r="192" spans="1:8" x14ac:dyDescent="0.25">
      <c r="A192" s="1" t="s">
        <v>122</v>
      </c>
      <c r="B192" s="1" t="s">
        <v>233</v>
      </c>
      <c r="C192">
        <v>44</v>
      </c>
      <c r="D192" s="1" t="s">
        <v>18</v>
      </c>
      <c r="E192">
        <v>199</v>
      </c>
      <c r="F192">
        <v>67.650000000000006</v>
      </c>
      <c r="G192">
        <v>0</v>
      </c>
      <c r="H192" s="1" t="s">
        <v>220</v>
      </c>
    </row>
    <row r="193" spans="1:8" x14ac:dyDescent="0.25">
      <c r="A193" s="1" t="s">
        <v>12</v>
      </c>
      <c r="B193" s="1" t="s">
        <v>234</v>
      </c>
      <c r="C193">
        <v>96</v>
      </c>
      <c r="D193" s="1" t="s">
        <v>21</v>
      </c>
      <c r="E193">
        <v>108</v>
      </c>
      <c r="F193">
        <v>30.92</v>
      </c>
      <c r="G193">
        <v>1</v>
      </c>
      <c r="H193" s="1" t="s">
        <v>220</v>
      </c>
    </row>
    <row r="194" spans="1:8" x14ac:dyDescent="0.25">
      <c r="A194" s="1" t="s">
        <v>27</v>
      </c>
      <c r="B194" s="1" t="s">
        <v>235</v>
      </c>
      <c r="C194">
        <v>52</v>
      </c>
      <c r="D194" s="1" t="s">
        <v>13</v>
      </c>
      <c r="E194">
        <v>234</v>
      </c>
      <c r="F194">
        <v>62.87</v>
      </c>
      <c r="G194">
        <v>0</v>
      </c>
      <c r="H194" s="1" t="s">
        <v>220</v>
      </c>
    </row>
    <row r="195" spans="1:8" x14ac:dyDescent="0.25">
      <c r="A195" s="1" t="s">
        <v>35</v>
      </c>
      <c r="B195" s="1" t="s">
        <v>236</v>
      </c>
      <c r="C195">
        <v>110</v>
      </c>
      <c r="D195" s="1" t="s">
        <v>18</v>
      </c>
      <c r="E195">
        <v>112</v>
      </c>
      <c r="F195">
        <v>98.95</v>
      </c>
      <c r="G195">
        <v>5</v>
      </c>
      <c r="H195" s="1" t="s">
        <v>220</v>
      </c>
    </row>
    <row r="196" spans="1:8" x14ac:dyDescent="0.25">
      <c r="A196" s="1" t="s">
        <v>83</v>
      </c>
      <c r="B196" s="1" t="s">
        <v>237</v>
      </c>
      <c r="C196">
        <v>25</v>
      </c>
      <c r="D196" s="1" t="s">
        <v>18</v>
      </c>
      <c r="E196">
        <v>33</v>
      </c>
      <c r="F196">
        <v>30.93</v>
      </c>
      <c r="G196">
        <v>1</v>
      </c>
      <c r="H196" s="1" t="s">
        <v>220</v>
      </c>
    </row>
    <row r="197" spans="1:8" x14ac:dyDescent="0.25">
      <c r="A197" s="1" t="s">
        <v>48</v>
      </c>
      <c r="B197" s="1" t="s">
        <v>238</v>
      </c>
      <c r="C197">
        <v>51</v>
      </c>
      <c r="D197" s="1" t="s">
        <v>13</v>
      </c>
      <c r="E197">
        <v>336</v>
      </c>
      <c r="F197">
        <v>65.47</v>
      </c>
      <c r="G197">
        <v>1</v>
      </c>
      <c r="H197" s="1" t="s">
        <v>220</v>
      </c>
    </row>
    <row r="198" spans="1:8" x14ac:dyDescent="0.25">
      <c r="A198" s="1" t="s">
        <v>122</v>
      </c>
      <c r="B198" s="1" t="s">
        <v>239</v>
      </c>
      <c r="C198">
        <v>5</v>
      </c>
      <c r="D198" s="1" t="s">
        <v>10</v>
      </c>
      <c r="E198">
        <v>417</v>
      </c>
      <c r="F198">
        <v>90.71</v>
      </c>
      <c r="G198">
        <v>1</v>
      </c>
      <c r="H198" s="1" t="s">
        <v>220</v>
      </c>
    </row>
    <row r="199" spans="1:8" x14ac:dyDescent="0.25">
      <c r="A199" s="1" t="s">
        <v>59</v>
      </c>
      <c r="B199" s="1" t="s">
        <v>240</v>
      </c>
      <c r="C199">
        <v>33</v>
      </c>
      <c r="D199" s="1" t="s">
        <v>18</v>
      </c>
      <c r="E199">
        <v>332</v>
      </c>
      <c r="F199">
        <v>76.41</v>
      </c>
      <c r="G199">
        <v>1</v>
      </c>
      <c r="H199" s="1" t="s">
        <v>220</v>
      </c>
    </row>
    <row r="200" spans="1:8" x14ac:dyDescent="0.25">
      <c r="A200" s="1" t="s">
        <v>54</v>
      </c>
      <c r="B200" s="1" t="s">
        <v>241</v>
      </c>
      <c r="C200">
        <v>15</v>
      </c>
      <c r="D200" s="1" t="s">
        <v>18</v>
      </c>
      <c r="E200">
        <v>319</v>
      </c>
      <c r="F200">
        <v>78.150000000000006</v>
      </c>
      <c r="G200">
        <v>4</v>
      </c>
      <c r="H200" s="1" t="s">
        <v>220</v>
      </c>
    </row>
    <row r="201" spans="1:8" x14ac:dyDescent="0.25">
      <c r="A201" s="1" t="s">
        <v>27</v>
      </c>
      <c r="B201" s="1" t="s">
        <v>242</v>
      </c>
      <c r="C201">
        <v>91</v>
      </c>
      <c r="D201" s="1" t="s">
        <v>18</v>
      </c>
      <c r="E201">
        <v>188</v>
      </c>
      <c r="F201">
        <v>65.78</v>
      </c>
      <c r="G201">
        <v>4</v>
      </c>
      <c r="H201" s="1" t="s">
        <v>220</v>
      </c>
    </row>
    <row r="202" spans="1:8" x14ac:dyDescent="0.25">
      <c r="A202" s="1" t="s">
        <v>62</v>
      </c>
      <c r="B202" s="1" t="s">
        <v>243</v>
      </c>
      <c r="C202">
        <v>118</v>
      </c>
      <c r="D202" s="1" t="s">
        <v>13</v>
      </c>
      <c r="E202">
        <v>22</v>
      </c>
      <c r="F202">
        <v>15.39</v>
      </c>
      <c r="G202">
        <v>1</v>
      </c>
      <c r="H202" s="1" t="s">
        <v>220</v>
      </c>
    </row>
    <row r="203" spans="1:8" x14ac:dyDescent="0.25">
      <c r="A203" s="1" t="s">
        <v>15</v>
      </c>
      <c r="B203" s="1" t="s">
        <v>244</v>
      </c>
      <c r="C203">
        <v>18</v>
      </c>
      <c r="D203" s="1" t="s">
        <v>21</v>
      </c>
      <c r="E203">
        <v>34</v>
      </c>
      <c r="F203">
        <v>43.71</v>
      </c>
      <c r="G203">
        <v>1</v>
      </c>
      <c r="H203" s="1" t="s">
        <v>220</v>
      </c>
    </row>
    <row r="204" spans="1:8" x14ac:dyDescent="0.25">
      <c r="A204" s="1" t="s">
        <v>33</v>
      </c>
      <c r="B204" s="1" t="s">
        <v>245</v>
      </c>
      <c r="C204">
        <v>86</v>
      </c>
      <c r="D204" s="1" t="s">
        <v>10</v>
      </c>
      <c r="E204">
        <v>111</v>
      </c>
      <c r="F204">
        <v>23.65</v>
      </c>
      <c r="G204">
        <v>0</v>
      </c>
      <c r="H204" s="1" t="s">
        <v>220</v>
      </c>
    </row>
    <row r="205" spans="1:8" x14ac:dyDescent="0.25">
      <c r="A205" s="1" t="s">
        <v>12</v>
      </c>
      <c r="B205" s="1" t="s">
        <v>246</v>
      </c>
      <c r="C205">
        <v>96</v>
      </c>
      <c r="D205" s="1" t="s">
        <v>21</v>
      </c>
      <c r="E205">
        <v>210</v>
      </c>
      <c r="F205">
        <v>28.39</v>
      </c>
      <c r="G205">
        <v>3</v>
      </c>
      <c r="H205" s="1" t="s">
        <v>220</v>
      </c>
    </row>
    <row r="206" spans="1:8" x14ac:dyDescent="0.25">
      <c r="A206" s="1" t="s">
        <v>37</v>
      </c>
      <c r="B206" s="1" t="s">
        <v>247</v>
      </c>
      <c r="C206">
        <v>60</v>
      </c>
      <c r="D206" s="1" t="s">
        <v>21</v>
      </c>
      <c r="E206">
        <v>154</v>
      </c>
      <c r="F206">
        <v>13.41</v>
      </c>
      <c r="G206">
        <v>5</v>
      </c>
      <c r="H206" s="1" t="s">
        <v>220</v>
      </c>
    </row>
    <row r="207" spans="1:8" x14ac:dyDescent="0.25">
      <c r="A207" s="1" t="s">
        <v>35</v>
      </c>
      <c r="B207" s="1" t="s">
        <v>248</v>
      </c>
      <c r="C207">
        <v>63</v>
      </c>
      <c r="D207" s="1" t="s">
        <v>18</v>
      </c>
      <c r="E207">
        <v>392</v>
      </c>
      <c r="F207">
        <v>93.11</v>
      </c>
      <c r="G207">
        <v>3</v>
      </c>
      <c r="H207" s="1" t="s">
        <v>220</v>
      </c>
    </row>
    <row r="208" spans="1:8" x14ac:dyDescent="0.25">
      <c r="A208" s="1" t="s">
        <v>17</v>
      </c>
      <c r="B208" s="1" t="s">
        <v>249</v>
      </c>
      <c r="C208">
        <v>60</v>
      </c>
      <c r="D208" s="1" t="s">
        <v>18</v>
      </c>
      <c r="E208">
        <v>306</v>
      </c>
      <c r="F208">
        <v>63.83</v>
      </c>
      <c r="G208">
        <v>2</v>
      </c>
      <c r="H208" s="1" t="s">
        <v>220</v>
      </c>
    </row>
    <row r="209" spans="1:8" x14ac:dyDescent="0.25">
      <c r="A209" s="1" t="s">
        <v>17</v>
      </c>
      <c r="B209" s="1" t="s">
        <v>250</v>
      </c>
      <c r="C209">
        <v>9</v>
      </c>
      <c r="D209" s="1" t="s">
        <v>13</v>
      </c>
      <c r="E209">
        <v>255</v>
      </c>
      <c r="F209">
        <v>95.13</v>
      </c>
      <c r="G209">
        <v>1</v>
      </c>
      <c r="H209" s="1" t="s">
        <v>220</v>
      </c>
    </row>
    <row r="210" spans="1:8" x14ac:dyDescent="0.25">
      <c r="A210" s="1" t="s">
        <v>31</v>
      </c>
      <c r="B210" s="1" t="s">
        <v>251</v>
      </c>
      <c r="C210">
        <v>11</v>
      </c>
      <c r="D210" s="1" t="s">
        <v>18</v>
      </c>
      <c r="E210">
        <v>52</v>
      </c>
      <c r="F210">
        <v>76.53</v>
      </c>
      <c r="G210">
        <v>5</v>
      </c>
      <c r="H210" s="1" t="s">
        <v>220</v>
      </c>
    </row>
    <row r="211" spans="1:8" x14ac:dyDescent="0.25">
      <c r="A211" s="1" t="s">
        <v>24</v>
      </c>
      <c r="B211" s="1" t="s">
        <v>252</v>
      </c>
      <c r="C211">
        <v>71</v>
      </c>
      <c r="D211" s="1" t="s">
        <v>18</v>
      </c>
      <c r="E211">
        <v>364</v>
      </c>
      <c r="F211">
        <v>39.58</v>
      </c>
      <c r="G211">
        <v>1</v>
      </c>
      <c r="H211" s="1" t="s">
        <v>220</v>
      </c>
    </row>
    <row r="212" spans="1:8" x14ac:dyDescent="0.25">
      <c r="A212" s="1" t="s">
        <v>9</v>
      </c>
      <c r="B212" s="1" t="s">
        <v>253</v>
      </c>
      <c r="C212">
        <v>85</v>
      </c>
      <c r="D212" s="1" t="s">
        <v>10</v>
      </c>
      <c r="E212">
        <v>274</v>
      </c>
      <c r="F212">
        <v>35.03</v>
      </c>
      <c r="G212">
        <v>1</v>
      </c>
      <c r="H212" s="1" t="s">
        <v>220</v>
      </c>
    </row>
    <row r="213" spans="1:8" x14ac:dyDescent="0.25">
      <c r="A213" s="1" t="s">
        <v>126</v>
      </c>
      <c r="B213" s="1" t="s">
        <v>254</v>
      </c>
      <c r="C213">
        <v>32</v>
      </c>
      <c r="D213" s="1" t="s">
        <v>21</v>
      </c>
      <c r="E213">
        <v>405</v>
      </c>
      <c r="F213">
        <v>67.92</v>
      </c>
      <c r="G213">
        <v>3</v>
      </c>
      <c r="H213" s="1" t="s">
        <v>220</v>
      </c>
    </row>
    <row r="214" spans="1:8" x14ac:dyDescent="0.25">
      <c r="A214" s="1" t="s">
        <v>57</v>
      </c>
      <c r="B214" s="1" t="s">
        <v>255</v>
      </c>
      <c r="C214">
        <v>92</v>
      </c>
      <c r="D214" s="1" t="s">
        <v>18</v>
      </c>
      <c r="E214">
        <v>472</v>
      </c>
      <c r="F214">
        <v>78.44</v>
      </c>
      <c r="G214">
        <v>1</v>
      </c>
      <c r="H214" s="1" t="s">
        <v>220</v>
      </c>
    </row>
    <row r="215" spans="1:8" x14ac:dyDescent="0.25">
      <c r="A215" s="1" t="s">
        <v>48</v>
      </c>
      <c r="B215" s="1" t="s">
        <v>256</v>
      </c>
      <c r="C215">
        <v>57</v>
      </c>
      <c r="D215" s="1" t="s">
        <v>21</v>
      </c>
      <c r="E215">
        <v>435</v>
      </c>
      <c r="F215">
        <v>56.88</v>
      </c>
      <c r="G215">
        <v>4</v>
      </c>
      <c r="H215" s="1" t="s">
        <v>220</v>
      </c>
    </row>
    <row r="216" spans="1:8" x14ac:dyDescent="0.25">
      <c r="A216" s="1" t="s">
        <v>20</v>
      </c>
      <c r="B216" s="1" t="s">
        <v>257</v>
      </c>
      <c r="C216">
        <v>18</v>
      </c>
      <c r="D216" s="1" t="s">
        <v>18</v>
      </c>
      <c r="E216">
        <v>291</v>
      </c>
      <c r="F216">
        <v>97.98</v>
      </c>
      <c r="G216">
        <v>1</v>
      </c>
      <c r="H216" s="1" t="s">
        <v>220</v>
      </c>
    </row>
    <row r="217" spans="1:8" x14ac:dyDescent="0.25">
      <c r="A217" s="1" t="s">
        <v>37</v>
      </c>
      <c r="B217" s="1" t="s">
        <v>258</v>
      </c>
      <c r="C217">
        <v>61</v>
      </c>
      <c r="D217" s="1" t="s">
        <v>21</v>
      </c>
      <c r="E217">
        <v>87</v>
      </c>
      <c r="F217">
        <v>68.319999999999993</v>
      </c>
      <c r="G217">
        <v>2</v>
      </c>
      <c r="H217" s="1" t="s">
        <v>220</v>
      </c>
    </row>
    <row r="218" spans="1:8" x14ac:dyDescent="0.25">
      <c r="A218" s="1" t="s">
        <v>126</v>
      </c>
      <c r="B218" s="1" t="s">
        <v>259</v>
      </c>
      <c r="C218">
        <v>106</v>
      </c>
      <c r="D218" s="1" t="s">
        <v>21</v>
      </c>
      <c r="E218">
        <v>128</v>
      </c>
      <c r="F218">
        <v>35.96</v>
      </c>
      <c r="G218">
        <v>2</v>
      </c>
      <c r="H218" s="1" t="s">
        <v>220</v>
      </c>
    </row>
    <row r="219" spans="1:8" x14ac:dyDescent="0.25">
      <c r="A219" s="1" t="s">
        <v>48</v>
      </c>
      <c r="B219" s="1" t="s">
        <v>260</v>
      </c>
      <c r="C219">
        <v>36</v>
      </c>
      <c r="D219" s="1" t="s">
        <v>18</v>
      </c>
      <c r="E219">
        <v>491</v>
      </c>
      <c r="F219">
        <v>12.13</v>
      </c>
      <c r="G219">
        <v>4</v>
      </c>
      <c r="H219" s="1" t="s">
        <v>220</v>
      </c>
    </row>
    <row r="220" spans="1:8" x14ac:dyDescent="0.25">
      <c r="A220" s="1" t="s">
        <v>68</v>
      </c>
      <c r="B220" s="1" t="s">
        <v>261</v>
      </c>
      <c r="C220">
        <v>108</v>
      </c>
      <c r="D220" s="1" t="s">
        <v>13</v>
      </c>
      <c r="E220">
        <v>48</v>
      </c>
      <c r="F220">
        <v>86.22</v>
      </c>
      <c r="G220">
        <v>3</v>
      </c>
      <c r="H220" s="1" t="s">
        <v>220</v>
      </c>
    </row>
    <row r="221" spans="1:8" x14ac:dyDescent="0.25">
      <c r="A221" s="1" t="s">
        <v>126</v>
      </c>
      <c r="B221" s="1" t="s">
        <v>262</v>
      </c>
      <c r="C221">
        <v>21</v>
      </c>
      <c r="D221" s="1" t="s">
        <v>18</v>
      </c>
      <c r="E221">
        <v>307</v>
      </c>
      <c r="F221">
        <v>39.81</v>
      </c>
      <c r="G221">
        <v>5</v>
      </c>
      <c r="H221" s="1" t="s">
        <v>220</v>
      </c>
    </row>
    <row r="222" spans="1:8" x14ac:dyDescent="0.25">
      <c r="A222" s="1" t="s">
        <v>72</v>
      </c>
      <c r="B222" s="1" t="s">
        <v>263</v>
      </c>
      <c r="C222">
        <v>108</v>
      </c>
      <c r="D222" s="1" t="s">
        <v>10</v>
      </c>
      <c r="E222">
        <v>323</v>
      </c>
      <c r="F222">
        <v>58.54</v>
      </c>
      <c r="G222">
        <v>2</v>
      </c>
      <c r="H222" s="1" t="s">
        <v>220</v>
      </c>
    </row>
    <row r="223" spans="1:8" x14ac:dyDescent="0.25">
      <c r="A223" s="1" t="s">
        <v>118</v>
      </c>
      <c r="B223" s="1" t="s">
        <v>264</v>
      </c>
      <c r="C223">
        <v>78</v>
      </c>
      <c r="D223" s="1" t="s">
        <v>21</v>
      </c>
      <c r="E223">
        <v>198</v>
      </c>
      <c r="F223">
        <v>69.849999999999994</v>
      </c>
      <c r="G223">
        <v>0</v>
      </c>
      <c r="H223" s="1" t="s">
        <v>220</v>
      </c>
    </row>
    <row r="224" spans="1:8" x14ac:dyDescent="0.25">
      <c r="A224" s="1" t="s">
        <v>27</v>
      </c>
      <c r="B224" s="1" t="s">
        <v>265</v>
      </c>
      <c r="C224">
        <v>13</v>
      </c>
      <c r="D224" s="1" t="s">
        <v>13</v>
      </c>
      <c r="E224">
        <v>347</v>
      </c>
      <c r="F224">
        <v>32.35</v>
      </c>
      <c r="G224">
        <v>2</v>
      </c>
      <c r="H224" s="1" t="s">
        <v>220</v>
      </c>
    </row>
    <row r="225" spans="1:8" x14ac:dyDescent="0.25">
      <c r="A225" s="1" t="s">
        <v>62</v>
      </c>
      <c r="B225" s="1" t="s">
        <v>266</v>
      </c>
      <c r="C225">
        <v>23</v>
      </c>
      <c r="D225" s="1" t="s">
        <v>13</v>
      </c>
      <c r="E225">
        <v>473</v>
      </c>
      <c r="F225">
        <v>71.86</v>
      </c>
      <c r="G225">
        <v>3</v>
      </c>
      <c r="H225" s="1" t="s">
        <v>220</v>
      </c>
    </row>
    <row r="226" spans="1:8" x14ac:dyDescent="0.25">
      <c r="A226" s="1" t="s">
        <v>68</v>
      </c>
      <c r="B226" s="1" t="s">
        <v>268</v>
      </c>
      <c r="C226">
        <v>48</v>
      </c>
      <c r="D226" s="1" t="s">
        <v>10</v>
      </c>
      <c r="E226">
        <v>416</v>
      </c>
      <c r="F226">
        <v>81.260000000000005</v>
      </c>
      <c r="G226">
        <v>5</v>
      </c>
      <c r="H226" s="1" t="s">
        <v>267</v>
      </c>
    </row>
    <row r="227" spans="1:8" x14ac:dyDescent="0.25">
      <c r="A227" s="1" t="s">
        <v>29</v>
      </c>
      <c r="B227" s="1" t="s">
        <v>269</v>
      </c>
      <c r="C227">
        <v>50</v>
      </c>
      <c r="D227" s="1" t="s">
        <v>13</v>
      </c>
      <c r="E227">
        <v>108</v>
      </c>
      <c r="F227">
        <v>43.81</v>
      </c>
      <c r="G227">
        <v>5</v>
      </c>
      <c r="H227" s="1" t="s">
        <v>267</v>
      </c>
    </row>
    <row r="228" spans="1:8" x14ac:dyDescent="0.25">
      <c r="A228" s="1" t="s">
        <v>17</v>
      </c>
      <c r="B228" s="1" t="s">
        <v>270</v>
      </c>
      <c r="C228">
        <v>63</v>
      </c>
      <c r="D228" s="1" t="s">
        <v>21</v>
      </c>
      <c r="E228">
        <v>95</v>
      </c>
      <c r="F228">
        <v>56.81</v>
      </c>
      <c r="G228">
        <v>0</v>
      </c>
      <c r="H228" s="1" t="s">
        <v>267</v>
      </c>
    </row>
    <row r="229" spans="1:8" x14ac:dyDescent="0.25">
      <c r="A229" s="1" t="s">
        <v>9</v>
      </c>
      <c r="B229" s="1" t="s">
        <v>271</v>
      </c>
      <c r="C229">
        <v>40</v>
      </c>
      <c r="D229" s="1" t="s">
        <v>10</v>
      </c>
      <c r="E229">
        <v>102</v>
      </c>
      <c r="F229">
        <v>96.59</v>
      </c>
      <c r="G229">
        <v>5</v>
      </c>
      <c r="H229" s="1" t="s">
        <v>267</v>
      </c>
    </row>
    <row r="230" spans="1:8" x14ac:dyDescent="0.25">
      <c r="A230" s="1" t="s">
        <v>126</v>
      </c>
      <c r="B230" s="1" t="s">
        <v>272</v>
      </c>
      <c r="C230">
        <v>83</v>
      </c>
      <c r="D230" s="1" t="s">
        <v>21</v>
      </c>
      <c r="E230">
        <v>30</v>
      </c>
      <c r="F230">
        <v>33.93</v>
      </c>
      <c r="G230">
        <v>3</v>
      </c>
      <c r="H230" s="1" t="s">
        <v>267</v>
      </c>
    </row>
    <row r="231" spans="1:8" x14ac:dyDescent="0.25">
      <c r="A231" s="1" t="s">
        <v>41</v>
      </c>
      <c r="B231" s="1" t="s">
        <v>273</v>
      </c>
      <c r="C231">
        <v>76</v>
      </c>
      <c r="D231" s="1" t="s">
        <v>21</v>
      </c>
      <c r="E231">
        <v>383</v>
      </c>
      <c r="F231">
        <v>53.73</v>
      </c>
      <c r="G231">
        <v>2</v>
      </c>
      <c r="H231" s="1" t="s">
        <v>267</v>
      </c>
    </row>
    <row r="232" spans="1:8" x14ac:dyDescent="0.25">
      <c r="A232" s="1" t="s">
        <v>23</v>
      </c>
      <c r="B232" s="1" t="s">
        <v>274</v>
      </c>
      <c r="C232">
        <v>10</v>
      </c>
      <c r="D232" s="1" t="s">
        <v>18</v>
      </c>
      <c r="E232">
        <v>93</v>
      </c>
      <c r="F232">
        <v>78.12</v>
      </c>
      <c r="G232">
        <v>4</v>
      </c>
      <c r="H232" s="1" t="s">
        <v>267</v>
      </c>
    </row>
    <row r="233" spans="1:8" x14ac:dyDescent="0.25">
      <c r="A233" s="1" t="s">
        <v>61</v>
      </c>
      <c r="B233" s="1" t="s">
        <v>275</v>
      </c>
      <c r="C233">
        <v>114</v>
      </c>
      <c r="D233" s="1" t="s">
        <v>18</v>
      </c>
      <c r="E233">
        <v>388</v>
      </c>
      <c r="F233">
        <v>40.29</v>
      </c>
      <c r="G233">
        <v>5</v>
      </c>
      <c r="H233" s="1" t="s">
        <v>267</v>
      </c>
    </row>
    <row r="234" spans="1:8" x14ac:dyDescent="0.25">
      <c r="A234" s="1" t="s">
        <v>126</v>
      </c>
      <c r="B234" s="1" t="s">
        <v>276</v>
      </c>
      <c r="C234">
        <v>5</v>
      </c>
      <c r="D234" s="1" t="s">
        <v>13</v>
      </c>
      <c r="E234">
        <v>98</v>
      </c>
      <c r="F234">
        <v>71.37</v>
      </c>
      <c r="G234">
        <v>1</v>
      </c>
      <c r="H234" s="1" t="s">
        <v>267</v>
      </c>
    </row>
    <row r="235" spans="1:8" x14ac:dyDescent="0.25">
      <c r="A235" s="1" t="s">
        <v>122</v>
      </c>
      <c r="B235" s="1" t="s">
        <v>277</v>
      </c>
      <c r="C235">
        <v>118</v>
      </c>
      <c r="D235" s="1" t="s">
        <v>13</v>
      </c>
      <c r="E235">
        <v>132</v>
      </c>
      <c r="F235">
        <v>40.880000000000003</v>
      </c>
      <c r="G235">
        <v>4</v>
      </c>
      <c r="H235" s="1" t="s">
        <v>267</v>
      </c>
    </row>
    <row r="236" spans="1:8" x14ac:dyDescent="0.25">
      <c r="A236" s="1" t="s">
        <v>9</v>
      </c>
      <c r="B236" s="1" t="s">
        <v>278</v>
      </c>
      <c r="C236">
        <v>16</v>
      </c>
      <c r="D236" s="1" t="s">
        <v>18</v>
      </c>
      <c r="E236">
        <v>461</v>
      </c>
      <c r="F236">
        <v>38.369999999999997</v>
      </c>
      <c r="G236">
        <v>4</v>
      </c>
      <c r="H236" s="1" t="s">
        <v>267</v>
      </c>
    </row>
    <row r="237" spans="1:8" x14ac:dyDescent="0.25">
      <c r="A237" s="1" t="s">
        <v>37</v>
      </c>
      <c r="B237" s="1" t="s">
        <v>279</v>
      </c>
      <c r="C237">
        <v>50</v>
      </c>
      <c r="D237" s="1" t="s">
        <v>21</v>
      </c>
      <c r="E237">
        <v>446</v>
      </c>
      <c r="F237">
        <v>31.56</v>
      </c>
      <c r="G237">
        <v>5</v>
      </c>
      <c r="H237" s="1" t="s">
        <v>267</v>
      </c>
    </row>
    <row r="238" spans="1:8" x14ac:dyDescent="0.25">
      <c r="A238" s="1" t="s">
        <v>126</v>
      </c>
      <c r="B238" s="1" t="s">
        <v>280</v>
      </c>
      <c r="C238">
        <v>120</v>
      </c>
      <c r="D238" s="1" t="s">
        <v>13</v>
      </c>
      <c r="E238">
        <v>209</v>
      </c>
      <c r="F238">
        <v>42.51</v>
      </c>
      <c r="G238">
        <v>4</v>
      </c>
      <c r="H238" s="1" t="s">
        <v>267</v>
      </c>
    </row>
    <row r="239" spans="1:8" x14ac:dyDescent="0.25">
      <c r="A239" s="1" t="s">
        <v>33</v>
      </c>
      <c r="B239" s="1" t="s">
        <v>281</v>
      </c>
      <c r="C239">
        <v>73</v>
      </c>
      <c r="D239" s="1" t="s">
        <v>21</v>
      </c>
      <c r="E239">
        <v>225</v>
      </c>
      <c r="F239">
        <v>45.86</v>
      </c>
      <c r="G239">
        <v>0</v>
      </c>
      <c r="H239" s="1" t="s">
        <v>267</v>
      </c>
    </row>
    <row r="240" spans="1:8" x14ac:dyDescent="0.25">
      <c r="A240" s="1" t="s">
        <v>29</v>
      </c>
      <c r="B240" s="1" t="s">
        <v>282</v>
      </c>
      <c r="C240">
        <v>21</v>
      </c>
      <c r="D240" s="1" t="s">
        <v>13</v>
      </c>
      <c r="E240">
        <v>320</v>
      </c>
      <c r="F240">
        <v>64.97</v>
      </c>
      <c r="G240">
        <v>1</v>
      </c>
      <c r="H240" s="1" t="s">
        <v>267</v>
      </c>
    </row>
    <row r="241" spans="1:8" x14ac:dyDescent="0.25">
      <c r="A241" s="1" t="s">
        <v>57</v>
      </c>
      <c r="B241" s="1" t="s">
        <v>283</v>
      </c>
      <c r="C241">
        <v>25</v>
      </c>
      <c r="D241" s="1" t="s">
        <v>10</v>
      </c>
      <c r="E241">
        <v>467</v>
      </c>
      <c r="F241">
        <v>97.78</v>
      </c>
      <c r="G241">
        <v>3</v>
      </c>
      <c r="H241" s="1" t="s">
        <v>267</v>
      </c>
    </row>
    <row r="242" spans="1:8" x14ac:dyDescent="0.25">
      <c r="A242" s="1" t="s">
        <v>41</v>
      </c>
      <c r="B242" s="1" t="s">
        <v>284</v>
      </c>
      <c r="C242">
        <v>98</v>
      </c>
      <c r="D242" s="1" t="s">
        <v>10</v>
      </c>
      <c r="E242">
        <v>319</v>
      </c>
      <c r="F242">
        <v>88.58</v>
      </c>
      <c r="G242">
        <v>0</v>
      </c>
      <c r="H242" s="1" t="s">
        <v>267</v>
      </c>
    </row>
    <row r="243" spans="1:8" x14ac:dyDescent="0.25">
      <c r="A243" s="1" t="s">
        <v>57</v>
      </c>
      <c r="B243" s="1" t="s">
        <v>285</v>
      </c>
      <c r="C243">
        <v>56</v>
      </c>
      <c r="D243" s="1" t="s">
        <v>13</v>
      </c>
      <c r="E243">
        <v>55</v>
      </c>
      <c r="F243">
        <v>82.56</v>
      </c>
      <c r="G243">
        <v>2</v>
      </c>
      <c r="H243" s="1" t="s">
        <v>267</v>
      </c>
    </row>
    <row r="244" spans="1:8" x14ac:dyDescent="0.25">
      <c r="A244" s="1" t="s">
        <v>17</v>
      </c>
      <c r="B244" s="1" t="s">
        <v>286</v>
      </c>
      <c r="C244">
        <v>33</v>
      </c>
      <c r="D244" s="1" t="s">
        <v>10</v>
      </c>
      <c r="E244">
        <v>444</v>
      </c>
      <c r="F244">
        <v>10.28</v>
      </c>
      <c r="G244">
        <v>5</v>
      </c>
      <c r="H244" s="1" t="s">
        <v>267</v>
      </c>
    </row>
    <row r="245" spans="1:8" x14ac:dyDescent="0.25">
      <c r="A245" s="1" t="s">
        <v>27</v>
      </c>
      <c r="B245" s="1" t="s">
        <v>287</v>
      </c>
      <c r="C245">
        <v>99</v>
      </c>
      <c r="D245" s="1" t="s">
        <v>13</v>
      </c>
      <c r="E245">
        <v>325</v>
      </c>
      <c r="F245">
        <v>88.35</v>
      </c>
      <c r="G245">
        <v>4</v>
      </c>
      <c r="H245" s="1" t="s">
        <v>267</v>
      </c>
    </row>
    <row r="246" spans="1:8" x14ac:dyDescent="0.25">
      <c r="A246" s="1" t="s">
        <v>62</v>
      </c>
      <c r="B246" s="1" t="s">
        <v>288</v>
      </c>
      <c r="C246">
        <v>117</v>
      </c>
      <c r="D246" s="1" t="s">
        <v>18</v>
      </c>
      <c r="E246">
        <v>85</v>
      </c>
      <c r="F246">
        <v>46.16</v>
      </c>
      <c r="G246">
        <v>3</v>
      </c>
      <c r="H246" s="1" t="s">
        <v>267</v>
      </c>
    </row>
    <row r="247" spans="1:8" x14ac:dyDescent="0.25">
      <c r="A247" s="1" t="s">
        <v>122</v>
      </c>
      <c r="B247" s="1" t="s">
        <v>289</v>
      </c>
      <c r="C247">
        <v>97</v>
      </c>
      <c r="D247" s="1" t="s">
        <v>18</v>
      </c>
      <c r="E247">
        <v>40</v>
      </c>
      <c r="F247">
        <v>85.19</v>
      </c>
      <c r="G247">
        <v>1</v>
      </c>
      <c r="H247" s="1" t="s">
        <v>267</v>
      </c>
    </row>
    <row r="248" spans="1:8" x14ac:dyDescent="0.25">
      <c r="A248" s="1" t="s">
        <v>118</v>
      </c>
      <c r="B248" s="1" t="s">
        <v>290</v>
      </c>
      <c r="C248">
        <v>93</v>
      </c>
      <c r="D248" s="1" t="s">
        <v>10</v>
      </c>
      <c r="E248">
        <v>150</v>
      </c>
      <c r="F248">
        <v>93.25</v>
      </c>
      <c r="G248">
        <v>3</v>
      </c>
      <c r="H248" s="1" t="s">
        <v>267</v>
      </c>
    </row>
    <row r="249" spans="1:8" x14ac:dyDescent="0.25">
      <c r="A249" s="1" t="s">
        <v>33</v>
      </c>
      <c r="B249" s="1" t="s">
        <v>291</v>
      </c>
      <c r="C249">
        <v>45</v>
      </c>
      <c r="D249" s="1" t="s">
        <v>21</v>
      </c>
      <c r="E249">
        <v>43</v>
      </c>
      <c r="F249">
        <v>12.31</v>
      </c>
      <c r="G249">
        <v>0</v>
      </c>
      <c r="H249" s="1" t="s">
        <v>267</v>
      </c>
    </row>
    <row r="250" spans="1:8" x14ac:dyDescent="0.25">
      <c r="A250" s="1" t="s">
        <v>118</v>
      </c>
      <c r="B250" s="1" t="s">
        <v>292</v>
      </c>
      <c r="C250">
        <v>66</v>
      </c>
      <c r="D250" s="1" t="s">
        <v>10</v>
      </c>
      <c r="E250">
        <v>193</v>
      </c>
      <c r="F250">
        <v>21.06</v>
      </c>
      <c r="G250">
        <v>3</v>
      </c>
      <c r="H250" s="1" t="s">
        <v>267</v>
      </c>
    </row>
    <row r="251" spans="1:8" x14ac:dyDescent="0.25">
      <c r="A251" s="1" t="s">
        <v>33</v>
      </c>
      <c r="B251" s="1" t="s">
        <v>293</v>
      </c>
      <c r="C251">
        <v>91</v>
      </c>
      <c r="D251" s="1" t="s">
        <v>21</v>
      </c>
      <c r="E251">
        <v>63</v>
      </c>
      <c r="F251">
        <v>57.76</v>
      </c>
      <c r="G251">
        <v>5</v>
      </c>
      <c r="H251" s="1" t="s">
        <v>267</v>
      </c>
    </row>
    <row r="252" spans="1:8" x14ac:dyDescent="0.25">
      <c r="A252" s="1" t="s">
        <v>57</v>
      </c>
      <c r="B252" s="1" t="s">
        <v>294</v>
      </c>
      <c r="C252">
        <v>82</v>
      </c>
      <c r="D252" s="1" t="s">
        <v>10</v>
      </c>
      <c r="E252">
        <v>32</v>
      </c>
      <c r="F252">
        <v>77.63</v>
      </c>
      <c r="G252">
        <v>1</v>
      </c>
      <c r="H252" s="1" t="s">
        <v>267</v>
      </c>
    </row>
    <row r="253" spans="1:8" x14ac:dyDescent="0.25">
      <c r="A253" s="1" t="s">
        <v>29</v>
      </c>
      <c r="B253" s="1" t="s">
        <v>295</v>
      </c>
      <c r="C253">
        <v>89</v>
      </c>
      <c r="D253" s="1" t="s">
        <v>18</v>
      </c>
      <c r="E253">
        <v>175</v>
      </c>
      <c r="F253">
        <v>32.369999999999997</v>
      </c>
      <c r="G253">
        <v>1</v>
      </c>
      <c r="H253" s="1" t="s">
        <v>267</v>
      </c>
    </row>
    <row r="254" spans="1:8" x14ac:dyDescent="0.25">
      <c r="A254" s="1" t="s">
        <v>24</v>
      </c>
      <c r="B254" s="1" t="s">
        <v>296</v>
      </c>
      <c r="C254">
        <v>48</v>
      </c>
      <c r="D254" s="1" t="s">
        <v>21</v>
      </c>
      <c r="E254">
        <v>15</v>
      </c>
      <c r="F254">
        <v>50.67</v>
      </c>
      <c r="G254">
        <v>1</v>
      </c>
      <c r="H254" s="1" t="s">
        <v>267</v>
      </c>
    </row>
    <row r="255" spans="1:8" x14ac:dyDescent="0.25">
      <c r="A255" s="1" t="s">
        <v>37</v>
      </c>
      <c r="B255" s="1" t="s">
        <v>297</v>
      </c>
      <c r="C255">
        <v>90</v>
      </c>
      <c r="D255" s="1" t="s">
        <v>13</v>
      </c>
      <c r="E255">
        <v>299</v>
      </c>
      <c r="F255">
        <v>71.760000000000005</v>
      </c>
      <c r="G255">
        <v>1</v>
      </c>
      <c r="H255" s="1" t="s">
        <v>267</v>
      </c>
    </row>
    <row r="256" spans="1:8" x14ac:dyDescent="0.25">
      <c r="A256" s="1" t="s">
        <v>72</v>
      </c>
      <c r="B256" s="1" t="s">
        <v>298</v>
      </c>
      <c r="C256">
        <v>8</v>
      </c>
      <c r="D256" s="1" t="s">
        <v>18</v>
      </c>
      <c r="E256">
        <v>120</v>
      </c>
      <c r="F256">
        <v>88.29</v>
      </c>
      <c r="G256">
        <v>5</v>
      </c>
      <c r="H256" s="1" t="s">
        <v>267</v>
      </c>
    </row>
    <row r="257" spans="1:8" x14ac:dyDescent="0.25">
      <c r="A257" s="1" t="s">
        <v>41</v>
      </c>
      <c r="B257" s="1" t="s">
        <v>299</v>
      </c>
      <c r="C257">
        <v>84</v>
      </c>
      <c r="D257" s="1" t="s">
        <v>18</v>
      </c>
      <c r="E257">
        <v>244</v>
      </c>
      <c r="F257">
        <v>56.34</v>
      </c>
      <c r="G257">
        <v>5</v>
      </c>
      <c r="H257" s="1" t="s">
        <v>267</v>
      </c>
    </row>
    <row r="258" spans="1:8" x14ac:dyDescent="0.25">
      <c r="A258" s="1" t="s">
        <v>35</v>
      </c>
      <c r="B258" s="1" t="s">
        <v>300</v>
      </c>
      <c r="C258">
        <v>50</v>
      </c>
      <c r="D258" s="1" t="s">
        <v>18</v>
      </c>
      <c r="E258">
        <v>248</v>
      </c>
      <c r="F258">
        <v>69.42</v>
      </c>
      <c r="G258">
        <v>0</v>
      </c>
      <c r="H258" s="1" t="s">
        <v>267</v>
      </c>
    </row>
    <row r="259" spans="1:8" x14ac:dyDescent="0.25">
      <c r="A259" s="1" t="s">
        <v>24</v>
      </c>
      <c r="B259" s="1" t="s">
        <v>301</v>
      </c>
      <c r="C259">
        <v>119</v>
      </c>
      <c r="D259" s="1" t="s">
        <v>13</v>
      </c>
      <c r="E259">
        <v>344</v>
      </c>
      <c r="F259">
        <v>10.28</v>
      </c>
      <c r="G259">
        <v>0</v>
      </c>
      <c r="H259" s="1" t="s">
        <v>267</v>
      </c>
    </row>
    <row r="260" spans="1:8" x14ac:dyDescent="0.25">
      <c r="A260" s="1" t="s">
        <v>31</v>
      </c>
      <c r="B260" s="1" t="s">
        <v>302</v>
      </c>
      <c r="C260">
        <v>55</v>
      </c>
      <c r="D260" s="1" t="s">
        <v>13</v>
      </c>
      <c r="E260">
        <v>389</v>
      </c>
      <c r="F260">
        <v>67.430000000000007</v>
      </c>
      <c r="G260">
        <v>3</v>
      </c>
      <c r="H260" s="1" t="s">
        <v>267</v>
      </c>
    </row>
    <row r="261" spans="1:8" x14ac:dyDescent="0.25">
      <c r="A261" s="1" t="s">
        <v>41</v>
      </c>
      <c r="B261" s="1" t="s">
        <v>303</v>
      </c>
      <c r="C261">
        <v>95</v>
      </c>
      <c r="D261" s="1" t="s">
        <v>10</v>
      </c>
      <c r="E261">
        <v>51</v>
      </c>
      <c r="F261">
        <v>94.77</v>
      </c>
      <c r="G261">
        <v>5</v>
      </c>
      <c r="H261" s="1" t="s">
        <v>267</v>
      </c>
    </row>
    <row r="262" spans="1:8" x14ac:dyDescent="0.25">
      <c r="A262" s="1" t="s">
        <v>61</v>
      </c>
      <c r="B262" s="1" t="s">
        <v>304</v>
      </c>
      <c r="C262">
        <v>32</v>
      </c>
      <c r="D262" s="1" t="s">
        <v>21</v>
      </c>
      <c r="E262">
        <v>31</v>
      </c>
      <c r="F262">
        <v>67.040000000000006</v>
      </c>
      <c r="G262">
        <v>1</v>
      </c>
      <c r="H262" s="1" t="s">
        <v>267</v>
      </c>
    </row>
    <row r="263" spans="1:8" x14ac:dyDescent="0.25">
      <c r="A263" s="1" t="s">
        <v>61</v>
      </c>
      <c r="B263" s="1" t="s">
        <v>305</v>
      </c>
      <c r="C263">
        <v>62</v>
      </c>
      <c r="D263" s="1" t="s">
        <v>21</v>
      </c>
      <c r="E263">
        <v>136</v>
      </c>
      <c r="F263">
        <v>88.61</v>
      </c>
      <c r="G263">
        <v>2</v>
      </c>
      <c r="H263" s="1" t="s">
        <v>267</v>
      </c>
    </row>
    <row r="264" spans="1:8" x14ac:dyDescent="0.25">
      <c r="A264" s="1" t="s">
        <v>68</v>
      </c>
      <c r="B264" s="1" t="s">
        <v>306</v>
      </c>
      <c r="C264">
        <v>5</v>
      </c>
      <c r="D264" s="1" t="s">
        <v>10</v>
      </c>
      <c r="E264">
        <v>384</v>
      </c>
      <c r="F264">
        <v>97.26</v>
      </c>
      <c r="G264">
        <v>3</v>
      </c>
      <c r="H264" s="1" t="s">
        <v>267</v>
      </c>
    </row>
    <row r="265" spans="1:8" x14ac:dyDescent="0.25">
      <c r="A265" s="1" t="s">
        <v>17</v>
      </c>
      <c r="B265" s="1" t="s">
        <v>307</v>
      </c>
      <c r="C265">
        <v>118</v>
      </c>
      <c r="D265" s="1" t="s">
        <v>21</v>
      </c>
      <c r="E265">
        <v>489</v>
      </c>
      <c r="F265">
        <v>76.22</v>
      </c>
      <c r="G265">
        <v>2</v>
      </c>
      <c r="H265" s="1" t="s">
        <v>267</v>
      </c>
    </row>
    <row r="266" spans="1:8" x14ac:dyDescent="0.25">
      <c r="A266" s="1" t="s">
        <v>17</v>
      </c>
      <c r="B266" s="1" t="s">
        <v>308</v>
      </c>
      <c r="C266">
        <v>105</v>
      </c>
      <c r="D266" s="1" t="s">
        <v>21</v>
      </c>
      <c r="E266">
        <v>3</v>
      </c>
      <c r="F266">
        <v>71.010000000000005</v>
      </c>
      <c r="G266">
        <v>1</v>
      </c>
      <c r="H266" s="1" t="s">
        <v>267</v>
      </c>
    </row>
    <row r="267" spans="1:8" x14ac:dyDescent="0.25">
      <c r="A267" s="1" t="s">
        <v>20</v>
      </c>
      <c r="B267" s="1" t="s">
        <v>309</v>
      </c>
      <c r="C267">
        <v>47</v>
      </c>
      <c r="D267" s="1" t="s">
        <v>21</v>
      </c>
      <c r="E267">
        <v>340</v>
      </c>
      <c r="F267">
        <v>31.02</v>
      </c>
      <c r="G267">
        <v>5</v>
      </c>
      <c r="H267" s="1" t="s">
        <v>267</v>
      </c>
    </row>
    <row r="268" spans="1:8" x14ac:dyDescent="0.25">
      <c r="A268" s="1" t="s">
        <v>24</v>
      </c>
      <c r="B268" s="1" t="s">
        <v>310</v>
      </c>
      <c r="C268">
        <v>81</v>
      </c>
      <c r="D268" s="1" t="s">
        <v>13</v>
      </c>
      <c r="E268">
        <v>298</v>
      </c>
      <c r="F268">
        <v>53.61</v>
      </c>
      <c r="G268">
        <v>2</v>
      </c>
      <c r="H268" s="1" t="s">
        <v>267</v>
      </c>
    </row>
    <row r="269" spans="1:8" x14ac:dyDescent="0.25">
      <c r="A269" s="1" t="s">
        <v>122</v>
      </c>
      <c r="B269" s="1" t="s">
        <v>311</v>
      </c>
      <c r="C269">
        <v>91</v>
      </c>
      <c r="D269" s="1" t="s">
        <v>21</v>
      </c>
      <c r="E269">
        <v>404</v>
      </c>
      <c r="F269">
        <v>76.53</v>
      </c>
      <c r="G269">
        <v>5</v>
      </c>
      <c r="H269" s="1" t="s">
        <v>267</v>
      </c>
    </row>
    <row r="270" spans="1:8" x14ac:dyDescent="0.25">
      <c r="A270" s="1" t="s">
        <v>9</v>
      </c>
      <c r="B270" s="1" t="s">
        <v>312</v>
      </c>
      <c r="C270">
        <v>87</v>
      </c>
      <c r="D270" s="1" t="s">
        <v>18</v>
      </c>
      <c r="E270">
        <v>21</v>
      </c>
      <c r="F270">
        <v>81.459999999999994</v>
      </c>
      <c r="G270">
        <v>3</v>
      </c>
      <c r="H270" s="1" t="s">
        <v>267</v>
      </c>
    </row>
    <row r="271" spans="1:8" x14ac:dyDescent="0.25">
      <c r="A271" s="1" t="s">
        <v>122</v>
      </c>
      <c r="B271" s="1" t="s">
        <v>313</v>
      </c>
      <c r="C271">
        <v>4</v>
      </c>
      <c r="D271" s="1" t="s">
        <v>13</v>
      </c>
      <c r="E271">
        <v>49</v>
      </c>
      <c r="F271">
        <v>41.35</v>
      </c>
      <c r="G271">
        <v>5</v>
      </c>
      <c r="H271" s="1" t="s">
        <v>267</v>
      </c>
    </row>
    <row r="272" spans="1:8" x14ac:dyDescent="0.25">
      <c r="A272" s="1" t="s">
        <v>15</v>
      </c>
      <c r="B272" s="1" t="s">
        <v>315</v>
      </c>
      <c r="C272">
        <v>76</v>
      </c>
      <c r="D272" s="1" t="s">
        <v>18</v>
      </c>
      <c r="E272">
        <v>192</v>
      </c>
      <c r="F272">
        <v>68.53</v>
      </c>
      <c r="G272">
        <v>0</v>
      </c>
      <c r="H272" s="1" t="s">
        <v>314</v>
      </c>
    </row>
    <row r="273" spans="1:8" x14ac:dyDescent="0.25">
      <c r="A273" s="1" t="s">
        <v>17</v>
      </c>
      <c r="B273" s="1" t="s">
        <v>316</v>
      </c>
      <c r="C273">
        <v>69</v>
      </c>
      <c r="D273" s="1" t="s">
        <v>10</v>
      </c>
      <c r="E273">
        <v>486</v>
      </c>
      <c r="F273">
        <v>34.770000000000003</v>
      </c>
      <c r="G273">
        <v>0</v>
      </c>
      <c r="H273" s="1" t="s">
        <v>314</v>
      </c>
    </row>
    <row r="274" spans="1:8" x14ac:dyDescent="0.25">
      <c r="A274" s="1" t="s">
        <v>24</v>
      </c>
      <c r="B274" s="1" t="s">
        <v>317</v>
      </c>
      <c r="C274">
        <v>25</v>
      </c>
      <c r="D274" s="1" t="s">
        <v>13</v>
      </c>
      <c r="E274">
        <v>218</v>
      </c>
      <c r="F274">
        <v>68.790000000000006</v>
      </c>
      <c r="G274">
        <v>0</v>
      </c>
      <c r="H274" s="1" t="s">
        <v>314</v>
      </c>
    </row>
    <row r="275" spans="1:8" x14ac:dyDescent="0.25">
      <c r="A275" s="1" t="s">
        <v>37</v>
      </c>
      <c r="B275" s="1" t="s">
        <v>318</v>
      </c>
      <c r="C275">
        <v>109</v>
      </c>
      <c r="D275" s="1" t="s">
        <v>21</v>
      </c>
      <c r="E275">
        <v>347</v>
      </c>
      <c r="F275">
        <v>43.06</v>
      </c>
      <c r="G275">
        <v>4</v>
      </c>
      <c r="H275" s="1" t="s">
        <v>314</v>
      </c>
    </row>
    <row r="276" spans="1:8" x14ac:dyDescent="0.25">
      <c r="A276" s="1" t="s">
        <v>35</v>
      </c>
      <c r="B276" s="1" t="s">
        <v>319</v>
      </c>
      <c r="C276">
        <v>55</v>
      </c>
      <c r="D276" s="1" t="s">
        <v>10</v>
      </c>
      <c r="E276">
        <v>86</v>
      </c>
      <c r="F276">
        <v>17.440000000000001</v>
      </c>
      <c r="G276">
        <v>2</v>
      </c>
      <c r="H276" s="1" t="s">
        <v>314</v>
      </c>
    </row>
    <row r="277" spans="1:8" x14ac:dyDescent="0.25">
      <c r="A277" s="1" t="s">
        <v>72</v>
      </c>
      <c r="B277" s="1" t="s">
        <v>320</v>
      </c>
      <c r="C277">
        <v>41</v>
      </c>
      <c r="D277" s="1" t="s">
        <v>13</v>
      </c>
      <c r="E277">
        <v>474</v>
      </c>
      <c r="F277">
        <v>54.03</v>
      </c>
      <c r="G277">
        <v>4</v>
      </c>
      <c r="H277" s="1" t="s">
        <v>314</v>
      </c>
    </row>
    <row r="278" spans="1:8" x14ac:dyDescent="0.25">
      <c r="A278" s="1" t="s">
        <v>54</v>
      </c>
      <c r="B278" s="1" t="s">
        <v>321</v>
      </c>
      <c r="C278">
        <v>99</v>
      </c>
      <c r="D278" s="1" t="s">
        <v>18</v>
      </c>
      <c r="E278">
        <v>28</v>
      </c>
      <c r="F278">
        <v>70.19</v>
      </c>
      <c r="G278">
        <v>1</v>
      </c>
      <c r="H278" s="1" t="s">
        <v>314</v>
      </c>
    </row>
    <row r="279" spans="1:8" x14ac:dyDescent="0.25">
      <c r="A279" s="1" t="s">
        <v>83</v>
      </c>
      <c r="B279" s="1" t="s">
        <v>322</v>
      </c>
      <c r="C279">
        <v>47</v>
      </c>
      <c r="D279" s="1" t="s">
        <v>10</v>
      </c>
      <c r="E279">
        <v>49</v>
      </c>
      <c r="F279">
        <v>55.88</v>
      </c>
      <c r="G279">
        <v>3</v>
      </c>
      <c r="H279" s="1" t="s">
        <v>314</v>
      </c>
    </row>
    <row r="280" spans="1:8" x14ac:dyDescent="0.25">
      <c r="A280" s="1" t="s">
        <v>126</v>
      </c>
      <c r="B280" s="1" t="s">
        <v>323</v>
      </c>
      <c r="C280">
        <v>103</v>
      </c>
      <c r="D280" s="1" t="s">
        <v>21</v>
      </c>
      <c r="E280">
        <v>182</v>
      </c>
      <c r="F280">
        <v>12.07</v>
      </c>
      <c r="G280">
        <v>5</v>
      </c>
      <c r="H280" s="1" t="s">
        <v>314</v>
      </c>
    </row>
    <row r="281" spans="1:8" x14ac:dyDescent="0.25">
      <c r="A281" s="1" t="s">
        <v>29</v>
      </c>
      <c r="B281" s="1" t="s">
        <v>324</v>
      </c>
      <c r="C281">
        <v>87</v>
      </c>
      <c r="D281" s="1" t="s">
        <v>21</v>
      </c>
      <c r="E281">
        <v>498</v>
      </c>
      <c r="F281">
        <v>61.57</v>
      </c>
      <c r="G281">
        <v>0</v>
      </c>
      <c r="H281" s="1" t="s">
        <v>314</v>
      </c>
    </row>
    <row r="282" spans="1:8" x14ac:dyDescent="0.25">
      <c r="A282" s="1" t="s">
        <v>37</v>
      </c>
      <c r="B282" s="1" t="s">
        <v>325</v>
      </c>
      <c r="C282">
        <v>120</v>
      </c>
      <c r="D282" s="1" t="s">
        <v>21</v>
      </c>
      <c r="E282">
        <v>242</v>
      </c>
      <c r="F282">
        <v>61.54</v>
      </c>
      <c r="G282">
        <v>1</v>
      </c>
      <c r="H282" s="1" t="s">
        <v>314</v>
      </c>
    </row>
    <row r="283" spans="1:8" x14ac:dyDescent="0.25">
      <c r="A283" s="1" t="s">
        <v>15</v>
      </c>
      <c r="B283" s="1" t="s">
        <v>326</v>
      </c>
      <c r="C283">
        <v>102</v>
      </c>
      <c r="D283" s="1" t="s">
        <v>18</v>
      </c>
      <c r="E283">
        <v>91</v>
      </c>
      <c r="F283">
        <v>34.64</v>
      </c>
      <c r="G283">
        <v>2</v>
      </c>
      <c r="H283" s="1" t="s">
        <v>314</v>
      </c>
    </row>
    <row r="284" spans="1:8" x14ac:dyDescent="0.25">
      <c r="A284" s="1" t="s">
        <v>72</v>
      </c>
      <c r="B284" s="1" t="s">
        <v>327</v>
      </c>
      <c r="C284">
        <v>17</v>
      </c>
      <c r="D284" s="1" t="s">
        <v>21</v>
      </c>
      <c r="E284">
        <v>483</v>
      </c>
      <c r="F284">
        <v>77.08</v>
      </c>
      <c r="G284">
        <v>0</v>
      </c>
      <c r="H284" s="1" t="s">
        <v>314</v>
      </c>
    </row>
    <row r="285" spans="1:8" x14ac:dyDescent="0.25">
      <c r="A285" s="1" t="s">
        <v>122</v>
      </c>
      <c r="B285" s="1" t="s">
        <v>328</v>
      </c>
      <c r="C285">
        <v>67</v>
      </c>
      <c r="D285" s="1" t="s">
        <v>13</v>
      </c>
      <c r="E285">
        <v>26</v>
      </c>
      <c r="F285">
        <v>81.489999999999995</v>
      </c>
      <c r="G285">
        <v>4</v>
      </c>
      <c r="H285" s="1" t="s">
        <v>314</v>
      </c>
    </row>
    <row r="286" spans="1:8" x14ac:dyDescent="0.25">
      <c r="A286" s="1" t="s">
        <v>17</v>
      </c>
      <c r="B286" s="1" t="s">
        <v>329</v>
      </c>
      <c r="C286">
        <v>78</v>
      </c>
      <c r="D286" s="1" t="s">
        <v>10</v>
      </c>
      <c r="E286">
        <v>263</v>
      </c>
      <c r="F286">
        <v>53.58</v>
      </c>
      <c r="G286">
        <v>5</v>
      </c>
      <c r="H286" s="1" t="s">
        <v>314</v>
      </c>
    </row>
    <row r="287" spans="1:8" x14ac:dyDescent="0.25">
      <c r="A287" s="1" t="s">
        <v>17</v>
      </c>
      <c r="B287" s="1" t="s">
        <v>330</v>
      </c>
      <c r="C287">
        <v>76</v>
      </c>
      <c r="D287" s="1" t="s">
        <v>21</v>
      </c>
      <c r="E287">
        <v>332</v>
      </c>
      <c r="F287">
        <v>68.010000000000005</v>
      </c>
      <c r="G287">
        <v>4</v>
      </c>
      <c r="H287" s="1" t="s">
        <v>314</v>
      </c>
    </row>
    <row r="288" spans="1:8" x14ac:dyDescent="0.25">
      <c r="A288" s="1" t="s">
        <v>17</v>
      </c>
      <c r="B288" s="1" t="s">
        <v>331</v>
      </c>
      <c r="C288">
        <v>29</v>
      </c>
      <c r="D288" s="1" t="s">
        <v>18</v>
      </c>
      <c r="E288">
        <v>173</v>
      </c>
      <c r="F288">
        <v>49.03</v>
      </c>
      <c r="G288">
        <v>3</v>
      </c>
      <c r="H288" s="1" t="s">
        <v>314</v>
      </c>
    </row>
    <row r="289" spans="1:8" x14ac:dyDescent="0.25">
      <c r="A289" s="1" t="s">
        <v>122</v>
      </c>
      <c r="B289" s="1" t="s">
        <v>332</v>
      </c>
      <c r="C289">
        <v>14</v>
      </c>
      <c r="D289" s="1" t="s">
        <v>13</v>
      </c>
      <c r="E289">
        <v>303</v>
      </c>
      <c r="F289">
        <v>61.43</v>
      </c>
      <c r="G289">
        <v>1</v>
      </c>
      <c r="H289" s="1" t="s">
        <v>314</v>
      </c>
    </row>
    <row r="290" spans="1:8" x14ac:dyDescent="0.25">
      <c r="A290" s="1" t="s">
        <v>15</v>
      </c>
      <c r="B290" s="1" t="s">
        <v>333</v>
      </c>
      <c r="C290">
        <v>51</v>
      </c>
      <c r="D290" s="1" t="s">
        <v>10</v>
      </c>
      <c r="E290">
        <v>222</v>
      </c>
      <c r="F290">
        <v>18.95</v>
      </c>
      <c r="G290">
        <v>4</v>
      </c>
      <c r="H290" s="1" t="s">
        <v>314</v>
      </c>
    </row>
    <row r="291" spans="1:8" x14ac:dyDescent="0.25">
      <c r="A291" s="1" t="s">
        <v>15</v>
      </c>
      <c r="B291" s="1" t="s">
        <v>334</v>
      </c>
      <c r="C291">
        <v>2</v>
      </c>
      <c r="D291" s="1" t="s">
        <v>13</v>
      </c>
      <c r="E291">
        <v>496</v>
      </c>
      <c r="F291">
        <v>15.71</v>
      </c>
      <c r="G291">
        <v>3</v>
      </c>
      <c r="H291" s="1" t="s">
        <v>314</v>
      </c>
    </row>
    <row r="292" spans="1:8" x14ac:dyDescent="0.25">
      <c r="A292" s="1" t="s">
        <v>57</v>
      </c>
      <c r="B292" s="1" t="s">
        <v>335</v>
      </c>
      <c r="C292">
        <v>110</v>
      </c>
      <c r="D292" s="1" t="s">
        <v>10</v>
      </c>
      <c r="E292">
        <v>321</v>
      </c>
      <c r="F292">
        <v>81.569999999999993</v>
      </c>
      <c r="G292">
        <v>2</v>
      </c>
      <c r="H292" s="1" t="s">
        <v>314</v>
      </c>
    </row>
    <row r="293" spans="1:8" x14ac:dyDescent="0.25">
      <c r="A293" s="1" t="s">
        <v>9</v>
      </c>
      <c r="B293" s="1" t="s">
        <v>336</v>
      </c>
      <c r="C293">
        <v>59</v>
      </c>
      <c r="D293" s="1" t="s">
        <v>13</v>
      </c>
      <c r="E293">
        <v>369</v>
      </c>
      <c r="F293">
        <v>26.64</v>
      </c>
      <c r="G293">
        <v>4</v>
      </c>
      <c r="H293" s="1" t="s">
        <v>314</v>
      </c>
    </row>
    <row r="294" spans="1:8" x14ac:dyDescent="0.25">
      <c r="A294" s="1" t="s">
        <v>23</v>
      </c>
      <c r="B294" s="1" t="s">
        <v>337</v>
      </c>
      <c r="C294">
        <v>41</v>
      </c>
      <c r="D294" s="1" t="s">
        <v>13</v>
      </c>
      <c r="E294">
        <v>206</v>
      </c>
      <c r="F294">
        <v>83.16</v>
      </c>
      <c r="G294">
        <v>2</v>
      </c>
      <c r="H294" s="1" t="s">
        <v>314</v>
      </c>
    </row>
    <row r="295" spans="1:8" x14ac:dyDescent="0.25">
      <c r="A295" s="1" t="s">
        <v>54</v>
      </c>
      <c r="B295" s="1" t="s">
        <v>338</v>
      </c>
      <c r="C295">
        <v>19</v>
      </c>
      <c r="D295" s="1" t="s">
        <v>18</v>
      </c>
      <c r="E295">
        <v>125</v>
      </c>
      <c r="F295">
        <v>11.78</v>
      </c>
      <c r="G295">
        <v>4</v>
      </c>
      <c r="H295" s="1" t="s">
        <v>314</v>
      </c>
    </row>
    <row r="296" spans="1:8" x14ac:dyDescent="0.25">
      <c r="A296" s="1" t="s">
        <v>54</v>
      </c>
      <c r="B296" s="1" t="s">
        <v>339</v>
      </c>
      <c r="C296">
        <v>105</v>
      </c>
      <c r="D296" s="1" t="s">
        <v>10</v>
      </c>
      <c r="E296">
        <v>17</v>
      </c>
      <c r="F296">
        <v>60.05</v>
      </c>
      <c r="G296">
        <v>4</v>
      </c>
      <c r="H296" s="1" t="s">
        <v>314</v>
      </c>
    </row>
    <row r="297" spans="1:8" x14ac:dyDescent="0.25">
      <c r="A297" s="1" t="s">
        <v>62</v>
      </c>
      <c r="B297" s="1" t="s">
        <v>340</v>
      </c>
      <c r="C297">
        <v>38</v>
      </c>
      <c r="D297" s="1" t="s">
        <v>10</v>
      </c>
      <c r="E297">
        <v>60</v>
      </c>
      <c r="F297">
        <v>58.28</v>
      </c>
      <c r="G297">
        <v>4</v>
      </c>
      <c r="H297" s="1" t="s">
        <v>314</v>
      </c>
    </row>
    <row r="298" spans="1:8" x14ac:dyDescent="0.25">
      <c r="A298" s="1" t="s">
        <v>33</v>
      </c>
      <c r="B298" s="1" t="s">
        <v>341</v>
      </c>
      <c r="C298">
        <v>29</v>
      </c>
      <c r="D298" s="1" t="s">
        <v>13</v>
      </c>
      <c r="E298">
        <v>203</v>
      </c>
      <c r="F298">
        <v>53.97</v>
      </c>
      <c r="G298">
        <v>5</v>
      </c>
      <c r="H298" s="1" t="s">
        <v>314</v>
      </c>
    </row>
    <row r="299" spans="1:8" x14ac:dyDescent="0.25">
      <c r="A299" s="1" t="s">
        <v>48</v>
      </c>
      <c r="B299" s="1" t="s">
        <v>342</v>
      </c>
      <c r="C299">
        <v>88</v>
      </c>
      <c r="D299" s="1" t="s">
        <v>21</v>
      </c>
      <c r="E299">
        <v>154</v>
      </c>
      <c r="F299">
        <v>62.62</v>
      </c>
      <c r="G299">
        <v>5</v>
      </c>
      <c r="H299" s="1" t="s">
        <v>314</v>
      </c>
    </row>
    <row r="300" spans="1:8" x14ac:dyDescent="0.25">
      <c r="A300" s="1" t="s">
        <v>37</v>
      </c>
      <c r="B300" s="1" t="s">
        <v>343</v>
      </c>
      <c r="C300">
        <v>59</v>
      </c>
      <c r="D300" s="1" t="s">
        <v>10</v>
      </c>
      <c r="E300">
        <v>352</v>
      </c>
      <c r="F300">
        <v>74.239999999999995</v>
      </c>
      <c r="G300">
        <v>0</v>
      </c>
      <c r="H300" s="1" t="s">
        <v>314</v>
      </c>
    </row>
    <row r="301" spans="1:8" x14ac:dyDescent="0.25">
      <c r="A301" s="1" t="s">
        <v>72</v>
      </c>
      <c r="B301" s="1" t="s">
        <v>344</v>
      </c>
      <c r="C301">
        <v>19</v>
      </c>
      <c r="D301" s="1" t="s">
        <v>18</v>
      </c>
      <c r="E301">
        <v>305</v>
      </c>
      <c r="F301">
        <v>81.11</v>
      </c>
      <c r="G301">
        <v>1</v>
      </c>
      <c r="H301" s="1" t="s">
        <v>314</v>
      </c>
    </row>
    <row r="302" spans="1:8" x14ac:dyDescent="0.25">
      <c r="A302" s="1" t="s">
        <v>17</v>
      </c>
      <c r="B302" s="1" t="s">
        <v>345</v>
      </c>
      <c r="C302">
        <v>77</v>
      </c>
      <c r="D302" s="1" t="s">
        <v>10</v>
      </c>
      <c r="E302">
        <v>488</v>
      </c>
      <c r="F302">
        <v>21.17</v>
      </c>
      <c r="G302">
        <v>0</v>
      </c>
      <c r="H302" s="1" t="s">
        <v>314</v>
      </c>
    </row>
    <row r="303" spans="1:8" x14ac:dyDescent="0.25">
      <c r="A303" s="1" t="s">
        <v>83</v>
      </c>
      <c r="B303" s="1" t="s">
        <v>346</v>
      </c>
      <c r="C303">
        <v>37</v>
      </c>
      <c r="D303" s="1" t="s">
        <v>13</v>
      </c>
      <c r="E303">
        <v>88</v>
      </c>
      <c r="F303">
        <v>77.77</v>
      </c>
      <c r="G303">
        <v>1</v>
      </c>
      <c r="H303" s="1" t="s">
        <v>314</v>
      </c>
    </row>
    <row r="304" spans="1:8" x14ac:dyDescent="0.25">
      <c r="A304" s="1" t="s">
        <v>31</v>
      </c>
      <c r="B304" s="1" t="s">
        <v>347</v>
      </c>
      <c r="C304">
        <v>19</v>
      </c>
      <c r="D304" s="1" t="s">
        <v>21</v>
      </c>
      <c r="E304">
        <v>334</v>
      </c>
      <c r="F304">
        <v>96.91</v>
      </c>
      <c r="G304">
        <v>1</v>
      </c>
      <c r="H304" s="1" t="s">
        <v>314</v>
      </c>
    </row>
    <row r="305" spans="1:8" x14ac:dyDescent="0.25">
      <c r="A305" s="1" t="s">
        <v>17</v>
      </c>
      <c r="B305" s="1" t="s">
        <v>348</v>
      </c>
      <c r="C305">
        <v>96</v>
      </c>
      <c r="D305" s="1" t="s">
        <v>21</v>
      </c>
      <c r="E305">
        <v>381</v>
      </c>
      <c r="F305">
        <v>90.78</v>
      </c>
      <c r="G305">
        <v>2</v>
      </c>
      <c r="H305" s="1" t="s">
        <v>314</v>
      </c>
    </row>
    <row r="306" spans="1:8" x14ac:dyDescent="0.25">
      <c r="A306" s="1" t="s">
        <v>48</v>
      </c>
      <c r="B306" s="1" t="s">
        <v>349</v>
      </c>
      <c r="C306">
        <v>86</v>
      </c>
      <c r="D306" s="1" t="s">
        <v>13</v>
      </c>
      <c r="E306">
        <v>192</v>
      </c>
      <c r="F306">
        <v>26.26</v>
      </c>
      <c r="G306">
        <v>1</v>
      </c>
      <c r="H306" s="1" t="s">
        <v>314</v>
      </c>
    </row>
    <row r="307" spans="1:8" x14ac:dyDescent="0.25">
      <c r="A307" s="1" t="s">
        <v>83</v>
      </c>
      <c r="B307" s="1" t="s">
        <v>350</v>
      </c>
      <c r="C307">
        <v>109</v>
      </c>
      <c r="D307" s="1" t="s">
        <v>13</v>
      </c>
      <c r="E307">
        <v>397</v>
      </c>
      <c r="F307">
        <v>63.92</v>
      </c>
      <c r="G307">
        <v>1</v>
      </c>
      <c r="H307" s="1" t="s">
        <v>314</v>
      </c>
    </row>
    <row r="308" spans="1:8" x14ac:dyDescent="0.25">
      <c r="A308" s="1" t="s">
        <v>20</v>
      </c>
      <c r="B308" s="1" t="s">
        <v>351</v>
      </c>
      <c r="C308">
        <v>103</v>
      </c>
      <c r="D308" s="1" t="s">
        <v>10</v>
      </c>
      <c r="E308">
        <v>354</v>
      </c>
      <c r="F308">
        <v>26.19</v>
      </c>
      <c r="G308">
        <v>4</v>
      </c>
      <c r="H308" s="1" t="s">
        <v>314</v>
      </c>
    </row>
    <row r="309" spans="1:8" x14ac:dyDescent="0.25">
      <c r="A309" s="1" t="s">
        <v>41</v>
      </c>
      <c r="B309" s="1" t="s">
        <v>352</v>
      </c>
      <c r="C309">
        <v>106</v>
      </c>
      <c r="D309" s="1" t="s">
        <v>21</v>
      </c>
      <c r="E309">
        <v>407</v>
      </c>
      <c r="F309">
        <v>59.92</v>
      </c>
      <c r="G309">
        <v>4</v>
      </c>
      <c r="H309" s="1" t="s">
        <v>314</v>
      </c>
    </row>
    <row r="310" spans="1:8" x14ac:dyDescent="0.25">
      <c r="A310" s="1" t="s">
        <v>72</v>
      </c>
      <c r="B310" s="1" t="s">
        <v>353</v>
      </c>
      <c r="C310">
        <v>90</v>
      </c>
      <c r="D310" s="1" t="s">
        <v>21</v>
      </c>
      <c r="E310">
        <v>343</v>
      </c>
      <c r="F310">
        <v>82.05</v>
      </c>
      <c r="G310">
        <v>1</v>
      </c>
      <c r="H310" s="1" t="s">
        <v>314</v>
      </c>
    </row>
    <row r="311" spans="1:8" x14ac:dyDescent="0.25">
      <c r="A311" s="1" t="s">
        <v>122</v>
      </c>
      <c r="B311" s="1" t="s">
        <v>354</v>
      </c>
      <c r="C311">
        <v>5</v>
      </c>
      <c r="D311" s="1" t="s">
        <v>21</v>
      </c>
      <c r="E311">
        <v>337</v>
      </c>
      <c r="F311">
        <v>21.07</v>
      </c>
      <c r="G311">
        <v>4</v>
      </c>
      <c r="H311" s="1" t="s">
        <v>314</v>
      </c>
    </row>
    <row r="312" spans="1:8" x14ac:dyDescent="0.25">
      <c r="A312" s="1" t="s">
        <v>83</v>
      </c>
      <c r="B312" s="1" t="s">
        <v>355</v>
      </c>
      <c r="C312">
        <v>77</v>
      </c>
      <c r="D312" s="1" t="s">
        <v>21</v>
      </c>
      <c r="E312">
        <v>45</v>
      </c>
      <c r="F312">
        <v>21.59</v>
      </c>
      <c r="G312">
        <v>2</v>
      </c>
      <c r="H312" s="1" t="s">
        <v>314</v>
      </c>
    </row>
    <row r="313" spans="1:8" x14ac:dyDescent="0.25">
      <c r="A313" s="1" t="s">
        <v>17</v>
      </c>
      <c r="B313" s="1" t="s">
        <v>356</v>
      </c>
      <c r="C313">
        <v>41</v>
      </c>
      <c r="D313" s="1" t="s">
        <v>18</v>
      </c>
      <c r="E313">
        <v>398</v>
      </c>
      <c r="F313">
        <v>28.56</v>
      </c>
      <c r="G313">
        <v>2</v>
      </c>
      <c r="H313" s="1" t="s">
        <v>314</v>
      </c>
    </row>
    <row r="314" spans="1:8" x14ac:dyDescent="0.25">
      <c r="A314" s="1" t="s">
        <v>61</v>
      </c>
      <c r="B314" s="1" t="s">
        <v>357</v>
      </c>
      <c r="C314">
        <v>40</v>
      </c>
      <c r="D314" s="1" t="s">
        <v>10</v>
      </c>
      <c r="E314">
        <v>237</v>
      </c>
      <c r="F314">
        <v>24.51</v>
      </c>
      <c r="G314">
        <v>1</v>
      </c>
      <c r="H314" s="1" t="s">
        <v>314</v>
      </c>
    </row>
    <row r="315" spans="1:8" x14ac:dyDescent="0.25">
      <c r="A315" s="1" t="s">
        <v>33</v>
      </c>
      <c r="B315" s="1" t="s">
        <v>358</v>
      </c>
      <c r="C315">
        <v>65</v>
      </c>
      <c r="D315" s="1" t="s">
        <v>18</v>
      </c>
      <c r="E315">
        <v>442</v>
      </c>
      <c r="F315">
        <v>60.62</v>
      </c>
      <c r="G315">
        <v>5</v>
      </c>
      <c r="H315" s="1" t="s">
        <v>314</v>
      </c>
    </row>
    <row r="316" spans="1:8" x14ac:dyDescent="0.25">
      <c r="A316" s="1" t="s">
        <v>59</v>
      </c>
      <c r="B316" s="1" t="s">
        <v>359</v>
      </c>
      <c r="C316">
        <v>89</v>
      </c>
      <c r="D316" s="1" t="s">
        <v>21</v>
      </c>
      <c r="E316">
        <v>418</v>
      </c>
      <c r="F316">
        <v>86.63</v>
      </c>
      <c r="G316">
        <v>4</v>
      </c>
      <c r="H316" s="1" t="s">
        <v>314</v>
      </c>
    </row>
    <row r="317" spans="1:8" x14ac:dyDescent="0.25">
      <c r="A317" s="1" t="s">
        <v>62</v>
      </c>
      <c r="B317" s="1" t="s">
        <v>361</v>
      </c>
      <c r="C317">
        <v>12</v>
      </c>
      <c r="D317" s="1" t="s">
        <v>13</v>
      </c>
      <c r="E317">
        <v>125</v>
      </c>
      <c r="F317">
        <v>36.93</v>
      </c>
      <c r="G317">
        <v>0</v>
      </c>
      <c r="H317" s="1" t="s">
        <v>360</v>
      </c>
    </row>
    <row r="318" spans="1:8" x14ac:dyDescent="0.25">
      <c r="A318" s="1" t="s">
        <v>122</v>
      </c>
      <c r="B318" s="1" t="s">
        <v>362</v>
      </c>
      <c r="C318">
        <v>47</v>
      </c>
      <c r="D318" s="1" t="s">
        <v>13</v>
      </c>
      <c r="E318">
        <v>378</v>
      </c>
      <c r="F318">
        <v>36.42</v>
      </c>
      <c r="G318">
        <v>1</v>
      </c>
      <c r="H318" s="1" t="s">
        <v>360</v>
      </c>
    </row>
    <row r="319" spans="1:8" x14ac:dyDescent="0.25">
      <c r="A319" s="1" t="s">
        <v>15</v>
      </c>
      <c r="B319" s="1" t="s">
        <v>363</v>
      </c>
      <c r="C319">
        <v>117</v>
      </c>
      <c r="D319" s="1" t="s">
        <v>21</v>
      </c>
      <c r="E319">
        <v>338</v>
      </c>
      <c r="F319">
        <v>29.18</v>
      </c>
      <c r="G319">
        <v>5</v>
      </c>
      <c r="H319" s="1" t="s">
        <v>360</v>
      </c>
    </row>
    <row r="320" spans="1:8" x14ac:dyDescent="0.25">
      <c r="A320" s="1" t="s">
        <v>27</v>
      </c>
      <c r="B320" s="1" t="s">
        <v>364</v>
      </c>
      <c r="C320">
        <v>43</v>
      </c>
      <c r="D320" s="1" t="s">
        <v>10</v>
      </c>
      <c r="E320">
        <v>486</v>
      </c>
      <c r="F320">
        <v>76.42</v>
      </c>
      <c r="G320">
        <v>1</v>
      </c>
      <c r="H320" s="1" t="s">
        <v>360</v>
      </c>
    </row>
    <row r="321" spans="1:8" x14ac:dyDescent="0.25">
      <c r="A321" s="1" t="s">
        <v>118</v>
      </c>
      <c r="B321" s="1" t="s">
        <v>365</v>
      </c>
      <c r="C321">
        <v>35</v>
      </c>
      <c r="D321" s="1" t="s">
        <v>21</v>
      </c>
      <c r="E321">
        <v>421</v>
      </c>
      <c r="F321">
        <v>29.57</v>
      </c>
      <c r="G321">
        <v>5</v>
      </c>
      <c r="H321" s="1" t="s">
        <v>360</v>
      </c>
    </row>
    <row r="322" spans="1:8" x14ac:dyDescent="0.25">
      <c r="A322" s="1" t="s">
        <v>37</v>
      </c>
      <c r="B322" s="1" t="s">
        <v>366</v>
      </c>
      <c r="C322">
        <v>19</v>
      </c>
      <c r="D322" s="1" t="s">
        <v>21</v>
      </c>
      <c r="E322">
        <v>450</v>
      </c>
      <c r="F322">
        <v>37.43</v>
      </c>
      <c r="G322">
        <v>2</v>
      </c>
      <c r="H322" s="1" t="s">
        <v>360</v>
      </c>
    </row>
    <row r="323" spans="1:8" x14ac:dyDescent="0.25">
      <c r="A323" s="1" t="s">
        <v>62</v>
      </c>
      <c r="B323" s="1" t="s">
        <v>367</v>
      </c>
      <c r="C323">
        <v>112</v>
      </c>
      <c r="D323" s="1" t="s">
        <v>21</v>
      </c>
      <c r="E323">
        <v>483</v>
      </c>
      <c r="F323">
        <v>93.98</v>
      </c>
      <c r="G323">
        <v>0</v>
      </c>
      <c r="H323" s="1" t="s">
        <v>360</v>
      </c>
    </row>
    <row r="324" spans="1:8" x14ac:dyDescent="0.25">
      <c r="A324" s="1" t="s">
        <v>12</v>
      </c>
      <c r="B324" s="1" t="s">
        <v>368</v>
      </c>
      <c r="C324">
        <v>103</v>
      </c>
      <c r="D324" s="1" t="s">
        <v>13</v>
      </c>
      <c r="E324">
        <v>270</v>
      </c>
      <c r="F324">
        <v>67.87</v>
      </c>
      <c r="G324">
        <v>3</v>
      </c>
      <c r="H324" s="1" t="s">
        <v>360</v>
      </c>
    </row>
    <row r="325" spans="1:8" x14ac:dyDescent="0.25">
      <c r="A325" s="1" t="s">
        <v>9</v>
      </c>
      <c r="B325" s="1" t="s">
        <v>369</v>
      </c>
      <c r="C325">
        <v>29</v>
      </c>
      <c r="D325" s="1" t="s">
        <v>10</v>
      </c>
      <c r="E325">
        <v>350</v>
      </c>
      <c r="F325">
        <v>84.32</v>
      </c>
      <c r="G325">
        <v>3</v>
      </c>
      <c r="H325" s="1" t="s">
        <v>360</v>
      </c>
    </row>
    <row r="326" spans="1:8" x14ac:dyDescent="0.25">
      <c r="A326" s="1" t="s">
        <v>35</v>
      </c>
      <c r="B326" s="1" t="s">
        <v>370</v>
      </c>
      <c r="C326">
        <v>36</v>
      </c>
      <c r="D326" s="1" t="s">
        <v>18</v>
      </c>
      <c r="E326">
        <v>311</v>
      </c>
      <c r="F326">
        <v>13.19</v>
      </c>
      <c r="G326">
        <v>4</v>
      </c>
      <c r="H326" s="1" t="s">
        <v>360</v>
      </c>
    </row>
    <row r="327" spans="1:8" x14ac:dyDescent="0.25">
      <c r="A327" s="1" t="s">
        <v>41</v>
      </c>
      <c r="B327" s="1" t="s">
        <v>371</v>
      </c>
      <c r="C327">
        <v>2</v>
      </c>
      <c r="D327" s="1" t="s">
        <v>10</v>
      </c>
      <c r="E327">
        <v>21</v>
      </c>
      <c r="F327">
        <v>51.68</v>
      </c>
      <c r="G327">
        <v>3</v>
      </c>
      <c r="H327" s="1" t="s">
        <v>360</v>
      </c>
    </row>
    <row r="328" spans="1:8" x14ac:dyDescent="0.25">
      <c r="A328" s="1" t="s">
        <v>31</v>
      </c>
      <c r="B328" s="1" t="s">
        <v>372</v>
      </c>
      <c r="C328">
        <v>49</v>
      </c>
      <c r="D328" s="1" t="s">
        <v>13</v>
      </c>
      <c r="E328">
        <v>229</v>
      </c>
      <c r="F328">
        <v>53.94</v>
      </c>
      <c r="G328">
        <v>5</v>
      </c>
      <c r="H328" s="1" t="s">
        <v>360</v>
      </c>
    </row>
    <row r="329" spans="1:8" x14ac:dyDescent="0.25">
      <c r="A329" s="1" t="s">
        <v>37</v>
      </c>
      <c r="B329" s="1" t="s">
        <v>373</v>
      </c>
      <c r="C329">
        <v>29</v>
      </c>
      <c r="D329" s="1" t="s">
        <v>13</v>
      </c>
      <c r="E329">
        <v>493</v>
      </c>
      <c r="F329">
        <v>42.02</v>
      </c>
      <c r="G329">
        <v>1</v>
      </c>
      <c r="H329" s="1" t="s">
        <v>360</v>
      </c>
    </row>
    <row r="330" spans="1:8" x14ac:dyDescent="0.25">
      <c r="A330" s="1" t="s">
        <v>17</v>
      </c>
      <c r="B330" s="1" t="s">
        <v>374</v>
      </c>
      <c r="C330">
        <v>14</v>
      </c>
      <c r="D330" s="1" t="s">
        <v>13</v>
      </c>
      <c r="E330">
        <v>345</v>
      </c>
      <c r="F330">
        <v>39.57</v>
      </c>
      <c r="G330">
        <v>3</v>
      </c>
      <c r="H330" s="1" t="s">
        <v>360</v>
      </c>
    </row>
    <row r="331" spans="1:8" x14ac:dyDescent="0.25">
      <c r="A331" s="1" t="s">
        <v>62</v>
      </c>
      <c r="B331" s="1" t="s">
        <v>375</v>
      </c>
      <c r="C331">
        <v>101</v>
      </c>
      <c r="D331" s="1" t="s">
        <v>10</v>
      </c>
      <c r="E331">
        <v>476</v>
      </c>
      <c r="F331">
        <v>41.85</v>
      </c>
      <c r="G331">
        <v>4</v>
      </c>
      <c r="H331" s="1" t="s">
        <v>360</v>
      </c>
    </row>
    <row r="332" spans="1:8" x14ac:dyDescent="0.25">
      <c r="A332" s="1" t="s">
        <v>15</v>
      </c>
      <c r="B332" s="1" t="s">
        <v>376</v>
      </c>
      <c r="C332">
        <v>119</v>
      </c>
      <c r="D332" s="1" t="s">
        <v>13</v>
      </c>
      <c r="E332">
        <v>451</v>
      </c>
      <c r="F332">
        <v>10.46</v>
      </c>
      <c r="G332">
        <v>5</v>
      </c>
      <c r="H332" s="1" t="s">
        <v>360</v>
      </c>
    </row>
    <row r="333" spans="1:8" x14ac:dyDescent="0.25">
      <c r="A333" s="1" t="s">
        <v>35</v>
      </c>
      <c r="B333" s="1" t="s">
        <v>377</v>
      </c>
      <c r="C333">
        <v>16</v>
      </c>
      <c r="D333" s="1" t="s">
        <v>10</v>
      </c>
      <c r="E333">
        <v>391</v>
      </c>
      <c r="F333">
        <v>90.12</v>
      </c>
      <c r="G333">
        <v>5</v>
      </c>
      <c r="H333" s="1" t="s">
        <v>360</v>
      </c>
    </row>
    <row r="334" spans="1:8" x14ac:dyDescent="0.25">
      <c r="A334" s="1" t="s">
        <v>15</v>
      </c>
      <c r="B334" s="1" t="s">
        <v>378</v>
      </c>
      <c r="C334">
        <v>23</v>
      </c>
      <c r="D334" s="1" t="s">
        <v>10</v>
      </c>
      <c r="E334">
        <v>268</v>
      </c>
      <c r="F334">
        <v>26.75</v>
      </c>
      <c r="G334">
        <v>3</v>
      </c>
      <c r="H334" s="1" t="s">
        <v>360</v>
      </c>
    </row>
    <row r="335" spans="1:8" x14ac:dyDescent="0.25">
      <c r="A335" s="1" t="s">
        <v>31</v>
      </c>
      <c r="B335" s="1" t="s">
        <v>379</v>
      </c>
      <c r="C335">
        <v>68</v>
      </c>
      <c r="D335" s="1" t="s">
        <v>13</v>
      </c>
      <c r="E335">
        <v>462</v>
      </c>
      <c r="F335">
        <v>41.91</v>
      </c>
      <c r="G335">
        <v>1</v>
      </c>
      <c r="H335" s="1" t="s">
        <v>360</v>
      </c>
    </row>
    <row r="336" spans="1:8" x14ac:dyDescent="0.25">
      <c r="A336" s="1" t="s">
        <v>35</v>
      </c>
      <c r="B336" s="1" t="s">
        <v>380</v>
      </c>
      <c r="C336">
        <v>94</v>
      </c>
      <c r="D336" s="1" t="s">
        <v>21</v>
      </c>
      <c r="E336">
        <v>115</v>
      </c>
      <c r="F336">
        <v>19.12</v>
      </c>
      <c r="G336">
        <v>0</v>
      </c>
      <c r="H336" s="1" t="s">
        <v>360</v>
      </c>
    </row>
    <row r="337" spans="1:8" x14ac:dyDescent="0.25">
      <c r="A337" s="1" t="s">
        <v>20</v>
      </c>
      <c r="B337" s="1" t="s">
        <v>381</v>
      </c>
      <c r="C337">
        <v>113</v>
      </c>
      <c r="D337" s="1" t="s">
        <v>10</v>
      </c>
      <c r="E337">
        <v>89</v>
      </c>
      <c r="F337">
        <v>54.28</v>
      </c>
      <c r="G337">
        <v>0</v>
      </c>
      <c r="H337" s="1" t="s">
        <v>360</v>
      </c>
    </row>
    <row r="338" spans="1:8" x14ac:dyDescent="0.25">
      <c r="A338" s="1" t="s">
        <v>83</v>
      </c>
      <c r="B338" s="1" t="s">
        <v>382</v>
      </c>
      <c r="C338">
        <v>40</v>
      </c>
      <c r="D338" s="1" t="s">
        <v>18</v>
      </c>
      <c r="E338">
        <v>38</v>
      </c>
      <c r="F338">
        <v>17.63</v>
      </c>
      <c r="G338">
        <v>0</v>
      </c>
      <c r="H338" s="1" t="s">
        <v>360</v>
      </c>
    </row>
    <row r="339" spans="1:8" x14ac:dyDescent="0.25">
      <c r="A339" s="1" t="s">
        <v>12</v>
      </c>
      <c r="B339" s="1" t="s">
        <v>383</v>
      </c>
      <c r="C339">
        <v>76</v>
      </c>
      <c r="D339" s="1" t="s">
        <v>10</v>
      </c>
      <c r="E339">
        <v>187</v>
      </c>
      <c r="F339">
        <v>56.29</v>
      </c>
      <c r="G339">
        <v>1</v>
      </c>
      <c r="H339" s="1" t="s">
        <v>360</v>
      </c>
    </row>
    <row r="340" spans="1:8" x14ac:dyDescent="0.25">
      <c r="A340" s="1" t="s">
        <v>15</v>
      </c>
      <c r="B340" s="1" t="s">
        <v>384</v>
      </c>
      <c r="C340">
        <v>106</v>
      </c>
      <c r="D340" s="1" t="s">
        <v>13</v>
      </c>
      <c r="E340">
        <v>429</v>
      </c>
      <c r="F340">
        <v>23.83</v>
      </c>
      <c r="G340">
        <v>1</v>
      </c>
      <c r="H340" s="1" t="s">
        <v>360</v>
      </c>
    </row>
    <row r="341" spans="1:8" x14ac:dyDescent="0.25">
      <c r="A341" s="1" t="s">
        <v>68</v>
      </c>
      <c r="B341" s="1" t="s">
        <v>385</v>
      </c>
      <c r="C341">
        <v>104</v>
      </c>
      <c r="D341" s="1" t="s">
        <v>10</v>
      </c>
      <c r="E341">
        <v>68</v>
      </c>
      <c r="F341">
        <v>21.15</v>
      </c>
      <c r="G341">
        <v>2</v>
      </c>
      <c r="H341" s="1" t="s">
        <v>360</v>
      </c>
    </row>
    <row r="342" spans="1:8" x14ac:dyDescent="0.25">
      <c r="A342" s="1" t="s">
        <v>29</v>
      </c>
      <c r="B342" s="1" t="s">
        <v>386</v>
      </c>
      <c r="C342">
        <v>63</v>
      </c>
      <c r="D342" s="1" t="s">
        <v>18</v>
      </c>
      <c r="E342">
        <v>263</v>
      </c>
      <c r="F342">
        <v>53.87</v>
      </c>
      <c r="G342">
        <v>4</v>
      </c>
      <c r="H342" s="1" t="s">
        <v>360</v>
      </c>
    </row>
    <row r="343" spans="1:8" x14ac:dyDescent="0.25">
      <c r="A343" s="1" t="s">
        <v>27</v>
      </c>
      <c r="B343" s="1" t="s">
        <v>387</v>
      </c>
      <c r="C343">
        <v>13</v>
      </c>
      <c r="D343" s="1" t="s">
        <v>18</v>
      </c>
      <c r="E343">
        <v>180</v>
      </c>
      <c r="F343">
        <v>24.01</v>
      </c>
      <c r="G343">
        <v>0</v>
      </c>
      <c r="H343" s="1" t="s">
        <v>360</v>
      </c>
    </row>
    <row r="344" spans="1:8" x14ac:dyDescent="0.25">
      <c r="A344" s="1" t="s">
        <v>41</v>
      </c>
      <c r="B344" s="1" t="s">
        <v>388</v>
      </c>
      <c r="C344">
        <v>45</v>
      </c>
      <c r="D344" s="1" t="s">
        <v>21</v>
      </c>
      <c r="E344">
        <v>26</v>
      </c>
      <c r="F344">
        <v>30.35</v>
      </c>
      <c r="G344">
        <v>1</v>
      </c>
      <c r="H344" s="1" t="s">
        <v>360</v>
      </c>
    </row>
    <row r="345" spans="1:8" x14ac:dyDescent="0.25">
      <c r="A345" s="1" t="s">
        <v>72</v>
      </c>
      <c r="B345" s="1" t="s">
        <v>389</v>
      </c>
      <c r="C345">
        <v>90</v>
      </c>
      <c r="D345" s="1" t="s">
        <v>18</v>
      </c>
      <c r="E345">
        <v>216</v>
      </c>
      <c r="F345">
        <v>45.58</v>
      </c>
      <c r="G345">
        <v>0</v>
      </c>
      <c r="H345" s="1" t="s">
        <v>360</v>
      </c>
    </row>
    <row r="346" spans="1:8" x14ac:dyDescent="0.25">
      <c r="A346" s="1" t="s">
        <v>23</v>
      </c>
      <c r="B346" s="1" t="s">
        <v>390</v>
      </c>
      <c r="C346">
        <v>74</v>
      </c>
      <c r="D346" s="1" t="s">
        <v>21</v>
      </c>
      <c r="E346">
        <v>253</v>
      </c>
      <c r="F346">
        <v>36.94</v>
      </c>
      <c r="G346">
        <v>5</v>
      </c>
      <c r="H346" s="1" t="s">
        <v>360</v>
      </c>
    </row>
    <row r="347" spans="1:8" x14ac:dyDescent="0.25">
      <c r="A347" s="1" t="s">
        <v>9</v>
      </c>
      <c r="B347" s="1" t="s">
        <v>391</v>
      </c>
      <c r="C347">
        <v>111</v>
      </c>
      <c r="D347" s="1" t="s">
        <v>18</v>
      </c>
      <c r="E347">
        <v>194</v>
      </c>
      <c r="F347">
        <v>48.55</v>
      </c>
      <c r="G347">
        <v>2</v>
      </c>
      <c r="H347" s="1" t="s">
        <v>360</v>
      </c>
    </row>
    <row r="348" spans="1:8" x14ac:dyDescent="0.25">
      <c r="A348" s="1" t="s">
        <v>61</v>
      </c>
      <c r="B348" s="1" t="s">
        <v>392</v>
      </c>
      <c r="C348">
        <v>71</v>
      </c>
      <c r="D348" s="1" t="s">
        <v>10</v>
      </c>
      <c r="E348">
        <v>191</v>
      </c>
      <c r="F348">
        <v>83.04</v>
      </c>
      <c r="G348">
        <v>4</v>
      </c>
      <c r="H348" s="1" t="s">
        <v>360</v>
      </c>
    </row>
    <row r="349" spans="1:8" x14ac:dyDescent="0.25">
      <c r="A349" s="1" t="s">
        <v>29</v>
      </c>
      <c r="B349" s="1" t="s">
        <v>393</v>
      </c>
      <c r="C349">
        <v>35</v>
      </c>
      <c r="D349" s="1" t="s">
        <v>13</v>
      </c>
      <c r="E349">
        <v>496</v>
      </c>
      <c r="F349">
        <v>19.78</v>
      </c>
      <c r="G349">
        <v>5</v>
      </c>
      <c r="H349" s="1" t="s">
        <v>360</v>
      </c>
    </row>
    <row r="350" spans="1:8" x14ac:dyDescent="0.25">
      <c r="A350" s="1" t="s">
        <v>54</v>
      </c>
      <c r="B350" s="1" t="s">
        <v>394</v>
      </c>
      <c r="C350">
        <v>78</v>
      </c>
      <c r="D350" s="1" t="s">
        <v>18</v>
      </c>
      <c r="E350">
        <v>57</v>
      </c>
      <c r="F350">
        <v>49.47</v>
      </c>
      <c r="G350">
        <v>0</v>
      </c>
      <c r="H350" s="1" t="s">
        <v>360</v>
      </c>
    </row>
    <row r="351" spans="1:8" x14ac:dyDescent="0.25">
      <c r="A351" s="1" t="s">
        <v>37</v>
      </c>
      <c r="B351" s="1" t="s">
        <v>395</v>
      </c>
      <c r="C351">
        <v>13</v>
      </c>
      <c r="D351" s="1" t="s">
        <v>13</v>
      </c>
      <c r="E351">
        <v>173</v>
      </c>
      <c r="F351">
        <v>85.54</v>
      </c>
      <c r="G351">
        <v>3</v>
      </c>
      <c r="H351" s="1" t="s">
        <v>360</v>
      </c>
    </row>
    <row r="352" spans="1:8" x14ac:dyDescent="0.25">
      <c r="A352" s="1" t="s">
        <v>62</v>
      </c>
      <c r="B352" s="1" t="s">
        <v>396</v>
      </c>
      <c r="C352">
        <v>115</v>
      </c>
      <c r="D352" s="1" t="s">
        <v>21</v>
      </c>
      <c r="E352">
        <v>467</v>
      </c>
      <c r="F352">
        <v>24.57</v>
      </c>
      <c r="G352">
        <v>3</v>
      </c>
      <c r="H352" s="1" t="s">
        <v>360</v>
      </c>
    </row>
    <row r="353" spans="1:8" x14ac:dyDescent="0.25">
      <c r="A353" s="1" t="s">
        <v>48</v>
      </c>
      <c r="B353" s="1" t="s">
        <v>397</v>
      </c>
      <c r="C353">
        <v>7</v>
      </c>
      <c r="D353" s="1" t="s">
        <v>13</v>
      </c>
      <c r="E353">
        <v>347</v>
      </c>
      <c r="F353">
        <v>41.84</v>
      </c>
      <c r="G353">
        <v>2</v>
      </c>
      <c r="H353" s="1" t="s">
        <v>360</v>
      </c>
    </row>
    <row r="354" spans="1:8" x14ac:dyDescent="0.25">
      <c r="A354" s="1" t="s">
        <v>57</v>
      </c>
      <c r="B354" s="1" t="s">
        <v>398</v>
      </c>
      <c r="C354">
        <v>22</v>
      </c>
      <c r="D354" s="1" t="s">
        <v>13</v>
      </c>
      <c r="E354">
        <v>127</v>
      </c>
      <c r="F354">
        <v>49.06</v>
      </c>
      <c r="G354">
        <v>2</v>
      </c>
      <c r="H354" s="1" t="s">
        <v>360</v>
      </c>
    </row>
    <row r="355" spans="1:8" x14ac:dyDescent="0.25">
      <c r="A355" s="1" t="s">
        <v>48</v>
      </c>
      <c r="B355" s="1" t="s">
        <v>399</v>
      </c>
      <c r="C355">
        <v>41</v>
      </c>
      <c r="D355" s="1" t="s">
        <v>18</v>
      </c>
      <c r="E355">
        <v>425</v>
      </c>
      <c r="F355">
        <v>42.33</v>
      </c>
      <c r="G355">
        <v>3</v>
      </c>
      <c r="H355" s="1" t="s">
        <v>360</v>
      </c>
    </row>
    <row r="356" spans="1:8" x14ac:dyDescent="0.25">
      <c r="A356" s="1" t="s">
        <v>12</v>
      </c>
      <c r="B356" s="1" t="s">
        <v>400</v>
      </c>
      <c r="C356">
        <v>97</v>
      </c>
      <c r="D356" s="1" t="s">
        <v>13</v>
      </c>
      <c r="E356">
        <v>276</v>
      </c>
      <c r="F356">
        <v>88.35</v>
      </c>
      <c r="G356">
        <v>0</v>
      </c>
      <c r="H356" s="1" t="s">
        <v>360</v>
      </c>
    </row>
    <row r="357" spans="1:8" x14ac:dyDescent="0.25">
      <c r="A357" s="1" t="s">
        <v>57</v>
      </c>
      <c r="B357" s="1" t="s">
        <v>401</v>
      </c>
      <c r="C357">
        <v>50</v>
      </c>
      <c r="D357" s="1" t="s">
        <v>18</v>
      </c>
      <c r="E357">
        <v>435</v>
      </c>
      <c r="F357">
        <v>27.86</v>
      </c>
      <c r="G357">
        <v>3</v>
      </c>
      <c r="H357" s="1" t="s">
        <v>360</v>
      </c>
    </row>
    <row r="358" spans="1:8" x14ac:dyDescent="0.25">
      <c r="A358" s="1" t="s">
        <v>9</v>
      </c>
      <c r="B358" s="1" t="s">
        <v>402</v>
      </c>
      <c r="C358">
        <v>24</v>
      </c>
      <c r="D358" s="1" t="s">
        <v>21</v>
      </c>
      <c r="E358">
        <v>392</v>
      </c>
      <c r="F358">
        <v>27.06</v>
      </c>
      <c r="G358">
        <v>1</v>
      </c>
      <c r="H358" s="1" t="s">
        <v>360</v>
      </c>
    </row>
    <row r="359" spans="1:8" x14ac:dyDescent="0.25">
      <c r="A359" s="1" t="s">
        <v>37</v>
      </c>
      <c r="B359" s="1" t="s">
        <v>403</v>
      </c>
      <c r="C359">
        <v>45</v>
      </c>
      <c r="D359" s="1" t="s">
        <v>18</v>
      </c>
      <c r="E359">
        <v>439</v>
      </c>
      <c r="F359">
        <v>13.62</v>
      </c>
      <c r="G359">
        <v>4</v>
      </c>
      <c r="H359" s="1" t="s">
        <v>360</v>
      </c>
    </row>
    <row r="360" spans="1:8" x14ac:dyDescent="0.25">
      <c r="A360" s="1" t="s">
        <v>72</v>
      </c>
      <c r="B360" s="1" t="s">
        <v>404</v>
      </c>
      <c r="C360">
        <v>104</v>
      </c>
      <c r="D360" s="1" t="s">
        <v>13</v>
      </c>
      <c r="E360">
        <v>60</v>
      </c>
      <c r="F360">
        <v>45.51</v>
      </c>
      <c r="G360">
        <v>1</v>
      </c>
      <c r="H360" s="1" t="s">
        <v>360</v>
      </c>
    </row>
    <row r="361" spans="1:8" x14ac:dyDescent="0.25">
      <c r="A361" s="1" t="s">
        <v>48</v>
      </c>
      <c r="B361" s="1" t="s">
        <v>406</v>
      </c>
      <c r="C361">
        <v>83</v>
      </c>
      <c r="D361" s="1" t="s">
        <v>10</v>
      </c>
      <c r="E361">
        <v>105</v>
      </c>
      <c r="F361">
        <v>20.46</v>
      </c>
      <c r="G361">
        <v>1</v>
      </c>
      <c r="H361" s="1" t="s">
        <v>405</v>
      </c>
    </row>
    <row r="362" spans="1:8" x14ac:dyDescent="0.25">
      <c r="A362" s="1" t="s">
        <v>62</v>
      </c>
      <c r="B362" s="1" t="s">
        <v>407</v>
      </c>
      <c r="C362">
        <v>7</v>
      </c>
      <c r="D362" s="1" t="s">
        <v>21</v>
      </c>
      <c r="E362">
        <v>94</v>
      </c>
      <c r="F362">
        <v>68.38</v>
      </c>
      <c r="G362">
        <v>3</v>
      </c>
      <c r="H362" s="1" t="s">
        <v>405</v>
      </c>
    </row>
    <row r="363" spans="1:8" x14ac:dyDescent="0.25">
      <c r="A363" s="1" t="s">
        <v>35</v>
      </c>
      <c r="B363" s="1" t="s">
        <v>408</v>
      </c>
      <c r="C363">
        <v>39</v>
      </c>
      <c r="D363" s="1" t="s">
        <v>10</v>
      </c>
      <c r="E363">
        <v>1</v>
      </c>
      <c r="F363">
        <v>66.94</v>
      </c>
      <c r="G363">
        <v>5</v>
      </c>
      <c r="H363" s="1" t="s">
        <v>405</v>
      </c>
    </row>
    <row r="364" spans="1:8" x14ac:dyDescent="0.25">
      <c r="A364" s="1" t="s">
        <v>12</v>
      </c>
      <c r="B364" s="1" t="s">
        <v>409</v>
      </c>
      <c r="C364">
        <v>35</v>
      </c>
      <c r="D364" s="1" t="s">
        <v>13</v>
      </c>
      <c r="E364">
        <v>292</v>
      </c>
      <c r="F364">
        <v>39.21</v>
      </c>
      <c r="G364">
        <v>1</v>
      </c>
      <c r="H364" s="1" t="s">
        <v>405</v>
      </c>
    </row>
    <row r="365" spans="1:8" x14ac:dyDescent="0.25">
      <c r="A365" s="1" t="s">
        <v>9</v>
      </c>
      <c r="B365" s="1" t="s">
        <v>410</v>
      </c>
      <c r="C365">
        <v>47</v>
      </c>
      <c r="D365" s="1" t="s">
        <v>18</v>
      </c>
      <c r="E365">
        <v>111</v>
      </c>
      <c r="F365">
        <v>95.18</v>
      </c>
      <c r="G365">
        <v>0</v>
      </c>
      <c r="H365" s="1" t="s">
        <v>405</v>
      </c>
    </row>
    <row r="366" spans="1:8" x14ac:dyDescent="0.25">
      <c r="A366" s="1" t="s">
        <v>31</v>
      </c>
      <c r="B366" s="1" t="s">
        <v>411</v>
      </c>
      <c r="C366">
        <v>36</v>
      </c>
      <c r="D366" s="1" t="s">
        <v>18</v>
      </c>
      <c r="E366">
        <v>303</v>
      </c>
      <c r="F366">
        <v>89.56</v>
      </c>
      <c r="G366">
        <v>1</v>
      </c>
      <c r="H366" s="1" t="s">
        <v>405</v>
      </c>
    </row>
    <row r="367" spans="1:8" x14ac:dyDescent="0.25">
      <c r="A367" s="1" t="s">
        <v>24</v>
      </c>
      <c r="B367" s="1" t="s">
        <v>412</v>
      </c>
      <c r="C367">
        <v>45</v>
      </c>
      <c r="D367" s="1" t="s">
        <v>21</v>
      </c>
      <c r="E367">
        <v>356</v>
      </c>
      <c r="F367">
        <v>33.76</v>
      </c>
      <c r="G367">
        <v>0</v>
      </c>
      <c r="H367" s="1" t="s">
        <v>405</v>
      </c>
    </row>
    <row r="368" spans="1:8" x14ac:dyDescent="0.25">
      <c r="A368" s="1" t="s">
        <v>35</v>
      </c>
      <c r="B368" s="1" t="s">
        <v>413</v>
      </c>
      <c r="C368">
        <v>92</v>
      </c>
      <c r="D368" s="1" t="s">
        <v>18</v>
      </c>
      <c r="E368">
        <v>4</v>
      </c>
      <c r="F368">
        <v>22.03</v>
      </c>
      <c r="G368">
        <v>3</v>
      </c>
      <c r="H368" s="1" t="s">
        <v>405</v>
      </c>
    </row>
    <row r="369" spans="1:8" x14ac:dyDescent="0.25">
      <c r="A369" s="1" t="s">
        <v>23</v>
      </c>
      <c r="B369" s="1" t="s">
        <v>414</v>
      </c>
      <c r="C369">
        <v>54</v>
      </c>
      <c r="D369" s="1" t="s">
        <v>18</v>
      </c>
      <c r="E369">
        <v>450</v>
      </c>
      <c r="F369">
        <v>90.85</v>
      </c>
      <c r="G369">
        <v>1</v>
      </c>
      <c r="H369" s="1" t="s">
        <v>405</v>
      </c>
    </row>
    <row r="370" spans="1:8" x14ac:dyDescent="0.25">
      <c r="A370" s="1" t="s">
        <v>23</v>
      </c>
      <c r="B370" s="1" t="s">
        <v>415</v>
      </c>
      <c r="C370">
        <v>32</v>
      </c>
      <c r="D370" s="1" t="s">
        <v>21</v>
      </c>
      <c r="E370">
        <v>475</v>
      </c>
      <c r="F370">
        <v>36.54</v>
      </c>
      <c r="G370">
        <v>3</v>
      </c>
      <c r="H370" s="1" t="s">
        <v>405</v>
      </c>
    </row>
    <row r="371" spans="1:8" x14ac:dyDescent="0.25">
      <c r="A371" s="1" t="s">
        <v>48</v>
      </c>
      <c r="B371" s="1" t="s">
        <v>416</v>
      </c>
      <c r="C371">
        <v>41</v>
      </c>
      <c r="D371" s="1" t="s">
        <v>21</v>
      </c>
      <c r="E371">
        <v>404</v>
      </c>
      <c r="F371">
        <v>98.67</v>
      </c>
      <c r="G371">
        <v>5</v>
      </c>
      <c r="H371" s="1" t="s">
        <v>405</v>
      </c>
    </row>
    <row r="372" spans="1:8" x14ac:dyDescent="0.25">
      <c r="A372" s="1" t="s">
        <v>35</v>
      </c>
      <c r="B372" s="1" t="s">
        <v>417</v>
      </c>
      <c r="C372">
        <v>115</v>
      </c>
      <c r="D372" s="1" t="s">
        <v>13</v>
      </c>
      <c r="E372">
        <v>262</v>
      </c>
      <c r="F372">
        <v>66.34</v>
      </c>
      <c r="G372">
        <v>3</v>
      </c>
      <c r="H372" s="1" t="s">
        <v>405</v>
      </c>
    </row>
    <row r="373" spans="1:8" x14ac:dyDescent="0.25">
      <c r="A373" s="1" t="s">
        <v>17</v>
      </c>
      <c r="B373" s="1" t="s">
        <v>418</v>
      </c>
      <c r="C373">
        <v>7</v>
      </c>
      <c r="D373" s="1" t="s">
        <v>18</v>
      </c>
      <c r="E373">
        <v>233</v>
      </c>
      <c r="F373">
        <v>10.94</v>
      </c>
      <c r="G373">
        <v>0</v>
      </c>
      <c r="H373" s="1" t="s">
        <v>405</v>
      </c>
    </row>
    <row r="374" spans="1:8" x14ac:dyDescent="0.25">
      <c r="A374" s="1" t="s">
        <v>68</v>
      </c>
      <c r="B374" s="1" t="s">
        <v>419</v>
      </c>
      <c r="C374">
        <v>24</v>
      </c>
      <c r="D374" s="1" t="s">
        <v>18</v>
      </c>
      <c r="E374">
        <v>257</v>
      </c>
      <c r="F374">
        <v>41.99</v>
      </c>
      <c r="G374">
        <v>5</v>
      </c>
      <c r="H374" s="1" t="s">
        <v>405</v>
      </c>
    </row>
    <row r="375" spans="1:8" x14ac:dyDescent="0.25">
      <c r="A375" s="1" t="s">
        <v>29</v>
      </c>
      <c r="B375" s="1" t="s">
        <v>420</v>
      </c>
      <c r="C375">
        <v>6</v>
      </c>
      <c r="D375" s="1" t="s">
        <v>10</v>
      </c>
      <c r="E375">
        <v>362</v>
      </c>
      <c r="F375">
        <v>75.739999999999995</v>
      </c>
      <c r="G375">
        <v>4</v>
      </c>
      <c r="H375" s="1" t="s">
        <v>405</v>
      </c>
    </row>
    <row r="376" spans="1:8" x14ac:dyDescent="0.25">
      <c r="A376" s="1" t="s">
        <v>27</v>
      </c>
      <c r="B376" s="1" t="s">
        <v>421</v>
      </c>
      <c r="C376">
        <v>1</v>
      </c>
      <c r="D376" s="1" t="s">
        <v>10</v>
      </c>
      <c r="E376">
        <v>368</v>
      </c>
      <c r="F376">
        <v>35.17</v>
      </c>
      <c r="G376">
        <v>1</v>
      </c>
      <c r="H376" s="1" t="s">
        <v>405</v>
      </c>
    </row>
    <row r="377" spans="1:8" x14ac:dyDescent="0.25">
      <c r="A377" s="1" t="s">
        <v>31</v>
      </c>
      <c r="B377" s="1" t="s">
        <v>422</v>
      </c>
      <c r="C377">
        <v>7</v>
      </c>
      <c r="D377" s="1" t="s">
        <v>13</v>
      </c>
      <c r="E377">
        <v>268</v>
      </c>
      <c r="F377">
        <v>33.04</v>
      </c>
      <c r="G377">
        <v>5</v>
      </c>
      <c r="H377" s="1" t="s">
        <v>405</v>
      </c>
    </row>
    <row r="378" spans="1:8" x14ac:dyDescent="0.25">
      <c r="A378" s="1" t="s">
        <v>83</v>
      </c>
      <c r="B378" s="1" t="s">
        <v>423</v>
      </c>
      <c r="C378">
        <v>85</v>
      </c>
      <c r="D378" s="1" t="s">
        <v>21</v>
      </c>
      <c r="E378">
        <v>132</v>
      </c>
      <c r="F378">
        <v>11.41</v>
      </c>
      <c r="G378">
        <v>0</v>
      </c>
      <c r="H378" s="1" t="s">
        <v>405</v>
      </c>
    </row>
    <row r="379" spans="1:8" x14ac:dyDescent="0.25">
      <c r="A379" s="1" t="s">
        <v>15</v>
      </c>
      <c r="B379" s="1" t="s">
        <v>424</v>
      </c>
      <c r="C379">
        <v>96</v>
      </c>
      <c r="D379" s="1" t="s">
        <v>21</v>
      </c>
      <c r="E379">
        <v>155</v>
      </c>
      <c r="F379">
        <v>69.16</v>
      </c>
      <c r="G379">
        <v>4</v>
      </c>
      <c r="H379" s="1" t="s">
        <v>405</v>
      </c>
    </row>
    <row r="380" spans="1:8" x14ac:dyDescent="0.25">
      <c r="A380" s="1" t="s">
        <v>15</v>
      </c>
      <c r="B380" s="1" t="s">
        <v>425</v>
      </c>
      <c r="C380">
        <v>42</v>
      </c>
      <c r="D380" s="1" t="s">
        <v>18</v>
      </c>
      <c r="E380">
        <v>436</v>
      </c>
      <c r="F380">
        <v>88.12</v>
      </c>
      <c r="G380">
        <v>0</v>
      </c>
      <c r="H380" s="1" t="s">
        <v>405</v>
      </c>
    </row>
    <row r="381" spans="1:8" x14ac:dyDescent="0.25">
      <c r="A381" s="1" t="s">
        <v>41</v>
      </c>
      <c r="B381" s="1" t="s">
        <v>426</v>
      </c>
      <c r="C381">
        <v>28</v>
      </c>
      <c r="D381" s="1" t="s">
        <v>21</v>
      </c>
      <c r="E381">
        <v>112</v>
      </c>
      <c r="F381">
        <v>94.51</v>
      </c>
      <c r="G381">
        <v>3</v>
      </c>
      <c r="H381" s="1" t="s">
        <v>405</v>
      </c>
    </row>
    <row r="382" spans="1:8" x14ac:dyDescent="0.25">
      <c r="A382" s="1" t="s">
        <v>54</v>
      </c>
      <c r="B382" s="1" t="s">
        <v>427</v>
      </c>
      <c r="C382">
        <v>37</v>
      </c>
      <c r="D382" s="1" t="s">
        <v>21</v>
      </c>
      <c r="E382">
        <v>151</v>
      </c>
      <c r="F382">
        <v>62.49</v>
      </c>
      <c r="G382">
        <v>3</v>
      </c>
      <c r="H382" s="1" t="s">
        <v>405</v>
      </c>
    </row>
    <row r="383" spans="1:8" x14ac:dyDescent="0.25">
      <c r="A383" s="1" t="s">
        <v>48</v>
      </c>
      <c r="B383" s="1" t="s">
        <v>428</v>
      </c>
      <c r="C383">
        <v>61</v>
      </c>
      <c r="D383" s="1" t="s">
        <v>13</v>
      </c>
      <c r="E383">
        <v>362</v>
      </c>
      <c r="F383">
        <v>75.03</v>
      </c>
      <c r="G383">
        <v>0</v>
      </c>
      <c r="H383" s="1" t="s">
        <v>405</v>
      </c>
    </row>
    <row r="384" spans="1:8" x14ac:dyDescent="0.25">
      <c r="A384" s="1" t="s">
        <v>41</v>
      </c>
      <c r="B384" s="1" t="s">
        <v>429</v>
      </c>
      <c r="C384">
        <v>36</v>
      </c>
      <c r="D384" s="1" t="s">
        <v>10</v>
      </c>
      <c r="E384">
        <v>137</v>
      </c>
      <c r="F384">
        <v>71.930000000000007</v>
      </c>
      <c r="G384">
        <v>0</v>
      </c>
      <c r="H384" s="1" t="s">
        <v>405</v>
      </c>
    </row>
    <row r="385" spans="1:8" x14ac:dyDescent="0.25">
      <c r="A385" s="1" t="s">
        <v>122</v>
      </c>
      <c r="B385" s="1" t="s">
        <v>430</v>
      </c>
      <c r="C385">
        <v>117</v>
      </c>
      <c r="D385" s="1" t="s">
        <v>10</v>
      </c>
      <c r="E385">
        <v>282</v>
      </c>
      <c r="F385">
        <v>95.11</v>
      </c>
      <c r="G385">
        <v>0</v>
      </c>
      <c r="H385" s="1" t="s">
        <v>405</v>
      </c>
    </row>
    <row r="386" spans="1:8" x14ac:dyDescent="0.25">
      <c r="A386" s="1" t="s">
        <v>59</v>
      </c>
      <c r="B386" s="1" t="s">
        <v>431</v>
      </c>
      <c r="C386">
        <v>78</v>
      </c>
      <c r="D386" s="1" t="s">
        <v>10</v>
      </c>
      <c r="E386">
        <v>60</v>
      </c>
      <c r="F386">
        <v>33.159999999999997</v>
      </c>
      <c r="G386">
        <v>5</v>
      </c>
      <c r="H386" s="1" t="s">
        <v>405</v>
      </c>
    </row>
    <row r="387" spans="1:8" x14ac:dyDescent="0.25">
      <c r="A387" s="1" t="s">
        <v>62</v>
      </c>
      <c r="B387" s="1" t="s">
        <v>432</v>
      </c>
      <c r="C387">
        <v>13</v>
      </c>
      <c r="D387" s="1" t="s">
        <v>13</v>
      </c>
      <c r="E387">
        <v>87</v>
      </c>
      <c r="F387">
        <v>66.36</v>
      </c>
      <c r="G387">
        <v>0</v>
      </c>
      <c r="H387" s="1" t="s">
        <v>405</v>
      </c>
    </row>
    <row r="388" spans="1:8" x14ac:dyDescent="0.25">
      <c r="A388" s="1" t="s">
        <v>31</v>
      </c>
      <c r="B388" s="1" t="s">
        <v>433</v>
      </c>
      <c r="C388">
        <v>56</v>
      </c>
      <c r="D388" s="1" t="s">
        <v>18</v>
      </c>
      <c r="E388">
        <v>114</v>
      </c>
      <c r="F388">
        <v>64.39</v>
      </c>
      <c r="G388">
        <v>1</v>
      </c>
      <c r="H388" s="1" t="s">
        <v>405</v>
      </c>
    </row>
    <row r="389" spans="1:8" x14ac:dyDescent="0.25">
      <c r="A389" s="1" t="s">
        <v>41</v>
      </c>
      <c r="B389" s="1" t="s">
        <v>434</v>
      </c>
      <c r="C389">
        <v>24</v>
      </c>
      <c r="D389" s="1" t="s">
        <v>13</v>
      </c>
      <c r="E389">
        <v>23</v>
      </c>
      <c r="F389">
        <v>28.55</v>
      </c>
      <c r="G389">
        <v>1</v>
      </c>
      <c r="H389" s="1" t="s">
        <v>405</v>
      </c>
    </row>
    <row r="390" spans="1:8" x14ac:dyDescent="0.25">
      <c r="A390" s="1" t="s">
        <v>61</v>
      </c>
      <c r="B390" s="1" t="s">
        <v>435</v>
      </c>
      <c r="C390">
        <v>63</v>
      </c>
      <c r="D390" s="1" t="s">
        <v>13</v>
      </c>
      <c r="E390">
        <v>121</v>
      </c>
      <c r="F390">
        <v>39.18</v>
      </c>
      <c r="G390">
        <v>2</v>
      </c>
      <c r="H390" s="1" t="s">
        <v>405</v>
      </c>
    </row>
    <row r="391" spans="1:8" x14ac:dyDescent="0.25">
      <c r="A391" s="1" t="s">
        <v>29</v>
      </c>
      <c r="B391" s="1" t="s">
        <v>436</v>
      </c>
      <c r="C391">
        <v>47</v>
      </c>
      <c r="D391" s="1" t="s">
        <v>13</v>
      </c>
      <c r="E391">
        <v>149</v>
      </c>
      <c r="F391">
        <v>28.35</v>
      </c>
      <c r="G391">
        <v>1</v>
      </c>
      <c r="H391" s="1" t="s">
        <v>405</v>
      </c>
    </row>
    <row r="392" spans="1:8" x14ac:dyDescent="0.25">
      <c r="A392" s="1" t="s">
        <v>31</v>
      </c>
      <c r="B392" s="1" t="s">
        <v>437</v>
      </c>
      <c r="C392">
        <v>43</v>
      </c>
      <c r="D392" s="1" t="s">
        <v>18</v>
      </c>
      <c r="E392">
        <v>20</v>
      </c>
      <c r="F392">
        <v>66.680000000000007</v>
      </c>
      <c r="G392">
        <v>5</v>
      </c>
      <c r="H392" s="1" t="s">
        <v>405</v>
      </c>
    </row>
    <row r="393" spans="1:8" x14ac:dyDescent="0.25">
      <c r="A393" s="1" t="s">
        <v>37</v>
      </c>
      <c r="B393" s="1" t="s">
        <v>438</v>
      </c>
      <c r="C393">
        <v>39</v>
      </c>
      <c r="D393" s="1" t="s">
        <v>21</v>
      </c>
      <c r="E393">
        <v>327</v>
      </c>
      <c r="F393">
        <v>87.24</v>
      </c>
      <c r="G393">
        <v>4</v>
      </c>
      <c r="H393" s="1" t="s">
        <v>405</v>
      </c>
    </row>
    <row r="394" spans="1:8" x14ac:dyDescent="0.25">
      <c r="A394" s="1" t="s">
        <v>59</v>
      </c>
      <c r="B394" s="1" t="s">
        <v>439</v>
      </c>
      <c r="C394">
        <v>15</v>
      </c>
      <c r="D394" s="1" t="s">
        <v>10</v>
      </c>
      <c r="E394">
        <v>75</v>
      </c>
      <c r="F394">
        <v>45.59</v>
      </c>
      <c r="G394">
        <v>0</v>
      </c>
      <c r="H394" s="1" t="s">
        <v>405</v>
      </c>
    </row>
    <row r="395" spans="1:8" x14ac:dyDescent="0.25">
      <c r="A395" s="1" t="s">
        <v>122</v>
      </c>
      <c r="B395" s="1" t="s">
        <v>440</v>
      </c>
      <c r="C395">
        <v>13</v>
      </c>
      <c r="D395" s="1" t="s">
        <v>21</v>
      </c>
      <c r="E395">
        <v>482</v>
      </c>
      <c r="F395">
        <v>50.15</v>
      </c>
      <c r="G395">
        <v>0</v>
      </c>
      <c r="H395" s="1" t="s">
        <v>405</v>
      </c>
    </row>
    <row r="396" spans="1:8" x14ac:dyDescent="0.25">
      <c r="A396" s="1" t="s">
        <v>9</v>
      </c>
      <c r="B396" s="1" t="s">
        <v>441</v>
      </c>
      <c r="C396">
        <v>86</v>
      </c>
      <c r="D396" s="1" t="s">
        <v>10</v>
      </c>
      <c r="E396">
        <v>452</v>
      </c>
      <c r="F396">
        <v>75.680000000000007</v>
      </c>
      <c r="G396">
        <v>0</v>
      </c>
      <c r="H396" s="1" t="s">
        <v>405</v>
      </c>
    </row>
    <row r="397" spans="1:8" x14ac:dyDescent="0.25">
      <c r="A397" s="1" t="s">
        <v>68</v>
      </c>
      <c r="B397" s="1" t="s">
        <v>442</v>
      </c>
      <c r="C397">
        <v>2</v>
      </c>
      <c r="D397" s="1" t="s">
        <v>18</v>
      </c>
      <c r="E397">
        <v>142</v>
      </c>
      <c r="F397">
        <v>49.05</v>
      </c>
      <c r="G397">
        <v>4</v>
      </c>
      <c r="H397" s="1" t="s">
        <v>405</v>
      </c>
    </row>
    <row r="398" spans="1:8" x14ac:dyDescent="0.25">
      <c r="A398" s="1" t="s">
        <v>33</v>
      </c>
      <c r="B398" s="1" t="s">
        <v>443</v>
      </c>
      <c r="C398">
        <v>88</v>
      </c>
      <c r="D398" s="1" t="s">
        <v>18</v>
      </c>
      <c r="E398">
        <v>474</v>
      </c>
      <c r="F398">
        <v>23.35</v>
      </c>
      <c r="G398">
        <v>5</v>
      </c>
      <c r="H398" s="1" t="s">
        <v>405</v>
      </c>
    </row>
    <row r="399" spans="1:8" x14ac:dyDescent="0.25">
      <c r="A399" s="1" t="s">
        <v>35</v>
      </c>
      <c r="B399" s="1" t="s">
        <v>444</v>
      </c>
      <c r="C399">
        <v>71</v>
      </c>
      <c r="D399" s="1" t="s">
        <v>21</v>
      </c>
      <c r="E399">
        <v>68</v>
      </c>
      <c r="F399">
        <v>53.11</v>
      </c>
      <c r="G399">
        <v>2</v>
      </c>
      <c r="H399" s="1" t="s">
        <v>405</v>
      </c>
    </row>
    <row r="400" spans="1:8" x14ac:dyDescent="0.25">
      <c r="A400" s="1" t="s">
        <v>15</v>
      </c>
      <c r="B400" s="1" t="s">
        <v>445</v>
      </c>
      <c r="C400">
        <v>99</v>
      </c>
      <c r="D400" s="1" t="s">
        <v>13</v>
      </c>
      <c r="E400">
        <v>138</v>
      </c>
      <c r="F400">
        <v>54.64</v>
      </c>
      <c r="G400">
        <v>5</v>
      </c>
      <c r="H400" s="1" t="s">
        <v>405</v>
      </c>
    </row>
    <row r="401" spans="1:8" x14ac:dyDescent="0.25">
      <c r="A401" s="1" t="s">
        <v>54</v>
      </c>
      <c r="B401" s="1" t="s">
        <v>446</v>
      </c>
      <c r="C401">
        <v>111</v>
      </c>
      <c r="D401" s="1" t="s">
        <v>13</v>
      </c>
      <c r="E401">
        <v>447</v>
      </c>
      <c r="F401">
        <v>51.35</v>
      </c>
      <c r="G401">
        <v>0</v>
      </c>
      <c r="H401" s="1" t="s">
        <v>405</v>
      </c>
    </row>
    <row r="402" spans="1:8" x14ac:dyDescent="0.25">
      <c r="A402" s="1" t="s">
        <v>72</v>
      </c>
      <c r="B402" s="1" t="s">
        <v>447</v>
      </c>
      <c r="C402">
        <v>43</v>
      </c>
      <c r="D402" s="1" t="s">
        <v>21</v>
      </c>
      <c r="E402">
        <v>26</v>
      </c>
      <c r="F402">
        <v>25.85</v>
      </c>
      <c r="G402">
        <v>1</v>
      </c>
      <c r="H402" s="1" t="s">
        <v>405</v>
      </c>
    </row>
    <row r="403" spans="1:8" x14ac:dyDescent="0.25">
      <c r="A403" s="1" t="s">
        <v>9</v>
      </c>
      <c r="B403" s="1" t="s">
        <v>448</v>
      </c>
      <c r="C403">
        <v>47</v>
      </c>
      <c r="D403" s="1" t="s">
        <v>13</v>
      </c>
      <c r="E403">
        <v>328</v>
      </c>
      <c r="F403">
        <v>61.27</v>
      </c>
      <c r="G403">
        <v>3</v>
      </c>
      <c r="H403" s="1" t="s">
        <v>405</v>
      </c>
    </row>
    <row r="404" spans="1:8" x14ac:dyDescent="0.25">
      <c r="A404" s="1" t="s">
        <v>59</v>
      </c>
      <c r="B404" s="1" t="s">
        <v>449</v>
      </c>
      <c r="C404">
        <v>104</v>
      </c>
      <c r="D404" s="1" t="s">
        <v>13</v>
      </c>
      <c r="E404">
        <v>421</v>
      </c>
      <c r="F404">
        <v>26.24</v>
      </c>
      <c r="G404">
        <v>3</v>
      </c>
      <c r="H404" s="1" t="s">
        <v>405</v>
      </c>
    </row>
    <row r="405" spans="1:8" x14ac:dyDescent="0.25">
      <c r="A405" s="1" t="s">
        <v>68</v>
      </c>
      <c r="B405" s="1" t="s">
        <v>450</v>
      </c>
      <c r="C405">
        <v>47</v>
      </c>
      <c r="D405" s="1" t="s">
        <v>13</v>
      </c>
      <c r="E405">
        <v>107</v>
      </c>
      <c r="F405">
        <v>35.380000000000003</v>
      </c>
      <c r="G405">
        <v>1</v>
      </c>
      <c r="H405" s="1" t="s">
        <v>405</v>
      </c>
    </row>
    <row r="406" spans="1:8" x14ac:dyDescent="0.25">
      <c r="A406" s="1" t="s">
        <v>9</v>
      </c>
      <c r="B406" s="1" t="s">
        <v>451</v>
      </c>
      <c r="C406">
        <v>96</v>
      </c>
      <c r="D406" s="1" t="s">
        <v>10</v>
      </c>
      <c r="E406">
        <v>273</v>
      </c>
      <c r="F406">
        <v>37.909999999999997</v>
      </c>
      <c r="G406">
        <v>2</v>
      </c>
      <c r="H406" s="1" t="s">
        <v>405</v>
      </c>
    </row>
    <row r="407" spans="1:8" x14ac:dyDescent="0.25">
      <c r="A407" s="1" t="s">
        <v>57</v>
      </c>
      <c r="B407" s="1" t="s">
        <v>453</v>
      </c>
      <c r="C407">
        <v>43</v>
      </c>
      <c r="D407" s="1" t="s">
        <v>10</v>
      </c>
      <c r="E407">
        <v>193</v>
      </c>
      <c r="F407">
        <v>35.81</v>
      </c>
      <c r="G407">
        <v>0</v>
      </c>
      <c r="H407" s="1" t="s">
        <v>452</v>
      </c>
    </row>
    <row r="408" spans="1:8" x14ac:dyDescent="0.25">
      <c r="A408" s="1" t="s">
        <v>35</v>
      </c>
      <c r="B408" s="1" t="s">
        <v>454</v>
      </c>
      <c r="C408">
        <v>77</v>
      </c>
      <c r="D408" s="1" t="s">
        <v>21</v>
      </c>
      <c r="E408">
        <v>375</v>
      </c>
      <c r="F408">
        <v>24.03</v>
      </c>
      <c r="G408">
        <v>1</v>
      </c>
      <c r="H408" s="1" t="s">
        <v>452</v>
      </c>
    </row>
    <row r="409" spans="1:8" x14ac:dyDescent="0.25">
      <c r="A409" s="1" t="s">
        <v>15</v>
      </c>
      <c r="B409" s="1" t="s">
        <v>455</v>
      </c>
      <c r="C409">
        <v>87</v>
      </c>
      <c r="D409" s="1" t="s">
        <v>10</v>
      </c>
      <c r="E409">
        <v>356</v>
      </c>
      <c r="F409">
        <v>12.89</v>
      </c>
      <c r="G409">
        <v>0</v>
      </c>
      <c r="H409" s="1" t="s">
        <v>452</v>
      </c>
    </row>
    <row r="410" spans="1:8" x14ac:dyDescent="0.25">
      <c r="A410" s="1" t="s">
        <v>61</v>
      </c>
      <c r="B410" s="1" t="s">
        <v>456</v>
      </c>
      <c r="C410">
        <v>115</v>
      </c>
      <c r="D410" s="1" t="s">
        <v>13</v>
      </c>
      <c r="E410">
        <v>190</v>
      </c>
      <c r="F410">
        <v>10.98</v>
      </c>
      <c r="G410">
        <v>0</v>
      </c>
      <c r="H410" s="1" t="s">
        <v>452</v>
      </c>
    </row>
    <row r="411" spans="1:8" x14ac:dyDescent="0.25">
      <c r="A411" s="1" t="s">
        <v>59</v>
      </c>
      <c r="B411" s="1" t="s">
        <v>457</v>
      </c>
      <c r="C411">
        <v>86</v>
      </c>
      <c r="D411" s="1" t="s">
        <v>10</v>
      </c>
      <c r="E411">
        <v>27</v>
      </c>
      <c r="F411">
        <v>84.94</v>
      </c>
      <c r="G411">
        <v>4</v>
      </c>
      <c r="H411" s="1" t="s">
        <v>452</v>
      </c>
    </row>
    <row r="412" spans="1:8" x14ac:dyDescent="0.25">
      <c r="A412" s="1" t="s">
        <v>48</v>
      </c>
      <c r="B412" s="1" t="s">
        <v>458</v>
      </c>
      <c r="C412">
        <v>88</v>
      </c>
      <c r="D412" s="1" t="s">
        <v>10</v>
      </c>
      <c r="E412">
        <v>359</v>
      </c>
      <c r="F412">
        <v>71.19</v>
      </c>
      <c r="G412">
        <v>3</v>
      </c>
      <c r="H412" s="1" t="s">
        <v>452</v>
      </c>
    </row>
    <row r="413" spans="1:8" x14ac:dyDescent="0.25">
      <c r="A413" s="1" t="s">
        <v>57</v>
      </c>
      <c r="B413" s="1" t="s">
        <v>459</v>
      </c>
      <c r="C413">
        <v>39</v>
      </c>
      <c r="D413" s="1" t="s">
        <v>13</v>
      </c>
      <c r="E413">
        <v>54</v>
      </c>
      <c r="F413">
        <v>88.84</v>
      </c>
      <c r="G413">
        <v>0</v>
      </c>
      <c r="H413" s="1" t="s">
        <v>452</v>
      </c>
    </row>
    <row r="414" spans="1:8" x14ac:dyDescent="0.25">
      <c r="A414" s="1" t="s">
        <v>33</v>
      </c>
      <c r="B414" s="1" t="s">
        <v>460</v>
      </c>
      <c r="C414">
        <v>80</v>
      </c>
      <c r="D414" s="1" t="s">
        <v>13</v>
      </c>
      <c r="E414">
        <v>339</v>
      </c>
      <c r="F414">
        <v>59.87</v>
      </c>
      <c r="G414">
        <v>0</v>
      </c>
      <c r="H414" s="1" t="s">
        <v>452</v>
      </c>
    </row>
    <row r="415" spans="1:8" x14ac:dyDescent="0.25">
      <c r="A415" s="1" t="s">
        <v>48</v>
      </c>
      <c r="B415" s="1" t="s">
        <v>461</v>
      </c>
      <c r="C415">
        <v>105</v>
      </c>
      <c r="D415" s="1" t="s">
        <v>13</v>
      </c>
      <c r="E415">
        <v>297</v>
      </c>
      <c r="F415">
        <v>84.66</v>
      </c>
      <c r="G415">
        <v>2</v>
      </c>
      <c r="H415" s="1" t="s">
        <v>452</v>
      </c>
    </row>
    <row r="416" spans="1:8" x14ac:dyDescent="0.25">
      <c r="A416" s="1" t="s">
        <v>68</v>
      </c>
      <c r="B416" s="1" t="s">
        <v>462</v>
      </c>
      <c r="C416">
        <v>37</v>
      </c>
      <c r="D416" s="1" t="s">
        <v>13</v>
      </c>
      <c r="E416">
        <v>37</v>
      </c>
      <c r="F416">
        <v>92.72</v>
      </c>
      <c r="G416">
        <v>0</v>
      </c>
      <c r="H416" s="1" t="s">
        <v>452</v>
      </c>
    </row>
    <row r="417" spans="1:8" x14ac:dyDescent="0.25">
      <c r="A417" s="1" t="s">
        <v>9</v>
      </c>
      <c r="B417" s="1" t="s">
        <v>463</v>
      </c>
      <c r="C417">
        <v>45</v>
      </c>
      <c r="D417" s="1" t="s">
        <v>10</v>
      </c>
      <c r="E417">
        <v>244</v>
      </c>
      <c r="F417">
        <v>55.17</v>
      </c>
      <c r="G417">
        <v>2</v>
      </c>
      <c r="H417" s="1" t="s">
        <v>452</v>
      </c>
    </row>
    <row r="418" spans="1:8" x14ac:dyDescent="0.25">
      <c r="A418" s="1" t="s">
        <v>41</v>
      </c>
      <c r="B418" s="1" t="s">
        <v>464</v>
      </c>
      <c r="C418">
        <v>113</v>
      </c>
      <c r="D418" s="1" t="s">
        <v>21</v>
      </c>
      <c r="E418">
        <v>428</v>
      </c>
      <c r="F418">
        <v>73.84</v>
      </c>
      <c r="G418">
        <v>0</v>
      </c>
      <c r="H418" s="1" t="s">
        <v>452</v>
      </c>
    </row>
    <row r="419" spans="1:8" x14ac:dyDescent="0.25">
      <c r="A419" s="1" t="s">
        <v>61</v>
      </c>
      <c r="B419" s="1" t="s">
        <v>465</v>
      </c>
      <c r="C419">
        <v>14</v>
      </c>
      <c r="D419" s="1" t="s">
        <v>21</v>
      </c>
      <c r="E419">
        <v>304</v>
      </c>
      <c r="F419">
        <v>48.13</v>
      </c>
      <c r="G419">
        <v>2</v>
      </c>
      <c r="H419" s="1" t="s">
        <v>452</v>
      </c>
    </row>
    <row r="420" spans="1:8" x14ac:dyDescent="0.25">
      <c r="A420" s="1" t="s">
        <v>54</v>
      </c>
      <c r="B420" s="1" t="s">
        <v>466</v>
      </c>
      <c r="C420">
        <v>35</v>
      </c>
      <c r="D420" s="1" t="s">
        <v>13</v>
      </c>
      <c r="E420">
        <v>445</v>
      </c>
      <c r="F420">
        <v>24.11</v>
      </c>
      <c r="G420">
        <v>2</v>
      </c>
      <c r="H420" s="1" t="s">
        <v>452</v>
      </c>
    </row>
    <row r="421" spans="1:8" x14ac:dyDescent="0.25">
      <c r="A421" s="1" t="s">
        <v>61</v>
      </c>
      <c r="B421" s="1" t="s">
        <v>467</v>
      </c>
      <c r="C421">
        <v>118</v>
      </c>
      <c r="D421" s="1" t="s">
        <v>13</v>
      </c>
      <c r="E421">
        <v>80</v>
      </c>
      <c r="F421">
        <v>97.58</v>
      </c>
      <c r="G421">
        <v>3</v>
      </c>
      <c r="H421" s="1" t="s">
        <v>452</v>
      </c>
    </row>
    <row r="422" spans="1:8" x14ac:dyDescent="0.25">
      <c r="A422" s="1" t="s">
        <v>54</v>
      </c>
      <c r="B422" s="1" t="s">
        <v>468</v>
      </c>
      <c r="C422">
        <v>64</v>
      </c>
      <c r="D422" s="1" t="s">
        <v>13</v>
      </c>
      <c r="E422">
        <v>15</v>
      </c>
      <c r="F422">
        <v>56.94</v>
      </c>
      <c r="G422">
        <v>4</v>
      </c>
      <c r="H422" s="1" t="s">
        <v>452</v>
      </c>
    </row>
    <row r="423" spans="1:8" x14ac:dyDescent="0.25">
      <c r="A423" s="1" t="s">
        <v>9</v>
      </c>
      <c r="B423" s="1" t="s">
        <v>469</v>
      </c>
      <c r="C423">
        <v>85</v>
      </c>
      <c r="D423" s="1" t="s">
        <v>13</v>
      </c>
      <c r="E423">
        <v>75</v>
      </c>
      <c r="F423">
        <v>98.01</v>
      </c>
      <c r="G423">
        <v>1</v>
      </c>
      <c r="H423" s="1" t="s">
        <v>452</v>
      </c>
    </row>
    <row r="424" spans="1:8" x14ac:dyDescent="0.25">
      <c r="A424" s="1" t="s">
        <v>122</v>
      </c>
      <c r="B424" s="1" t="s">
        <v>470</v>
      </c>
      <c r="C424">
        <v>48</v>
      </c>
      <c r="D424" s="1" t="s">
        <v>21</v>
      </c>
      <c r="E424">
        <v>187</v>
      </c>
      <c r="F424">
        <v>21.26</v>
      </c>
      <c r="G424">
        <v>2</v>
      </c>
      <c r="H424" s="1" t="s">
        <v>452</v>
      </c>
    </row>
    <row r="425" spans="1:8" x14ac:dyDescent="0.25">
      <c r="A425" s="1" t="s">
        <v>41</v>
      </c>
      <c r="B425" s="1" t="s">
        <v>471</v>
      </c>
      <c r="C425">
        <v>120</v>
      </c>
      <c r="D425" s="1" t="s">
        <v>13</v>
      </c>
      <c r="E425">
        <v>72</v>
      </c>
      <c r="F425">
        <v>29.07</v>
      </c>
      <c r="G425">
        <v>3</v>
      </c>
      <c r="H425" s="1" t="s">
        <v>452</v>
      </c>
    </row>
    <row r="426" spans="1:8" x14ac:dyDescent="0.25">
      <c r="A426" s="1" t="s">
        <v>20</v>
      </c>
      <c r="B426" s="1" t="s">
        <v>472</v>
      </c>
      <c r="C426">
        <v>34</v>
      </c>
      <c r="D426" s="1" t="s">
        <v>18</v>
      </c>
      <c r="E426">
        <v>40</v>
      </c>
      <c r="F426">
        <v>65.709999999999994</v>
      </c>
      <c r="G426">
        <v>5</v>
      </c>
      <c r="H426" s="1" t="s">
        <v>452</v>
      </c>
    </row>
    <row r="427" spans="1:8" x14ac:dyDescent="0.25">
      <c r="A427" s="1" t="s">
        <v>33</v>
      </c>
      <c r="B427" s="1" t="s">
        <v>473</v>
      </c>
      <c r="C427">
        <v>117</v>
      </c>
      <c r="D427" s="1" t="s">
        <v>21</v>
      </c>
      <c r="E427">
        <v>39</v>
      </c>
      <c r="F427">
        <v>26.53</v>
      </c>
      <c r="G427">
        <v>1</v>
      </c>
      <c r="H427" s="1" t="s">
        <v>452</v>
      </c>
    </row>
    <row r="428" spans="1:8" x14ac:dyDescent="0.25">
      <c r="A428" s="1" t="s">
        <v>54</v>
      </c>
      <c r="B428" s="1" t="s">
        <v>474</v>
      </c>
      <c r="C428">
        <v>92</v>
      </c>
      <c r="D428" s="1" t="s">
        <v>18</v>
      </c>
      <c r="E428">
        <v>6</v>
      </c>
      <c r="F428">
        <v>77.14</v>
      </c>
      <c r="G428">
        <v>5</v>
      </c>
      <c r="H428" s="1" t="s">
        <v>452</v>
      </c>
    </row>
    <row r="429" spans="1:8" x14ac:dyDescent="0.25">
      <c r="A429" s="1" t="s">
        <v>12</v>
      </c>
      <c r="B429" s="1" t="s">
        <v>475</v>
      </c>
      <c r="C429">
        <v>103</v>
      </c>
      <c r="D429" s="1" t="s">
        <v>21</v>
      </c>
      <c r="E429">
        <v>291</v>
      </c>
      <c r="F429">
        <v>60.34</v>
      </c>
      <c r="G429">
        <v>5</v>
      </c>
      <c r="H429" s="1" t="s">
        <v>452</v>
      </c>
    </row>
    <row r="430" spans="1:8" x14ac:dyDescent="0.25">
      <c r="A430" s="1" t="s">
        <v>122</v>
      </c>
      <c r="B430" s="1" t="s">
        <v>476</v>
      </c>
      <c r="C430">
        <v>10</v>
      </c>
      <c r="D430" s="1" t="s">
        <v>10</v>
      </c>
      <c r="E430">
        <v>425</v>
      </c>
      <c r="F430">
        <v>85.75</v>
      </c>
      <c r="G430">
        <v>0</v>
      </c>
      <c r="H430" s="1" t="s">
        <v>452</v>
      </c>
    </row>
    <row r="431" spans="1:8" x14ac:dyDescent="0.25">
      <c r="A431" s="1" t="s">
        <v>12</v>
      </c>
      <c r="B431" s="1" t="s">
        <v>477</v>
      </c>
      <c r="C431">
        <v>101</v>
      </c>
      <c r="D431" s="1" t="s">
        <v>18</v>
      </c>
      <c r="E431">
        <v>416</v>
      </c>
      <c r="F431">
        <v>83.49</v>
      </c>
      <c r="G431">
        <v>2</v>
      </c>
      <c r="H431" s="1" t="s">
        <v>452</v>
      </c>
    </row>
    <row r="432" spans="1:8" x14ac:dyDescent="0.25">
      <c r="A432" s="1" t="s">
        <v>35</v>
      </c>
      <c r="B432" s="1" t="s">
        <v>478</v>
      </c>
      <c r="C432">
        <v>1</v>
      </c>
      <c r="D432" s="1" t="s">
        <v>21</v>
      </c>
      <c r="E432">
        <v>213</v>
      </c>
      <c r="F432">
        <v>52.16</v>
      </c>
      <c r="G432">
        <v>3</v>
      </c>
      <c r="H432" s="1" t="s">
        <v>452</v>
      </c>
    </row>
    <row r="433" spans="1:8" x14ac:dyDescent="0.25">
      <c r="A433" s="1" t="s">
        <v>48</v>
      </c>
      <c r="B433" s="1" t="s">
        <v>479</v>
      </c>
      <c r="C433">
        <v>111</v>
      </c>
      <c r="D433" s="1" t="s">
        <v>18</v>
      </c>
      <c r="E433">
        <v>76</v>
      </c>
      <c r="F433">
        <v>38.19</v>
      </c>
      <c r="G433">
        <v>5</v>
      </c>
      <c r="H433" s="1" t="s">
        <v>452</v>
      </c>
    </row>
    <row r="434" spans="1:8" x14ac:dyDescent="0.25">
      <c r="A434" s="1" t="s">
        <v>24</v>
      </c>
      <c r="B434" s="1" t="s">
        <v>480</v>
      </c>
      <c r="C434">
        <v>120</v>
      </c>
      <c r="D434" s="1" t="s">
        <v>10</v>
      </c>
      <c r="E434">
        <v>391</v>
      </c>
      <c r="F434">
        <v>67.77</v>
      </c>
      <c r="G434">
        <v>4</v>
      </c>
      <c r="H434" s="1" t="s">
        <v>452</v>
      </c>
    </row>
    <row r="435" spans="1:8" x14ac:dyDescent="0.25">
      <c r="A435" s="1" t="s">
        <v>27</v>
      </c>
      <c r="B435" s="1" t="s">
        <v>481</v>
      </c>
      <c r="C435">
        <v>20</v>
      </c>
      <c r="D435" s="1" t="s">
        <v>13</v>
      </c>
      <c r="E435">
        <v>93</v>
      </c>
      <c r="F435">
        <v>84.45</v>
      </c>
      <c r="G435">
        <v>0</v>
      </c>
      <c r="H435" s="1" t="s">
        <v>452</v>
      </c>
    </row>
    <row r="436" spans="1:8" x14ac:dyDescent="0.25">
      <c r="A436" s="1" t="s">
        <v>48</v>
      </c>
      <c r="B436" s="1" t="s">
        <v>482</v>
      </c>
      <c r="C436">
        <v>100</v>
      </c>
      <c r="D436" s="1" t="s">
        <v>21</v>
      </c>
      <c r="E436">
        <v>240</v>
      </c>
      <c r="F436">
        <v>24.83</v>
      </c>
      <c r="G436">
        <v>4</v>
      </c>
      <c r="H436" s="1" t="s">
        <v>452</v>
      </c>
    </row>
    <row r="437" spans="1:8" x14ac:dyDescent="0.25">
      <c r="A437" s="1" t="s">
        <v>33</v>
      </c>
      <c r="B437" s="1" t="s">
        <v>483</v>
      </c>
      <c r="C437">
        <v>41</v>
      </c>
      <c r="D437" s="1" t="s">
        <v>10</v>
      </c>
      <c r="E437">
        <v>383</v>
      </c>
      <c r="F437">
        <v>27.53</v>
      </c>
      <c r="G437">
        <v>4</v>
      </c>
      <c r="H437" s="1" t="s">
        <v>452</v>
      </c>
    </row>
    <row r="438" spans="1:8" x14ac:dyDescent="0.25">
      <c r="A438" s="1" t="s">
        <v>20</v>
      </c>
      <c r="B438" s="1" t="s">
        <v>484</v>
      </c>
      <c r="C438">
        <v>19</v>
      </c>
      <c r="D438" s="1" t="s">
        <v>10</v>
      </c>
      <c r="E438">
        <v>270</v>
      </c>
      <c r="F438">
        <v>19.760000000000002</v>
      </c>
      <c r="G438">
        <v>3</v>
      </c>
      <c r="H438" s="1" t="s">
        <v>452</v>
      </c>
    </row>
    <row r="439" spans="1:8" x14ac:dyDescent="0.25">
      <c r="A439" s="1" t="s">
        <v>29</v>
      </c>
      <c r="B439" s="1" t="s">
        <v>485</v>
      </c>
      <c r="C439">
        <v>58</v>
      </c>
      <c r="D439" s="1" t="s">
        <v>10</v>
      </c>
      <c r="E439">
        <v>485</v>
      </c>
      <c r="F439">
        <v>64.290000000000006</v>
      </c>
      <c r="G439">
        <v>4</v>
      </c>
      <c r="H439" s="1" t="s">
        <v>452</v>
      </c>
    </row>
    <row r="440" spans="1:8" x14ac:dyDescent="0.25">
      <c r="A440" s="1" t="s">
        <v>72</v>
      </c>
      <c r="B440" s="1" t="s">
        <v>486</v>
      </c>
      <c r="C440">
        <v>93</v>
      </c>
      <c r="D440" s="1" t="s">
        <v>13</v>
      </c>
      <c r="E440">
        <v>153</v>
      </c>
      <c r="F440">
        <v>86.19</v>
      </c>
      <c r="G440">
        <v>0</v>
      </c>
      <c r="H440" s="1" t="s">
        <v>452</v>
      </c>
    </row>
    <row r="441" spans="1:8" x14ac:dyDescent="0.25">
      <c r="A441" s="1" t="s">
        <v>48</v>
      </c>
      <c r="B441" s="1" t="s">
        <v>487</v>
      </c>
      <c r="C441">
        <v>102</v>
      </c>
      <c r="D441" s="1" t="s">
        <v>21</v>
      </c>
      <c r="E441">
        <v>240</v>
      </c>
      <c r="F441">
        <v>12.52</v>
      </c>
      <c r="G441">
        <v>2</v>
      </c>
      <c r="H441" s="1" t="s">
        <v>452</v>
      </c>
    </row>
    <row r="442" spans="1:8" x14ac:dyDescent="0.25">
      <c r="A442" s="1" t="s">
        <v>59</v>
      </c>
      <c r="B442" s="1" t="s">
        <v>488</v>
      </c>
      <c r="C442">
        <v>105</v>
      </c>
      <c r="D442" s="1" t="s">
        <v>21</v>
      </c>
      <c r="E442">
        <v>172</v>
      </c>
      <c r="F442">
        <v>15.88</v>
      </c>
      <c r="G442">
        <v>5</v>
      </c>
      <c r="H442" s="1" t="s">
        <v>452</v>
      </c>
    </row>
    <row r="443" spans="1:8" x14ac:dyDescent="0.25">
      <c r="A443" s="1" t="s">
        <v>29</v>
      </c>
      <c r="B443" s="1" t="s">
        <v>489</v>
      </c>
      <c r="C443">
        <v>9</v>
      </c>
      <c r="D443" s="1" t="s">
        <v>21</v>
      </c>
      <c r="E443">
        <v>227</v>
      </c>
      <c r="F443">
        <v>63.74</v>
      </c>
      <c r="G443">
        <v>3</v>
      </c>
      <c r="H443" s="1" t="s">
        <v>452</v>
      </c>
    </row>
    <row r="444" spans="1:8" x14ac:dyDescent="0.25">
      <c r="A444" s="1" t="s">
        <v>41</v>
      </c>
      <c r="B444" s="1" t="s">
        <v>490</v>
      </c>
      <c r="C444">
        <v>15</v>
      </c>
      <c r="D444" s="1" t="s">
        <v>18</v>
      </c>
      <c r="E444">
        <v>400</v>
      </c>
      <c r="F444">
        <v>78.09</v>
      </c>
      <c r="G444">
        <v>0</v>
      </c>
      <c r="H444" s="1" t="s">
        <v>452</v>
      </c>
    </row>
    <row r="445" spans="1:8" x14ac:dyDescent="0.25">
      <c r="A445" s="1" t="s">
        <v>27</v>
      </c>
      <c r="B445" s="1" t="s">
        <v>491</v>
      </c>
      <c r="C445">
        <v>74</v>
      </c>
      <c r="D445" s="1" t="s">
        <v>21</v>
      </c>
      <c r="E445">
        <v>330</v>
      </c>
      <c r="F445">
        <v>37.82</v>
      </c>
      <c r="G445">
        <v>5</v>
      </c>
      <c r="H445" s="1" t="s">
        <v>452</v>
      </c>
    </row>
    <row r="446" spans="1:8" x14ac:dyDescent="0.25">
      <c r="A446" s="1" t="s">
        <v>9</v>
      </c>
      <c r="B446" s="1" t="s">
        <v>492</v>
      </c>
      <c r="C446">
        <v>55</v>
      </c>
      <c r="D446" s="1" t="s">
        <v>18</v>
      </c>
      <c r="E446">
        <v>355</v>
      </c>
      <c r="F446">
        <v>59.65</v>
      </c>
      <c r="G446">
        <v>0</v>
      </c>
      <c r="H446" s="1" t="s">
        <v>452</v>
      </c>
    </row>
    <row r="447" spans="1:8" x14ac:dyDescent="0.25">
      <c r="A447" s="1" t="s">
        <v>68</v>
      </c>
      <c r="B447" s="1" t="s">
        <v>493</v>
      </c>
      <c r="C447">
        <v>94</v>
      </c>
      <c r="D447" s="1" t="s">
        <v>21</v>
      </c>
      <c r="E447">
        <v>6</v>
      </c>
      <c r="F447">
        <v>67.459999999999994</v>
      </c>
      <c r="G447">
        <v>5</v>
      </c>
      <c r="H447" s="1" t="s">
        <v>452</v>
      </c>
    </row>
    <row r="448" spans="1:8" x14ac:dyDescent="0.25">
      <c r="A448" s="1" t="s">
        <v>15</v>
      </c>
      <c r="B448" s="1" t="s">
        <v>495</v>
      </c>
      <c r="C448">
        <v>120</v>
      </c>
      <c r="D448" s="1" t="s">
        <v>18</v>
      </c>
      <c r="E448">
        <v>27</v>
      </c>
      <c r="F448">
        <v>24.46</v>
      </c>
      <c r="G448">
        <v>3</v>
      </c>
      <c r="H448" s="1" t="s">
        <v>494</v>
      </c>
    </row>
    <row r="449" spans="1:8" x14ac:dyDescent="0.25">
      <c r="A449" s="1" t="s">
        <v>126</v>
      </c>
      <c r="B449" s="1" t="s">
        <v>496</v>
      </c>
      <c r="C449">
        <v>21</v>
      </c>
      <c r="D449" s="1" t="s">
        <v>21</v>
      </c>
      <c r="E449">
        <v>444</v>
      </c>
      <c r="F449">
        <v>41.92</v>
      </c>
      <c r="G449">
        <v>3</v>
      </c>
      <c r="H449" s="1" t="s">
        <v>494</v>
      </c>
    </row>
    <row r="450" spans="1:8" x14ac:dyDescent="0.25">
      <c r="A450" s="1" t="s">
        <v>35</v>
      </c>
      <c r="B450" s="1" t="s">
        <v>497</v>
      </c>
      <c r="C450">
        <v>9</v>
      </c>
      <c r="D450" s="1" t="s">
        <v>18</v>
      </c>
      <c r="E450">
        <v>11</v>
      </c>
      <c r="F450">
        <v>72.36</v>
      </c>
      <c r="G450">
        <v>2</v>
      </c>
      <c r="H450" s="1" t="s">
        <v>494</v>
      </c>
    </row>
    <row r="451" spans="1:8" x14ac:dyDescent="0.25">
      <c r="A451" s="1" t="s">
        <v>27</v>
      </c>
      <c r="B451" s="1" t="s">
        <v>498</v>
      </c>
      <c r="C451">
        <v>36</v>
      </c>
      <c r="D451" s="1" t="s">
        <v>21</v>
      </c>
      <c r="E451">
        <v>487</v>
      </c>
      <c r="F451">
        <v>45.02</v>
      </c>
      <c r="G451">
        <v>2</v>
      </c>
      <c r="H451" s="1" t="s">
        <v>494</v>
      </c>
    </row>
    <row r="452" spans="1:8" x14ac:dyDescent="0.25">
      <c r="A452" s="1" t="s">
        <v>68</v>
      </c>
      <c r="B452" s="1" t="s">
        <v>499</v>
      </c>
      <c r="C452">
        <v>74</v>
      </c>
      <c r="D452" s="1" t="s">
        <v>18</v>
      </c>
      <c r="E452">
        <v>388</v>
      </c>
      <c r="F452">
        <v>10.89</v>
      </c>
      <c r="G452">
        <v>4</v>
      </c>
      <c r="H452" s="1" t="s">
        <v>494</v>
      </c>
    </row>
    <row r="453" spans="1:8" x14ac:dyDescent="0.25">
      <c r="A453" s="1" t="s">
        <v>68</v>
      </c>
      <c r="B453" s="1" t="s">
        <v>500</v>
      </c>
      <c r="C453">
        <v>47</v>
      </c>
      <c r="D453" s="1" t="s">
        <v>10</v>
      </c>
      <c r="E453">
        <v>350</v>
      </c>
      <c r="F453">
        <v>80.48</v>
      </c>
      <c r="G453">
        <v>3</v>
      </c>
      <c r="H453" s="1" t="s">
        <v>494</v>
      </c>
    </row>
    <row r="454" spans="1:8" x14ac:dyDescent="0.25">
      <c r="A454" s="1" t="s">
        <v>17</v>
      </c>
      <c r="B454" s="1" t="s">
        <v>501</v>
      </c>
      <c r="C454">
        <v>46</v>
      </c>
      <c r="D454" s="1" t="s">
        <v>13</v>
      </c>
      <c r="E454">
        <v>216</v>
      </c>
      <c r="F454">
        <v>63.74</v>
      </c>
      <c r="G454">
        <v>4</v>
      </c>
      <c r="H454" s="1" t="s">
        <v>494</v>
      </c>
    </row>
    <row r="455" spans="1:8" x14ac:dyDescent="0.25">
      <c r="A455" s="1" t="s">
        <v>15</v>
      </c>
      <c r="B455" s="1" t="s">
        <v>502</v>
      </c>
      <c r="C455">
        <v>10</v>
      </c>
      <c r="D455" s="1" t="s">
        <v>13</v>
      </c>
      <c r="E455">
        <v>129</v>
      </c>
      <c r="F455">
        <v>70.12</v>
      </c>
      <c r="G455">
        <v>0</v>
      </c>
      <c r="H455" s="1" t="s">
        <v>494</v>
      </c>
    </row>
    <row r="456" spans="1:8" x14ac:dyDescent="0.25">
      <c r="A456" s="1" t="s">
        <v>68</v>
      </c>
      <c r="B456" s="1" t="s">
        <v>503</v>
      </c>
      <c r="C456">
        <v>23</v>
      </c>
      <c r="D456" s="1" t="s">
        <v>18</v>
      </c>
      <c r="E456">
        <v>325</v>
      </c>
      <c r="F456">
        <v>65.489999999999995</v>
      </c>
      <c r="G456">
        <v>1</v>
      </c>
      <c r="H456" s="1" t="s">
        <v>494</v>
      </c>
    </row>
    <row r="457" spans="1:8" x14ac:dyDescent="0.25">
      <c r="A457" s="1" t="s">
        <v>126</v>
      </c>
      <c r="B457" s="1" t="s">
        <v>504</v>
      </c>
      <c r="C457">
        <v>91</v>
      </c>
      <c r="D457" s="1" t="s">
        <v>21</v>
      </c>
      <c r="E457">
        <v>90</v>
      </c>
      <c r="F457">
        <v>39.14</v>
      </c>
      <c r="G457">
        <v>3</v>
      </c>
      <c r="H457" s="1" t="s">
        <v>494</v>
      </c>
    </row>
    <row r="458" spans="1:8" x14ac:dyDescent="0.25">
      <c r="A458" s="1" t="s">
        <v>72</v>
      </c>
      <c r="B458" s="1" t="s">
        <v>505</v>
      </c>
      <c r="C458">
        <v>99</v>
      </c>
      <c r="D458" s="1" t="s">
        <v>13</v>
      </c>
      <c r="E458">
        <v>42</v>
      </c>
      <c r="F458">
        <v>98.77</v>
      </c>
      <c r="G458">
        <v>3</v>
      </c>
      <c r="H458" s="1" t="s">
        <v>494</v>
      </c>
    </row>
    <row r="459" spans="1:8" x14ac:dyDescent="0.25">
      <c r="A459" s="1" t="s">
        <v>118</v>
      </c>
      <c r="B459" s="1" t="s">
        <v>506</v>
      </c>
      <c r="C459">
        <v>59</v>
      </c>
      <c r="D459" s="1" t="s">
        <v>13</v>
      </c>
      <c r="E459">
        <v>72</v>
      </c>
      <c r="F459">
        <v>94.51</v>
      </c>
      <c r="G459">
        <v>2</v>
      </c>
      <c r="H459" s="1" t="s">
        <v>494</v>
      </c>
    </row>
    <row r="460" spans="1:8" x14ac:dyDescent="0.25">
      <c r="A460" s="1" t="s">
        <v>23</v>
      </c>
      <c r="B460" s="1" t="s">
        <v>507</v>
      </c>
      <c r="C460">
        <v>34</v>
      </c>
      <c r="D460" s="1" t="s">
        <v>18</v>
      </c>
      <c r="E460">
        <v>35</v>
      </c>
      <c r="F460">
        <v>76.86</v>
      </c>
      <c r="G460">
        <v>1</v>
      </c>
      <c r="H460" s="1" t="s">
        <v>494</v>
      </c>
    </row>
    <row r="461" spans="1:8" x14ac:dyDescent="0.25">
      <c r="A461" s="1" t="s">
        <v>72</v>
      </c>
      <c r="B461" s="1" t="s">
        <v>508</v>
      </c>
      <c r="C461">
        <v>33</v>
      </c>
      <c r="D461" s="1" t="s">
        <v>13</v>
      </c>
      <c r="E461">
        <v>207</v>
      </c>
      <c r="F461">
        <v>38.49</v>
      </c>
      <c r="G461">
        <v>4</v>
      </c>
      <c r="H461" s="1" t="s">
        <v>494</v>
      </c>
    </row>
    <row r="462" spans="1:8" x14ac:dyDescent="0.25">
      <c r="A462" s="1" t="s">
        <v>33</v>
      </c>
      <c r="B462" s="1" t="s">
        <v>509</v>
      </c>
      <c r="C462">
        <v>98</v>
      </c>
      <c r="D462" s="1" t="s">
        <v>13</v>
      </c>
      <c r="E462">
        <v>41</v>
      </c>
      <c r="F462">
        <v>23.55</v>
      </c>
      <c r="G462">
        <v>1</v>
      </c>
      <c r="H462" s="1" t="s">
        <v>494</v>
      </c>
    </row>
    <row r="463" spans="1:8" x14ac:dyDescent="0.25">
      <c r="A463" s="1" t="s">
        <v>20</v>
      </c>
      <c r="B463" s="1" t="s">
        <v>510</v>
      </c>
      <c r="C463">
        <v>113</v>
      </c>
      <c r="D463" s="1" t="s">
        <v>13</v>
      </c>
      <c r="E463">
        <v>152</v>
      </c>
      <c r="F463">
        <v>51.28</v>
      </c>
      <c r="G463">
        <v>4</v>
      </c>
      <c r="H463" s="1" t="s">
        <v>494</v>
      </c>
    </row>
    <row r="464" spans="1:8" x14ac:dyDescent="0.25">
      <c r="A464" s="1" t="s">
        <v>29</v>
      </c>
      <c r="B464" s="1" t="s">
        <v>511</v>
      </c>
      <c r="C464">
        <v>57</v>
      </c>
      <c r="D464" s="1" t="s">
        <v>18</v>
      </c>
      <c r="E464">
        <v>447</v>
      </c>
      <c r="F464">
        <v>23.27</v>
      </c>
      <c r="G464">
        <v>3</v>
      </c>
      <c r="H464" s="1" t="s">
        <v>494</v>
      </c>
    </row>
    <row r="465" spans="1:8" x14ac:dyDescent="0.25">
      <c r="A465" s="1" t="s">
        <v>9</v>
      </c>
      <c r="B465" s="1" t="s">
        <v>512</v>
      </c>
      <c r="C465">
        <v>84</v>
      </c>
      <c r="D465" s="1" t="s">
        <v>18</v>
      </c>
      <c r="E465">
        <v>364</v>
      </c>
      <c r="F465">
        <v>87.79</v>
      </c>
      <c r="G465">
        <v>3</v>
      </c>
      <c r="H465" s="1" t="s">
        <v>494</v>
      </c>
    </row>
    <row r="466" spans="1:8" x14ac:dyDescent="0.25">
      <c r="A466" s="1" t="s">
        <v>59</v>
      </c>
      <c r="B466" s="1" t="s">
        <v>513</v>
      </c>
      <c r="C466">
        <v>119</v>
      </c>
      <c r="D466" s="1" t="s">
        <v>21</v>
      </c>
      <c r="E466">
        <v>231</v>
      </c>
      <c r="F466">
        <v>20.22</v>
      </c>
      <c r="G466">
        <v>2</v>
      </c>
      <c r="H466" s="1" t="s">
        <v>494</v>
      </c>
    </row>
    <row r="467" spans="1:8" x14ac:dyDescent="0.25">
      <c r="A467" s="1" t="s">
        <v>126</v>
      </c>
      <c r="B467" s="1" t="s">
        <v>514</v>
      </c>
      <c r="C467">
        <v>16</v>
      </c>
      <c r="D467" s="1" t="s">
        <v>13</v>
      </c>
      <c r="E467">
        <v>214</v>
      </c>
      <c r="F467">
        <v>46.57</v>
      </c>
      <c r="G467">
        <v>5</v>
      </c>
      <c r="H467" s="1" t="s">
        <v>494</v>
      </c>
    </row>
    <row r="468" spans="1:8" x14ac:dyDescent="0.25">
      <c r="A468" s="1" t="s">
        <v>12</v>
      </c>
      <c r="B468" s="1" t="s">
        <v>515</v>
      </c>
      <c r="C468">
        <v>73</v>
      </c>
      <c r="D468" s="1" t="s">
        <v>13</v>
      </c>
      <c r="E468">
        <v>268</v>
      </c>
      <c r="F468">
        <v>56.86</v>
      </c>
      <c r="G468">
        <v>5</v>
      </c>
      <c r="H468" s="1" t="s">
        <v>494</v>
      </c>
    </row>
    <row r="469" spans="1:8" x14ac:dyDescent="0.25">
      <c r="A469" s="1" t="s">
        <v>122</v>
      </c>
      <c r="B469" s="1" t="s">
        <v>516</v>
      </c>
      <c r="C469">
        <v>63</v>
      </c>
      <c r="D469" s="1" t="s">
        <v>21</v>
      </c>
      <c r="E469">
        <v>109</v>
      </c>
      <c r="F469">
        <v>10.33</v>
      </c>
      <c r="G469">
        <v>3</v>
      </c>
      <c r="H469" s="1" t="s">
        <v>494</v>
      </c>
    </row>
    <row r="470" spans="1:8" x14ac:dyDescent="0.25">
      <c r="A470" s="1" t="s">
        <v>54</v>
      </c>
      <c r="B470" s="1" t="s">
        <v>517</v>
      </c>
      <c r="C470">
        <v>6</v>
      </c>
      <c r="D470" s="1" t="s">
        <v>13</v>
      </c>
      <c r="E470">
        <v>342</v>
      </c>
      <c r="F470">
        <v>50.55</v>
      </c>
      <c r="G470">
        <v>5</v>
      </c>
      <c r="H470" s="1" t="s">
        <v>494</v>
      </c>
    </row>
    <row r="471" spans="1:8" x14ac:dyDescent="0.25">
      <c r="A471" s="1" t="s">
        <v>31</v>
      </c>
      <c r="B471" s="1" t="s">
        <v>518</v>
      </c>
      <c r="C471">
        <v>47</v>
      </c>
      <c r="D471" s="1" t="s">
        <v>10</v>
      </c>
      <c r="E471">
        <v>457</v>
      </c>
      <c r="F471">
        <v>84.93</v>
      </c>
      <c r="G471">
        <v>2</v>
      </c>
      <c r="H471" s="1" t="s">
        <v>494</v>
      </c>
    </row>
    <row r="472" spans="1:8" x14ac:dyDescent="0.25">
      <c r="A472" s="1" t="s">
        <v>29</v>
      </c>
      <c r="B472" s="1" t="s">
        <v>519</v>
      </c>
      <c r="C472">
        <v>110</v>
      </c>
      <c r="D472" s="1" t="s">
        <v>18</v>
      </c>
      <c r="E472">
        <v>132</v>
      </c>
      <c r="F472">
        <v>21.31</v>
      </c>
      <c r="G472">
        <v>5</v>
      </c>
      <c r="H472" s="1" t="s">
        <v>494</v>
      </c>
    </row>
    <row r="473" spans="1:8" x14ac:dyDescent="0.25">
      <c r="A473" s="1" t="s">
        <v>29</v>
      </c>
      <c r="B473" s="1" t="s">
        <v>520</v>
      </c>
      <c r="C473">
        <v>37</v>
      </c>
      <c r="D473" s="1" t="s">
        <v>10</v>
      </c>
      <c r="E473">
        <v>94</v>
      </c>
      <c r="F473">
        <v>50.44</v>
      </c>
      <c r="G473">
        <v>4</v>
      </c>
      <c r="H473" s="1" t="s">
        <v>494</v>
      </c>
    </row>
    <row r="474" spans="1:8" x14ac:dyDescent="0.25">
      <c r="A474" s="1" t="s">
        <v>37</v>
      </c>
      <c r="B474" s="1" t="s">
        <v>521</v>
      </c>
      <c r="C474">
        <v>52</v>
      </c>
      <c r="D474" s="1" t="s">
        <v>10</v>
      </c>
      <c r="E474">
        <v>425</v>
      </c>
      <c r="F474">
        <v>97.25</v>
      </c>
      <c r="G474">
        <v>0</v>
      </c>
      <c r="H474" s="1" t="s">
        <v>494</v>
      </c>
    </row>
    <row r="475" spans="1:8" x14ac:dyDescent="0.25">
      <c r="A475" s="1" t="s">
        <v>41</v>
      </c>
      <c r="B475" s="1" t="s">
        <v>522</v>
      </c>
      <c r="C475">
        <v>53</v>
      </c>
      <c r="D475" s="1" t="s">
        <v>13</v>
      </c>
      <c r="E475">
        <v>27</v>
      </c>
      <c r="F475">
        <v>18.77</v>
      </c>
      <c r="G475">
        <v>0</v>
      </c>
      <c r="H475" s="1" t="s">
        <v>494</v>
      </c>
    </row>
    <row r="476" spans="1:8" x14ac:dyDescent="0.25">
      <c r="A476" s="1" t="s">
        <v>83</v>
      </c>
      <c r="B476" s="1" t="s">
        <v>523</v>
      </c>
      <c r="C476">
        <v>110</v>
      </c>
      <c r="D476" s="1" t="s">
        <v>21</v>
      </c>
      <c r="E476">
        <v>47</v>
      </c>
      <c r="F476">
        <v>29.68</v>
      </c>
      <c r="G476">
        <v>0</v>
      </c>
      <c r="H476" s="1" t="s">
        <v>494</v>
      </c>
    </row>
    <row r="477" spans="1:8" x14ac:dyDescent="0.25">
      <c r="A477" s="1" t="s">
        <v>15</v>
      </c>
      <c r="B477" s="1" t="s">
        <v>524</v>
      </c>
      <c r="C477">
        <v>80</v>
      </c>
      <c r="D477" s="1" t="s">
        <v>13</v>
      </c>
      <c r="E477">
        <v>458</v>
      </c>
      <c r="F477">
        <v>98.11</v>
      </c>
      <c r="G477">
        <v>0</v>
      </c>
      <c r="H477" s="1" t="s">
        <v>494</v>
      </c>
    </row>
    <row r="478" spans="1:8" x14ac:dyDescent="0.25">
      <c r="A478" s="1" t="s">
        <v>24</v>
      </c>
      <c r="B478" s="1" t="s">
        <v>525</v>
      </c>
      <c r="C478">
        <v>118</v>
      </c>
      <c r="D478" s="1" t="s">
        <v>18</v>
      </c>
      <c r="E478">
        <v>461</v>
      </c>
      <c r="F478">
        <v>47.82</v>
      </c>
      <c r="G478">
        <v>5</v>
      </c>
      <c r="H478" s="1" t="s">
        <v>494</v>
      </c>
    </row>
    <row r="479" spans="1:8" x14ac:dyDescent="0.25">
      <c r="A479" s="1" t="s">
        <v>48</v>
      </c>
      <c r="B479" s="1" t="s">
        <v>526</v>
      </c>
      <c r="C479">
        <v>88</v>
      </c>
      <c r="D479" s="1" t="s">
        <v>10</v>
      </c>
      <c r="E479">
        <v>219</v>
      </c>
      <c r="F479">
        <v>59.15</v>
      </c>
      <c r="G479">
        <v>0</v>
      </c>
      <c r="H479" s="1" t="s">
        <v>494</v>
      </c>
    </row>
    <row r="480" spans="1:8" x14ac:dyDescent="0.25">
      <c r="A480" s="1" t="s">
        <v>23</v>
      </c>
      <c r="B480" s="1" t="s">
        <v>527</v>
      </c>
      <c r="C480">
        <v>17</v>
      </c>
      <c r="D480" s="1" t="s">
        <v>13</v>
      </c>
      <c r="E480">
        <v>175</v>
      </c>
      <c r="F480">
        <v>24.95</v>
      </c>
      <c r="G480">
        <v>4</v>
      </c>
      <c r="H480" s="1" t="s">
        <v>494</v>
      </c>
    </row>
    <row r="481" spans="1:8" x14ac:dyDescent="0.25">
      <c r="A481" s="1" t="s">
        <v>61</v>
      </c>
      <c r="B481" s="1" t="s">
        <v>528</v>
      </c>
      <c r="C481">
        <v>57</v>
      </c>
      <c r="D481" s="1" t="s">
        <v>18</v>
      </c>
      <c r="E481">
        <v>493</v>
      </c>
      <c r="F481">
        <v>43.98</v>
      </c>
      <c r="G481">
        <v>3</v>
      </c>
      <c r="H481" s="1" t="s">
        <v>494</v>
      </c>
    </row>
    <row r="482" spans="1:8" x14ac:dyDescent="0.25">
      <c r="A482" s="1" t="s">
        <v>41</v>
      </c>
      <c r="B482" s="1" t="s">
        <v>529</v>
      </c>
      <c r="C482">
        <v>47</v>
      </c>
      <c r="D482" s="1" t="s">
        <v>21</v>
      </c>
      <c r="E482">
        <v>385</v>
      </c>
      <c r="F482">
        <v>41.33</v>
      </c>
      <c r="G482">
        <v>0</v>
      </c>
      <c r="H482" s="1" t="s">
        <v>494</v>
      </c>
    </row>
    <row r="483" spans="1:8" x14ac:dyDescent="0.25">
      <c r="A483" s="1" t="s">
        <v>126</v>
      </c>
      <c r="B483" s="1" t="s">
        <v>530</v>
      </c>
      <c r="C483">
        <v>66</v>
      </c>
      <c r="D483" s="1" t="s">
        <v>13</v>
      </c>
      <c r="E483">
        <v>152</v>
      </c>
      <c r="F483">
        <v>95.71</v>
      </c>
      <c r="G483">
        <v>3</v>
      </c>
      <c r="H483" s="1" t="s">
        <v>494</v>
      </c>
    </row>
    <row r="484" spans="1:8" x14ac:dyDescent="0.25">
      <c r="A484" s="1" t="s">
        <v>33</v>
      </c>
      <c r="B484" s="1" t="s">
        <v>531</v>
      </c>
      <c r="C484">
        <v>109</v>
      </c>
      <c r="D484" s="1" t="s">
        <v>21</v>
      </c>
      <c r="E484">
        <v>84</v>
      </c>
      <c r="F484">
        <v>97.46</v>
      </c>
      <c r="G484">
        <v>5</v>
      </c>
      <c r="H484" s="1" t="s">
        <v>494</v>
      </c>
    </row>
    <row r="485" spans="1:8" x14ac:dyDescent="0.25">
      <c r="A485" s="1" t="s">
        <v>57</v>
      </c>
      <c r="B485" s="1" t="s">
        <v>532</v>
      </c>
      <c r="C485">
        <v>80</v>
      </c>
      <c r="D485" s="1" t="s">
        <v>21</v>
      </c>
      <c r="E485">
        <v>101</v>
      </c>
      <c r="F485">
        <v>61.92</v>
      </c>
      <c r="G485">
        <v>4</v>
      </c>
      <c r="H485" s="1" t="s">
        <v>494</v>
      </c>
    </row>
    <row r="486" spans="1:8" x14ac:dyDescent="0.25">
      <c r="A486" s="1" t="s">
        <v>23</v>
      </c>
      <c r="B486" s="1" t="s">
        <v>533</v>
      </c>
      <c r="C486">
        <v>41</v>
      </c>
      <c r="D486" s="1" t="s">
        <v>10</v>
      </c>
      <c r="E486">
        <v>178</v>
      </c>
      <c r="F486">
        <v>11.29</v>
      </c>
      <c r="G486">
        <v>4</v>
      </c>
      <c r="H486" s="1" t="s">
        <v>494</v>
      </c>
    </row>
    <row r="487" spans="1:8" x14ac:dyDescent="0.25">
      <c r="A487" s="1" t="s">
        <v>23</v>
      </c>
      <c r="B487" s="1" t="s">
        <v>534</v>
      </c>
      <c r="C487">
        <v>48</v>
      </c>
      <c r="D487" s="1" t="s">
        <v>18</v>
      </c>
      <c r="E487">
        <v>482</v>
      </c>
      <c r="F487">
        <v>83.24</v>
      </c>
      <c r="G487">
        <v>0</v>
      </c>
      <c r="H487" s="1" t="s">
        <v>494</v>
      </c>
    </row>
    <row r="488" spans="1:8" x14ac:dyDescent="0.25">
      <c r="A488" s="1" t="s">
        <v>37</v>
      </c>
      <c r="B488" s="1" t="s">
        <v>535</v>
      </c>
      <c r="C488">
        <v>11</v>
      </c>
      <c r="D488" s="1" t="s">
        <v>13</v>
      </c>
      <c r="E488">
        <v>214</v>
      </c>
      <c r="F488">
        <v>11.46</v>
      </c>
      <c r="G488">
        <v>5</v>
      </c>
      <c r="H488" s="1" t="s">
        <v>494</v>
      </c>
    </row>
    <row r="489" spans="1:8" x14ac:dyDescent="0.25">
      <c r="A489" s="1" t="s">
        <v>48</v>
      </c>
      <c r="B489" s="1" t="s">
        <v>536</v>
      </c>
      <c r="C489">
        <v>53</v>
      </c>
      <c r="D489" s="1" t="s">
        <v>10</v>
      </c>
      <c r="E489">
        <v>243</v>
      </c>
      <c r="F489">
        <v>55.19</v>
      </c>
      <c r="G489">
        <v>4</v>
      </c>
      <c r="H489" s="1" t="s">
        <v>494</v>
      </c>
    </row>
    <row r="490" spans="1:8" x14ac:dyDescent="0.25">
      <c r="A490" s="1" t="s">
        <v>72</v>
      </c>
      <c r="B490" s="1" t="s">
        <v>537</v>
      </c>
      <c r="C490">
        <v>58</v>
      </c>
      <c r="D490" s="1" t="s">
        <v>13</v>
      </c>
      <c r="E490">
        <v>352</v>
      </c>
      <c r="F490">
        <v>72.94</v>
      </c>
      <c r="G490">
        <v>0</v>
      </c>
      <c r="H490" s="1" t="s">
        <v>494</v>
      </c>
    </row>
    <row r="491" spans="1:8" x14ac:dyDescent="0.25">
      <c r="A491" s="1" t="s">
        <v>54</v>
      </c>
      <c r="B491" s="1" t="s">
        <v>539</v>
      </c>
      <c r="C491">
        <v>51</v>
      </c>
      <c r="D491" s="1" t="s">
        <v>21</v>
      </c>
      <c r="E491">
        <v>152</v>
      </c>
      <c r="F491">
        <v>34.630000000000003</v>
      </c>
      <c r="G491">
        <v>2</v>
      </c>
      <c r="H491" s="1" t="s">
        <v>538</v>
      </c>
    </row>
    <row r="492" spans="1:8" x14ac:dyDescent="0.25">
      <c r="A492" s="1" t="s">
        <v>126</v>
      </c>
      <c r="B492" s="1" t="s">
        <v>540</v>
      </c>
      <c r="C492">
        <v>25</v>
      </c>
      <c r="D492" s="1" t="s">
        <v>18</v>
      </c>
      <c r="E492">
        <v>5</v>
      </c>
      <c r="F492">
        <v>27.93</v>
      </c>
      <c r="G492">
        <v>0</v>
      </c>
      <c r="H492" s="1" t="s">
        <v>538</v>
      </c>
    </row>
    <row r="493" spans="1:8" x14ac:dyDescent="0.25">
      <c r="A493" s="1" t="s">
        <v>118</v>
      </c>
      <c r="B493" s="1" t="s">
        <v>541</v>
      </c>
      <c r="C493">
        <v>79</v>
      </c>
      <c r="D493" s="1" t="s">
        <v>18</v>
      </c>
      <c r="E493">
        <v>462</v>
      </c>
      <c r="F493">
        <v>18.28</v>
      </c>
      <c r="G493">
        <v>0</v>
      </c>
      <c r="H493" s="1" t="s">
        <v>538</v>
      </c>
    </row>
    <row r="494" spans="1:8" x14ac:dyDescent="0.25">
      <c r="A494" s="1" t="s">
        <v>57</v>
      </c>
      <c r="B494" s="1" t="s">
        <v>542</v>
      </c>
      <c r="C494">
        <v>83</v>
      </c>
      <c r="D494" s="1" t="s">
        <v>13</v>
      </c>
      <c r="E494">
        <v>91</v>
      </c>
      <c r="F494">
        <v>73.73</v>
      </c>
      <c r="G494">
        <v>2</v>
      </c>
      <c r="H494" s="1" t="s">
        <v>538</v>
      </c>
    </row>
    <row r="495" spans="1:8" x14ac:dyDescent="0.25">
      <c r="A495" s="1" t="s">
        <v>122</v>
      </c>
      <c r="B495" s="1" t="s">
        <v>543</v>
      </c>
      <c r="C495">
        <v>51</v>
      </c>
      <c r="D495" s="1" t="s">
        <v>18</v>
      </c>
      <c r="E495">
        <v>337</v>
      </c>
      <c r="F495">
        <v>68.67</v>
      </c>
      <c r="G495">
        <v>5</v>
      </c>
      <c r="H495" s="1" t="s">
        <v>538</v>
      </c>
    </row>
    <row r="496" spans="1:8" x14ac:dyDescent="0.25">
      <c r="A496" s="1" t="s">
        <v>48</v>
      </c>
      <c r="B496" s="1" t="s">
        <v>544</v>
      </c>
      <c r="C496">
        <v>107</v>
      </c>
      <c r="D496" s="1" t="s">
        <v>21</v>
      </c>
      <c r="E496">
        <v>290</v>
      </c>
      <c r="F496">
        <v>52.03</v>
      </c>
      <c r="G496">
        <v>0</v>
      </c>
      <c r="H496" s="1" t="s">
        <v>538</v>
      </c>
    </row>
    <row r="497" spans="1:8" x14ac:dyDescent="0.25">
      <c r="A497" s="1" t="s">
        <v>31</v>
      </c>
      <c r="B497" s="1" t="s">
        <v>545</v>
      </c>
      <c r="C497">
        <v>7</v>
      </c>
      <c r="D497" s="1" t="s">
        <v>13</v>
      </c>
      <c r="E497">
        <v>323</v>
      </c>
      <c r="F497">
        <v>82.81</v>
      </c>
      <c r="G497">
        <v>5</v>
      </c>
      <c r="H497" s="1" t="s">
        <v>538</v>
      </c>
    </row>
    <row r="498" spans="1:8" x14ac:dyDescent="0.25">
      <c r="A498" s="1" t="s">
        <v>24</v>
      </c>
      <c r="B498" s="1" t="s">
        <v>546</v>
      </c>
      <c r="C498">
        <v>103</v>
      </c>
      <c r="D498" s="1" t="s">
        <v>10</v>
      </c>
      <c r="E498">
        <v>310</v>
      </c>
      <c r="F498">
        <v>49.25</v>
      </c>
      <c r="G498">
        <v>2</v>
      </c>
      <c r="H498" s="1" t="s">
        <v>538</v>
      </c>
    </row>
    <row r="499" spans="1:8" x14ac:dyDescent="0.25">
      <c r="A499" s="1" t="s">
        <v>48</v>
      </c>
      <c r="B499" s="1" t="s">
        <v>547</v>
      </c>
      <c r="C499">
        <v>120</v>
      </c>
      <c r="D499" s="1" t="s">
        <v>21</v>
      </c>
      <c r="E499">
        <v>437</v>
      </c>
      <c r="F499">
        <v>95.17</v>
      </c>
      <c r="G499">
        <v>1</v>
      </c>
      <c r="H499" s="1" t="s">
        <v>538</v>
      </c>
    </row>
    <row r="500" spans="1:8" x14ac:dyDescent="0.25">
      <c r="A500" s="1" t="s">
        <v>20</v>
      </c>
      <c r="B500" s="1" t="s">
        <v>548</v>
      </c>
      <c r="C500">
        <v>74</v>
      </c>
      <c r="D500" s="1" t="s">
        <v>21</v>
      </c>
      <c r="E500">
        <v>16</v>
      </c>
      <c r="F500">
        <v>93.01</v>
      </c>
      <c r="G500">
        <v>3</v>
      </c>
      <c r="H500" s="1" t="s">
        <v>538</v>
      </c>
    </row>
    <row r="501" spans="1:8" x14ac:dyDescent="0.25">
      <c r="A501" s="1" t="s">
        <v>23</v>
      </c>
      <c r="B501" s="1" t="s">
        <v>549</v>
      </c>
      <c r="C501">
        <v>55</v>
      </c>
      <c r="D501" s="1" t="s">
        <v>21</v>
      </c>
      <c r="E501">
        <v>60</v>
      </c>
      <c r="F501">
        <v>32.51</v>
      </c>
      <c r="G501">
        <v>4</v>
      </c>
      <c r="H501" s="1" t="s">
        <v>538</v>
      </c>
    </row>
    <row r="502" spans="1:8" x14ac:dyDescent="0.25">
      <c r="A502" s="1" t="s">
        <v>118</v>
      </c>
      <c r="B502" s="1" t="s">
        <v>550</v>
      </c>
      <c r="C502">
        <v>17</v>
      </c>
      <c r="D502" s="1" t="s">
        <v>10</v>
      </c>
      <c r="E502">
        <v>499</v>
      </c>
      <c r="F502">
        <v>27.81</v>
      </c>
      <c r="G502">
        <v>2</v>
      </c>
      <c r="H502" s="1" t="s">
        <v>538</v>
      </c>
    </row>
    <row r="503" spans="1:8" x14ac:dyDescent="0.25">
      <c r="A503" s="1" t="s">
        <v>9</v>
      </c>
      <c r="B503" s="1" t="s">
        <v>551</v>
      </c>
      <c r="C503">
        <v>82</v>
      </c>
      <c r="D503" s="1" t="s">
        <v>21</v>
      </c>
      <c r="E503">
        <v>175</v>
      </c>
      <c r="F503">
        <v>86.14</v>
      </c>
      <c r="G503">
        <v>1</v>
      </c>
      <c r="H503" s="1" t="s">
        <v>538</v>
      </c>
    </row>
    <row r="504" spans="1:8" x14ac:dyDescent="0.25">
      <c r="A504" s="1" t="s">
        <v>15</v>
      </c>
      <c r="B504" s="1" t="s">
        <v>552</v>
      </c>
      <c r="C504">
        <v>50</v>
      </c>
      <c r="D504" s="1" t="s">
        <v>21</v>
      </c>
      <c r="E504">
        <v>177</v>
      </c>
      <c r="F504">
        <v>74.569999999999993</v>
      </c>
      <c r="G504">
        <v>4</v>
      </c>
      <c r="H504" s="1" t="s">
        <v>538</v>
      </c>
    </row>
    <row r="505" spans="1:8" x14ac:dyDescent="0.25">
      <c r="A505" s="1" t="s">
        <v>35</v>
      </c>
      <c r="B505" s="1" t="s">
        <v>553</v>
      </c>
      <c r="C505">
        <v>94</v>
      </c>
      <c r="D505" s="1" t="s">
        <v>13</v>
      </c>
      <c r="E505">
        <v>247</v>
      </c>
      <c r="F505">
        <v>96.57</v>
      </c>
      <c r="G505">
        <v>0</v>
      </c>
      <c r="H505" s="1" t="s">
        <v>538</v>
      </c>
    </row>
    <row r="506" spans="1:8" x14ac:dyDescent="0.25">
      <c r="A506" s="1" t="s">
        <v>23</v>
      </c>
      <c r="B506" s="1" t="s">
        <v>554</v>
      </c>
      <c r="C506">
        <v>23</v>
      </c>
      <c r="D506" s="1" t="s">
        <v>10</v>
      </c>
      <c r="E506">
        <v>314</v>
      </c>
      <c r="F506">
        <v>19.260000000000002</v>
      </c>
      <c r="G506">
        <v>3</v>
      </c>
      <c r="H506" s="1" t="s">
        <v>538</v>
      </c>
    </row>
    <row r="507" spans="1:8" x14ac:dyDescent="0.25">
      <c r="A507" s="1" t="s">
        <v>17</v>
      </c>
      <c r="B507" s="1" t="s">
        <v>555</v>
      </c>
      <c r="C507">
        <v>52</v>
      </c>
      <c r="D507" s="1" t="s">
        <v>18</v>
      </c>
      <c r="E507">
        <v>307</v>
      </c>
      <c r="F507">
        <v>81.38</v>
      </c>
      <c r="G507">
        <v>2</v>
      </c>
      <c r="H507" s="1" t="s">
        <v>538</v>
      </c>
    </row>
    <row r="508" spans="1:8" x14ac:dyDescent="0.25">
      <c r="A508" s="1" t="s">
        <v>122</v>
      </c>
      <c r="B508" s="1" t="s">
        <v>556</v>
      </c>
      <c r="C508">
        <v>116</v>
      </c>
      <c r="D508" s="1" t="s">
        <v>10</v>
      </c>
      <c r="E508">
        <v>279</v>
      </c>
      <c r="F508">
        <v>62.88</v>
      </c>
      <c r="G508">
        <v>4</v>
      </c>
      <c r="H508" s="1" t="s">
        <v>538</v>
      </c>
    </row>
    <row r="509" spans="1:8" x14ac:dyDescent="0.25">
      <c r="A509" s="1" t="s">
        <v>61</v>
      </c>
      <c r="B509" s="1" t="s">
        <v>557</v>
      </c>
      <c r="C509">
        <v>41</v>
      </c>
      <c r="D509" s="1" t="s">
        <v>18</v>
      </c>
      <c r="E509">
        <v>2</v>
      </c>
      <c r="F509">
        <v>24.91</v>
      </c>
      <c r="G509">
        <v>1</v>
      </c>
      <c r="H509" s="1" t="s">
        <v>538</v>
      </c>
    </row>
    <row r="510" spans="1:8" x14ac:dyDescent="0.25">
      <c r="A510" s="1" t="s">
        <v>20</v>
      </c>
      <c r="B510" s="1" t="s">
        <v>558</v>
      </c>
      <c r="C510">
        <v>67</v>
      </c>
      <c r="D510" s="1" t="s">
        <v>21</v>
      </c>
      <c r="E510">
        <v>81</v>
      </c>
      <c r="F510">
        <v>28.52</v>
      </c>
      <c r="G510">
        <v>4</v>
      </c>
      <c r="H510" s="1" t="s">
        <v>538</v>
      </c>
    </row>
    <row r="511" spans="1:8" x14ac:dyDescent="0.25">
      <c r="A511" s="1" t="s">
        <v>23</v>
      </c>
      <c r="B511" s="1" t="s">
        <v>559</v>
      </c>
      <c r="C511">
        <v>21</v>
      </c>
      <c r="D511" s="1" t="s">
        <v>18</v>
      </c>
      <c r="E511">
        <v>267</v>
      </c>
      <c r="F511">
        <v>74.989999999999995</v>
      </c>
      <c r="G511">
        <v>1</v>
      </c>
      <c r="H511" s="1" t="s">
        <v>538</v>
      </c>
    </row>
    <row r="512" spans="1:8" x14ac:dyDescent="0.25">
      <c r="A512" s="1" t="s">
        <v>54</v>
      </c>
      <c r="B512" s="1" t="s">
        <v>560</v>
      </c>
      <c r="C512">
        <v>56</v>
      </c>
      <c r="D512" s="1" t="s">
        <v>18</v>
      </c>
      <c r="E512">
        <v>379</v>
      </c>
      <c r="F512">
        <v>49.01</v>
      </c>
      <c r="G512">
        <v>0</v>
      </c>
      <c r="H512" s="1" t="s">
        <v>538</v>
      </c>
    </row>
    <row r="513" spans="1:8" x14ac:dyDescent="0.25">
      <c r="A513" s="1" t="s">
        <v>68</v>
      </c>
      <c r="B513" s="1" t="s">
        <v>561</v>
      </c>
      <c r="C513">
        <v>30</v>
      </c>
      <c r="D513" s="1" t="s">
        <v>18</v>
      </c>
      <c r="E513">
        <v>130</v>
      </c>
      <c r="F513">
        <v>50.15</v>
      </c>
      <c r="G513">
        <v>4</v>
      </c>
      <c r="H513" s="1" t="s">
        <v>538</v>
      </c>
    </row>
    <row r="514" spans="1:8" x14ac:dyDescent="0.25">
      <c r="A514" s="1" t="s">
        <v>33</v>
      </c>
      <c r="B514" s="1" t="s">
        <v>562</v>
      </c>
      <c r="C514">
        <v>13</v>
      </c>
      <c r="D514" s="1" t="s">
        <v>13</v>
      </c>
      <c r="E514">
        <v>474</v>
      </c>
      <c r="F514">
        <v>63.67</v>
      </c>
      <c r="G514">
        <v>2</v>
      </c>
      <c r="H514" s="1" t="s">
        <v>538</v>
      </c>
    </row>
    <row r="515" spans="1:8" x14ac:dyDescent="0.25">
      <c r="A515" s="1" t="s">
        <v>62</v>
      </c>
      <c r="B515" s="1" t="s">
        <v>563</v>
      </c>
      <c r="C515">
        <v>91</v>
      </c>
      <c r="D515" s="1" t="s">
        <v>18</v>
      </c>
      <c r="E515">
        <v>62</v>
      </c>
      <c r="F515">
        <v>34.450000000000003</v>
      </c>
      <c r="G515">
        <v>5</v>
      </c>
      <c r="H515" s="1" t="s">
        <v>538</v>
      </c>
    </row>
    <row r="516" spans="1:8" x14ac:dyDescent="0.25">
      <c r="A516" s="1" t="s">
        <v>12</v>
      </c>
      <c r="B516" s="1" t="s">
        <v>564</v>
      </c>
      <c r="C516">
        <v>103</v>
      </c>
      <c r="D516" s="1" t="s">
        <v>18</v>
      </c>
      <c r="E516">
        <v>98</v>
      </c>
      <c r="F516">
        <v>38.69</v>
      </c>
      <c r="G516">
        <v>4</v>
      </c>
      <c r="H516" s="1" t="s">
        <v>538</v>
      </c>
    </row>
    <row r="517" spans="1:8" x14ac:dyDescent="0.25">
      <c r="A517" s="1" t="s">
        <v>62</v>
      </c>
      <c r="B517" s="1" t="s">
        <v>565</v>
      </c>
      <c r="C517">
        <v>17</v>
      </c>
      <c r="D517" s="1" t="s">
        <v>21</v>
      </c>
      <c r="E517">
        <v>310</v>
      </c>
      <c r="F517">
        <v>19.68</v>
      </c>
      <c r="G517">
        <v>5</v>
      </c>
      <c r="H517" s="1" t="s">
        <v>538</v>
      </c>
    </row>
    <row r="518" spans="1:8" x14ac:dyDescent="0.25">
      <c r="A518" s="1" t="s">
        <v>33</v>
      </c>
      <c r="B518" s="1" t="s">
        <v>566</v>
      </c>
      <c r="C518">
        <v>65</v>
      </c>
      <c r="D518" s="1" t="s">
        <v>10</v>
      </c>
      <c r="E518">
        <v>15</v>
      </c>
      <c r="F518">
        <v>44.47</v>
      </c>
      <c r="G518">
        <v>0</v>
      </c>
      <c r="H518" s="1" t="s">
        <v>538</v>
      </c>
    </row>
    <row r="519" spans="1:8" x14ac:dyDescent="0.25">
      <c r="A519" s="1" t="s">
        <v>23</v>
      </c>
      <c r="B519" s="1" t="s">
        <v>567</v>
      </c>
      <c r="C519">
        <v>16</v>
      </c>
      <c r="D519" s="1" t="s">
        <v>10</v>
      </c>
      <c r="E519">
        <v>274</v>
      </c>
      <c r="F519">
        <v>27.97</v>
      </c>
      <c r="G519">
        <v>4</v>
      </c>
      <c r="H519" s="1" t="s">
        <v>538</v>
      </c>
    </row>
    <row r="520" spans="1:8" x14ac:dyDescent="0.25">
      <c r="A520" s="1" t="s">
        <v>9</v>
      </c>
      <c r="B520" s="1" t="s">
        <v>568</v>
      </c>
      <c r="C520">
        <v>81</v>
      </c>
      <c r="D520" s="1" t="s">
        <v>21</v>
      </c>
      <c r="E520">
        <v>11</v>
      </c>
      <c r="F520">
        <v>41.76</v>
      </c>
      <c r="G520">
        <v>5</v>
      </c>
      <c r="H520" s="1" t="s">
        <v>538</v>
      </c>
    </row>
    <row r="521" spans="1:8" x14ac:dyDescent="0.25">
      <c r="A521" s="1" t="s">
        <v>12</v>
      </c>
      <c r="B521" s="1" t="s">
        <v>569</v>
      </c>
      <c r="C521">
        <v>74</v>
      </c>
      <c r="D521" s="1" t="s">
        <v>18</v>
      </c>
      <c r="E521">
        <v>265</v>
      </c>
      <c r="F521">
        <v>90.81</v>
      </c>
      <c r="G521">
        <v>3</v>
      </c>
      <c r="H521" s="1" t="s">
        <v>538</v>
      </c>
    </row>
    <row r="522" spans="1:8" x14ac:dyDescent="0.25">
      <c r="A522" s="1" t="s">
        <v>54</v>
      </c>
      <c r="B522" s="1" t="s">
        <v>570</v>
      </c>
      <c r="C522">
        <v>101</v>
      </c>
      <c r="D522" s="1" t="s">
        <v>18</v>
      </c>
      <c r="E522">
        <v>262</v>
      </c>
      <c r="F522">
        <v>83.74</v>
      </c>
      <c r="G522">
        <v>5</v>
      </c>
      <c r="H522" s="1" t="s">
        <v>538</v>
      </c>
    </row>
    <row r="523" spans="1:8" x14ac:dyDescent="0.25">
      <c r="A523" s="1" t="s">
        <v>61</v>
      </c>
      <c r="B523" s="1" t="s">
        <v>571</v>
      </c>
      <c r="C523">
        <v>51</v>
      </c>
      <c r="D523" s="1" t="s">
        <v>13</v>
      </c>
      <c r="E523">
        <v>389</v>
      </c>
      <c r="F523">
        <v>50.45</v>
      </c>
      <c r="G523">
        <v>3</v>
      </c>
      <c r="H523" s="1" t="s">
        <v>538</v>
      </c>
    </row>
    <row r="524" spans="1:8" x14ac:dyDescent="0.25">
      <c r="A524" s="1" t="s">
        <v>9</v>
      </c>
      <c r="B524" s="1" t="s">
        <v>572</v>
      </c>
      <c r="C524">
        <v>108</v>
      </c>
      <c r="D524" s="1" t="s">
        <v>10</v>
      </c>
      <c r="E524">
        <v>78</v>
      </c>
      <c r="F524">
        <v>90.05</v>
      </c>
      <c r="G524">
        <v>2</v>
      </c>
      <c r="H524" s="1" t="s">
        <v>538</v>
      </c>
    </row>
    <row r="525" spans="1:8" x14ac:dyDescent="0.25">
      <c r="A525" s="1" t="s">
        <v>59</v>
      </c>
      <c r="B525" s="1" t="s">
        <v>573</v>
      </c>
      <c r="C525">
        <v>98</v>
      </c>
      <c r="D525" s="1" t="s">
        <v>21</v>
      </c>
      <c r="E525">
        <v>110</v>
      </c>
      <c r="F525">
        <v>96.23</v>
      </c>
      <c r="G525">
        <v>2</v>
      </c>
      <c r="H525" s="1" t="s">
        <v>538</v>
      </c>
    </row>
    <row r="526" spans="1:8" x14ac:dyDescent="0.25">
      <c r="A526" s="1" t="s">
        <v>61</v>
      </c>
      <c r="B526" s="1" t="s">
        <v>574</v>
      </c>
      <c r="C526">
        <v>81</v>
      </c>
      <c r="D526" s="1" t="s">
        <v>13</v>
      </c>
      <c r="E526">
        <v>443</v>
      </c>
      <c r="F526">
        <v>32.78</v>
      </c>
      <c r="G526">
        <v>1</v>
      </c>
      <c r="H526" s="1" t="s">
        <v>538</v>
      </c>
    </row>
    <row r="527" spans="1:8" x14ac:dyDescent="0.25">
      <c r="A527" s="1" t="s">
        <v>61</v>
      </c>
      <c r="B527" s="1" t="s">
        <v>575</v>
      </c>
      <c r="C527">
        <v>118</v>
      </c>
      <c r="D527" s="1" t="s">
        <v>18</v>
      </c>
      <c r="E527">
        <v>186</v>
      </c>
      <c r="F527">
        <v>46.88</v>
      </c>
      <c r="G527">
        <v>1</v>
      </c>
      <c r="H527" s="1" t="s">
        <v>538</v>
      </c>
    </row>
    <row r="528" spans="1:8" x14ac:dyDescent="0.25">
      <c r="A528" s="1" t="s">
        <v>41</v>
      </c>
      <c r="B528" s="1" t="s">
        <v>576</v>
      </c>
      <c r="C528">
        <v>34</v>
      </c>
      <c r="D528" s="1" t="s">
        <v>13</v>
      </c>
      <c r="E528">
        <v>58</v>
      </c>
      <c r="F528">
        <v>64.349999999999994</v>
      </c>
      <c r="G528">
        <v>0</v>
      </c>
      <c r="H528" s="1" t="s">
        <v>538</v>
      </c>
    </row>
    <row r="529" spans="1:8" x14ac:dyDescent="0.25">
      <c r="A529" s="1" t="s">
        <v>23</v>
      </c>
      <c r="B529" s="1" t="s">
        <v>577</v>
      </c>
      <c r="C529">
        <v>108</v>
      </c>
      <c r="D529" s="1" t="s">
        <v>18</v>
      </c>
      <c r="E529">
        <v>460</v>
      </c>
      <c r="F529">
        <v>88.95</v>
      </c>
      <c r="G529">
        <v>3</v>
      </c>
      <c r="H529" s="1" t="s">
        <v>538</v>
      </c>
    </row>
    <row r="530" spans="1:8" x14ac:dyDescent="0.25">
      <c r="A530" s="1" t="s">
        <v>20</v>
      </c>
      <c r="B530" s="1" t="s">
        <v>578</v>
      </c>
      <c r="C530">
        <v>71</v>
      </c>
      <c r="D530" s="1" t="s">
        <v>13</v>
      </c>
      <c r="E530">
        <v>111</v>
      </c>
      <c r="F530">
        <v>95.53</v>
      </c>
      <c r="G530">
        <v>3</v>
      </c>
      <c r="H530" s="1" t="s">
        <v>538</v>
      </c>
    </row>
    <row r="531" spans="1:8" x14ac:dyDescent="0.25">
      <c r="A531" s="1" t="s">
        <v>68</v>
      </c>
      <c r="B531" s="1" t="s">
        <v>579</v>
      </c>
      <c r="C531">
        <v>21</v>
      </c>
      <c r="D531" s="1" t="s">
        <v>18</v>
      </c>
      <c r="E531">
        <v>15</v>
      </c>
      <c r="F531">
        <v>57.74</v>
      </c>
      <c r="G531">
        <v>0</v>
      </c>
      <c r="H531" s="1" t="s">
        <v>538</v>
      </c>
    </row>
    <row r="532" spans="1:8" x14ac:dyDescent="0.25">
      <c r="A532" s="1" t="s">
        <v>17</v>
      </c>
      <c r="B532" s="1" t="s">
        <v>580</v>
      </c>
      <c r="C532">
        <v>42</v>
      </c>
      <c r="D532" s="1" t="s">
        <v>13</v>
      </c>
      <c r="E532">
        <v>167</v>
      </c>
      <c r="F532">
        <v>45.85</v>
      </c>
      <c r="G532">
        <v>2</v>
      </c>
      <c r="H532" s="1" t="s">
        <v>538</v>
      </c>
    </row>
    <row r="533" spans="1:8" x14ac:dyDescent="0.25">
      <c r="A533" s="1" t="s">
        <v>29</v>
      </c>
      <c r="B533" s="1" t="s">
        <v>581</v>
      </c>
      <c r="C533">
        <v>27</v>
      </c>
      <c r="D533" s="1" t="s">
        <v>18</v>
      </c>
      <c r="E533">
        <v>70</v>
      </c>
      <c r="F533">
        <v>20.32</v>
      </c>
      <c r="G533">
        <v>3</v>
      </c>
      <c r="H533" s="1" t="s">
        <v>538</v>
      </c>
    </row>
    <row r="534" spans="1:8" x14ac:dyDescent="0.25">
      <c r="A534" s="1" t="s">
        <v>72</v>
      </c>
      <c r="B534" s="1" t="s">
        <v>582</v>
      </c>
      <c r="C534">
        <v>12</v>
      </c>
      <c r="D534" s="1" t="s">
        <v>21</v>
      </c>
      <c r="E534">
        <v>112</v>
      </c>
      <c r="F534">
        <v>82.81</v>
      </c>
      <c r="G534">
        <v>0</v>
      </c>
      <c r="H534" s="1" t="s">
        <v>538</v>
      </c>
    </row>
    <row r="535" spans="1:8" x14ac:dyDescent="0.25">
      <c r="A535" s="1" t="s">
        <v>72</v>
      </c>
      <c r="B535" s="1" t="s">
        <v>583</v>
      </c>
      <c r="C535">
        <v>12</v>
      </c>
      <c r="D535" s="1" t="s">
        <v>13</v>
      </c>
      <c r="E535">
        <v>42</v>
      </c>
      <c r="F535">
        <v>48.64</v>
      </c>
      <c r="G535">
        <v>0</v>
      </c>
      <c r="H535" s="1" t="s">
        <v>538</v>
      </c>
    </row>
    <row r="536" spans="1:8" x14ac:dyDescent="0.25">
      <c r="A536" s="1" t="s">
        <v>27</v>
      </c>
      <c r="B536" s="1" t="s">
        <v>584</v>
      </c>
      <c r="C536">
        <v>4</v>
      </c>
      <c r="D536" s="1" t="s">
        <v>13</v>
      </c>
      <c r="E536">
        <v>372</v>
      </c>
      <c r="F536">
        <v>26.73</v>
      </c>
      <c r="G536">
        <v>3</v>
      </c>
      <c r="H536" s="1" t="s">
        <v>538</v>
      </c>
    </row>
    <row r="537" spans="1:8" x14ac:dyDescent="0.25">
      <c r="A537" s="1" t="s">
        <v>83</v>
      </c>
      <c r="B537" s="1" t="s">
        <v>585</v>
      </c>
      <c r="C537">
        <v>56</v>
      </c>
      <c r="D537" s="1" t="s">
        <v>10</v>
      </c>
      <c r="E537">
        <v>354</v>
      </c>
      <c r="F537">
        <v>32.08</v>
      </c>
      <c r="G537">
        <v>1</v>
      </c>
      <c r="H537" s="1" t="s">
        <v>538</v>
      </c>
    </row>
    <row r="538" spans="1:8" x14ac:dyDescent="0.25">
      <c r="A538" s="1" t="s">
        <v>9</v>
      </c>
      <c r="B538" s="1" t="s">
        <v>586</v>
      </c>
      <c r="C538">
        <v>2</v>
      </c>
      <c r="D538" s="1" t="s">
        <v>13</v>
      </c>
      <c r="E538">
        <v>481</v>
      </c>
      <c r="F538">
        <v>29.37</v>
      </c>
      <c r="G538">
        <v>4</v>
      </c>
      <c r="H538" s="1" t="s">
        <v>538</v>
      </c>
    </row>
    <row r="539" spans="1:8" x14ac:dyDescent="0.25">
      <c r="A539" s="1" t="s">
        <v>54</v>
      </c>
      <c r="B539" s="1" t="s">
        <v>587</v>
      </c>
      <c r="C539">
        <v>81</v>
      </c>
      <c r="D539" s="1" t="s">
        <v>21</v>
      </c>
      <c r="E539">
        <v>64</v>
      </c>
      <c r="F539">
        <v>43.45</v>
      </c>
      <c r="G539">
        <v>2</v>
      </c>
      <c r="H539" s="1" t="s">
        <v>538</v>
      </c>
    </row>
    <row r="540" spans="1:8" x14ac:dyDescent="0.25">
      <c r="A540" s="1" t="s">
        <v>57</v>
      </c>
      <c r="B540" s="1" t="s">
        <v>588</v>
      </c>
      <c r="C540">
        <v>99</v>
      </c>
      <c r="D540" s="1" t="s">
        <v>21</v>
      </c>
      <c r="E540">
        <v>137</v>
      </c>
      <c r="F540">
        <v>23.05</v>
      </c>
      <c r="G540">
        <v>4</v>
      </c>
      <c r="H540" s="1" t="s">
        <v>538</v>
      </c>
    </row>
    <row r="541" spans="1:8" x14ac:dyDescent="0.25">
      <c r="A541" s="1" t="s">
        <v>33</v>
      </c>
      <c r="B541" s="1" t="s">
        <v>590</v>
      </c>
      <c r="C541">
        <v>18</v>
      </c>
      <c r="D541" s="1" t="s">
        <v>13</v>
      </c>
      <c r="E541">
        <v>75</v>
      </c>
      <c r="F541">
        <v>57.66</v>
      </c>
      <c r="G541">
        <v>1</v>
      </c>
      <c r="H541" s="1" t="s">
        <v>589</v>
      </c>
    </row>
    <row r="542" spans="1:8" x14ac:dyDescent="0.25">
      <c r="A542" s="1" t="s">
        <v>61</v>
      </c>
      <c r="B542" s="1" t="s">
        <v>591</v>
      </c>
      <c r="C542">
        <v>14</v>
      </c>
      <c r="D542" s="1" t="s">
        <v>13</v>
      </c>
      <c r="E542">
        <v>236</v>
      </c>
      <c r="F542">
        <v>54.43</v>
      </c>
      <c r="G542">
        <v>3</v>
      </c>
      <c r="H542" s="1" t="s">
        <v>589</v>
      </c>
    </row>
    <row r="543" spans="1:8" x14ac:dyDescent="0.25">
      <c r="A543" s="1" t="s">
        <v>15</v>
      </c>
      <c r="B543" s="1" t="s">
        <v>592</v>
      </c>
      <c r="C543">
        <v>42</v>
      </c>
      <c r="D543" s="1" t="s">
        <v>18</v>
      </c>
      <c r="E543">
        <v>448</v>
      </c>
      <c r="F543">
        <v>49.02</v>
      </c>
      <c r="G543">
        <v>0</v>
      </c>
      <c r="H543" s="1" t="s">
        <v>589</v>
      </c>
    </row>
    <row r="544" spans="1:8" x14ac:dyDescent="0.25">
      <c r="A544" s="1" t="s">
        <v>83</v>
      </c>
      <c r="B544" s="1" t="s">
        <v>593</v>
      </c>
      <c r="C544">
        <v>89</v>
      </c>
      <c r="D544" s="1" t="s">
        <v>13</v>
      </c>
      <c r="E544">
        <v>381</v>
      </c>
      <c r="F544">
        <v>68.17</v>
      </c>
      <c r="G544">
        <v>0</v>
      </c>
      <c r="H544" s="1" t="s">
        <v>589</v>
      </c>
    </row>
    <row r="545" spans="1:8" x14ac:dyDescent="0.25">
      <c r="A545" s="1" t="s">
        <v>61</v>
      </c>
      <c r="B545" s="1" t="s">
        <v>594</v>
      </c>
      <c r="C545">
        <v>93</v>
      </c>
      <c r="D545" s="1" t="s">
        <v>13</v>
      </c>
      <c r="E545">
        <v>56</v>
      </c>
      <c r="F545">
        <v>96.31</v>
      </c>
      <c r="G545">
        <v>4</v>
      </c>
      <c r="H545" s="1" t="s">
        <v>589</v>
      </c>
    </row>
    <row r="546" spans="1:8" x14ac:dyDescent="0.25">
      <c r="A546" s="1" t="s">
        <v>118</v>
      </c>
      <c r="B546" s="1" t="s">
        <v>595</v>
      </c>
      <c r="C546">
        <v>56</v>
      </c>
      <c r="D546" s="1" t="s">
        <v>10</v>
      </c>
      <c r="E546">
        <v>123</v>
      </c>
      <c r="F546">
        <v>29.76</v>
      </c>
      <c r="G546">
        <v>5</v>
      </c>
      <c r="H546" s="1" t="s">
        <v>589</v>
      </c>
    </row>
    <row r="547" spans="1:8" x14ac:dyDescent="0.25">
      <c r="A547" s="1" t="s">
        <v>33</v>
      </c>
      <c r="B547" s="1" t="s">
        <v>596</v>
      </c>
      <c r="C547">
        <v>29</v>
      </c>
      <c r="D547" s="1" t="s">
        <v>10</v>
      </c>
      <c r="E547">
        <v>8</v>
      </c>
      <c r="F547">
        <v>14.78</v>
      </c>
      <c r="G547">
        <v>2</v>
      </c>
      <c r="H547" s="1" t="s">
        <v>589</v>
      </c>
    </row>
    <row r="548" spans="1:8" x14ac:dyDescent="0.25">
      <c r="A548" s="1" t="s">
        <v>41</v>
      </c>
      <c r="B548" s="1" t="s">
        <v>597</v>
      </c>
      <c r="C548">
        <v>22</v>
      </c>
      <c r="D548" s="1" t="s">
        <v>13</v>
      </c>
      <c r="E548">
        <v>457</v>
      </c>
      <c r="F548">
        <v>13.21</v>
      </c>
      <c r="G548">
        <v>1</v>
      </c>
      <c r="H548" s="1" t="s">
        <v>589</v>
      </c>
    </row>
    <row r="549" spans="1:8" x14ac:dyDescent="0.25">
      <c r="A549" s="1" t="s">
        <v>122</v>
      </c>
      <c r="B549" s="1" t="s">
        <v>598</v>
      </c>
      <c r="C549">
        <v>12</v>
      </c>
      <c r="D549" s="1" t="s">
        <v>21</v>
      </c>
      <c r="E549">
        <v>235</v>
      </c>
      <c r="F549">
        <v>33.96</v>
      </c>
      <c r="G549">
        <v>4</v>
      </c>
      <c r="H549" s="1" t="s">
        <v>589</v>
      </c>
    </row>
    <row r="550" spans="1:8" x14ac:dyDescent="0.25">
      <c r="A550" s="1" t="s">
        <v>59</v>
      </c>
      <c r="B550" s="1" t="s">
        <v>599</v>
      </c>
      <c r="C550">
        <v>25</v>
      </c>
      <c r="D550" s="1" t="s">
        <v>18</v>
      </c>
      <c r="E550">
        <v>95</v>
      </c>
      <c r="F550">
        <v>15.93</v>
      </c>
      <c r="G550">
        <v>4</v>
      </c>
      <c r="H550" s="1" t="s">
        <v>589</v>
      </c>
    </row>
    <row r="551" spans="1:8" x14ac:dyDescent="0.25">
      <c r="A551" s="1" t="s">
        <v>57</v>
      </c>
      <c r="B551" s="1" t="s">
        <v>600</v>
      </c>
      <c r="C551">
        <v>93</v>
      </c>
      <c r="D551" s="1" t="s">
        <v>10</v>
      </c>
      <c r="E551">
        <v>136</v>
      </c>
      <c r="F551">
        <v>19.09</v>
      </c>
      <c r="G551">
        <v>1</v>
      </c>
      <c r="H551" s="1" t="s">
        <v>589</v>
      </c>
    </row>
    <row r="552" spans="1:8" x14ac:dyDescent="0.25">
      <c r="A552" s="1" t="s">
        <v>68</v>
      </c>
      <c r="B552" s="1" t="s">
        <v>601</v>
      </c>
      <c r="C552">
        <v>116</v>
      </c>
      <c r="D552" s="1" t="s">
        <v>10</v>
      </c>
      <c r="E552">
        <v>14</v>
      </c>
      <c r="F552">
        <v>30.38</v>
      </c>
      <c r="G552">
        <v>1</v>
      </c>
      <c r="H552" s="1" t="s">
        <v>589</v>
      </c>
    </row>
    <row r="553" spans="1:8" x14ac:dyDescent="0.25">
      <c r="A553" s="1" t="s">
        <v>59</v>
      </c>
      <c r="B553" s="1" t="s">
        <v>602</v>
      </c>
      <c r="C553">
        <v>104</v>
      </c>
      <c r="D553" s="1" t="s">
        <v>18</v>
      </c>
      <c r="E553">
        <v>243</v>
      </c>
      <c r="F553">
        <v>65.819999999999993</v>
      </c>
      <c r="G553">
        <v>0</v>
      </c>
      <c r="H553" s="1" t="s">
        <v>589</v>
      </c>
    </row>
    <row r="554" spans="1:8" x14ac:dyDescent="0.25">
      <c r="A554" s="1" t="s">
        <v>72</v>
      </c>
      <c r="B554" s="1" t="s">
        <v>603</v>
      </c>
      <c r="C554">
        <v>48</v>
      </c>
      <c r="D554" s="1" t="s">
        <v>10</v>
      </c>
      <c r="E554">
        <v>338</v>
      </c>
      <c r="F554">
        <v>74.42</v>
      </c>
      <c r="G554">
        <v>0</v>
      </c>
      <c r="H554" s="1" t="s">
        <v>589</v>
      </c>
    </row>
    <row r="555" spans="1:8" x14ac:dyDescent="0.25">
      <c r="A555" s="1" t="s">
        <v>15</v>
      </c>
      <c r="B555" s="1" t="s">
        <v>604</v>
      </c>
      <c r="C555">
        <v>105</v>
      </c>
      <c r="D555" s="1" t="s">
        <v>21</v>
      </c>
      <c r="E555">
        <v>271</v>
      </c>
      <c r="F555">
        <v>45.27</v>
      </c>
      <c r="G555">
        <v>2</v>
      </c>
      <c r="H555" s="1" t="s">
        <v>589</v>
      </c>
    </row>
    <row r="556" spans="1:8" x14ac:dyDescent="0.25">
      <c r="A556" s="1" t="s">
        <v>61</v>
      </c>
      <c r="B556" s="1" t="s">
        <v>605</v>
      </c>
      <c r="C556">
        <v>116</v>
      </c>
      <c r="D556" s="1" t="s">
        <v>21</v>
      </c>
      <c r="E556">
        <v>231</v>
      </c>
      <c r="F556">
        <v>19.12</v>
      </c>
      <c r="G556">
        <v>5</v>
      </c>
      <c r="H556" s="1" t="s">
        <v>589</v>
      </c>
    </row>
    <row r="557" spans="1:8" x14ac:dyDescent="0.25">
      <c r="A557" s="1" t="s">
        <v>37</v>
      </c>
      <c r="B557" s="1" t="s">
        <v>606</v>
      </c>
      <c r="C557">
        <v>69</v>
      </c>
      <c r="D557" s="1" t="s">
        <v>18</v>
      </c>
      <c r="E557">
        <v>180</v>
      </c>
      <c r="F557">
        <v>76.05</v>
      </c>
      <c r="G557">
        <v>2</v>
      </c>
      <c r="H557" s="1" t="s">
        <v>589</v>
      </c>
    </row>
    <row r="558" spans="1:8" x14ac:dyDescent="0.25">
      <c r="A558" s="1" t="s">
        <v>24</v>
      </c>
      <c r="B558" s="1" t="s">
        <v>607</v>
      </c>
      <c r="C558">
        <v>1</v>
      </c>
      <c r="D558" s="1" t="s">
        <v>18</v>
      </c>
      <c r="E558">
        <v>135</v>
      </c>
      <c r="F558">
        <v>89.16</v>
      </c>
      <c r="G558">
        <v>3</v>
      </c>
      <c r="H558" s="1" t="s">
        <v>589</v>
      </c>
    </row>
    <row r="559" spans="1:8" x14ac:dyDescent="0.25">
      <c r="A559" s="1" t="s">
        <v>48</v>
      </c>
      <c r="B559" s="1" t="s">
        <v>608</v>
      </c>
      <c r="C559">
        <v>120</v>
      </c>
      <c r="D559" s="1" t="s">
        <v>13</v>
      </c>
      <c r="E559">
        <v>60</v>
      </c>
      <c r="F559">
        <v>34.14</v>
      </c>
      <c r="G559">
        <v>3</v>
      </c>
      <c r="H559" s="1" t="s">
        <v>589</v>
      </c>
    </row>
    <row r="560" spans="1:8" x14ac:dyDescent="0.25">
      <c r="A560" s="1" t="s">
        <v>23</v>
      </c>
      <c r="B560" s="1" t="s">
        <v>609</v>
      </c>
      <c r="C560">
        <v>89</v>
      </c>
      <c r="D560" s="1" t="s">
        <v>18</v>
      </c>
      <c r="E560">
        <v>474</v>
      </c>
      <c r="F560">
        <v>28.51</v>
      </c>
      <c r="G560">
        <v>5</v>
      </c>
      <c r="H560" s="1" t="s">
        <v>589</v>
      </c>
    </row>
    <row r="561" spans="1:8" x14ac:dyDescent="0.25">
      <c r="A561" s="1" t="s">
        <v>9</v>
      </c>
      <c r="B561" s="1" t="s">
        <v>610</v>
      </c>
      <c r="C561">
        <v>112</v>
      </c>
      <c r="D561" s="1" t="s">
        <v>21</v>
      </c>
      <c r="E561">
        <v>281</v>
      </c>
      <c r="F561">
        <v>80.72</v>
      </c>
      <c r="G561">
        <v>2</v>
      </c>
      <c r="H561" s="1" t="s">
        <v>589</v>
      </c>
    </row>
    <row r="562" spans="1:8" x14ac:dyDescent="0.25">
      <c r="A562" s="1" t="s">
        <v>17</v>
      </c>
      <c r="B562" s="1" t="s">
        <v>611</v>
      </c>
      <c r="C562">
        <v>7</v>
      </c>
      <c r="D562" s="1" t="s">
        <v>18</v>
      </c>
      <c r="E562">
        <v>43</v>
      </c>
      <c r="F562">
        <v>41.29</v>
      </c>
      <c r="G562">
        <v>4</v>
      </c>
      <c r="H562" s="1" t="s">
        <v>589</v>
      </c>
    </row>
    <row r="563" spans="1:8" x14ac:dyDescent="0.25">
      <c r="A563" s="1" t="s">
        <v>33</v>
      </c>
      <c r="B563" s="1" t="s">
        <v>612</v>
      </c>
      <c r="C563">
        <v>34</v>
      </c>
      <c r="D563" s="1" t="s">
        <v>21</v>
      </c>
      <c r="E563">
        <v>181</v>
      </c>
      <c r="F563">
        <v>35.92</v>
      </c>
      <c r="G563">
        <v>2</v>
      </c>
      <c r="H563" s="1" t="s">
        <v>589</v>
      </c>
    </row>
    <row r="564" spans="1:8" x14ac:dyDescent="0.25">
      <c r="A564" s="1" t="s">
        <v>62</v>
      </c>
      <c r="B564" s="1" t="s">
        <v>613</v>
      </c>
      <c r="C564">
        <v>114</v>
      </c>
      <c r="D564" s="1" t="s">
        <v>13</v>
      </c>
      <c r="E564">
        <v>220</v>
      </c>
      <c r="F564">
        <v>63.67</v>
      </c>
      <c r="G564">
        <v>5</v>
      </c>
      <c r="H564" s="1" t="s">
        <v>589</v>
      </c>
    </row>
    <row r="565" spans="1:8" x14ac:dyDescent="0.25">
      <c r="A565" s="1" t="s">
        <v>72</v>
      </c>
      <c r="B565" s="1" t="s">
        <v>614</v>
      </c>
      <c r="C565">
        <v>101</v>
      </c>
      <c r="D565" s="1" t="s">
        <v>13</v>
      </c>
      <c r="E565">
        <v>108</v>
      </c>
      <c r="F565">
        <v>76.05</v>
      </c>
      <c r="G565">
        <v>3</v>
      </c>
      <c r="H565" s="1" t="s">
        <v>589</v>
      </c>
    </row>
    <row r="566" spans="1:8" x14ac:dyDescent="0.25">
      <c r="A566" s="1" t="s">
        <v>126</v>
      </c>
      <c r="B566" s="1" t="s">
        <v>615</v>
      </c>
      <c r="C566">
        <v>6</v>
      </c>
      <c r="D566" s="1" t="s">
        <v>21</v>
      </c>
      <c r="E566">
        <v>77</v>
      </c>
      <c r="F566">
        <v>18.48</v>
      </c>
      <c r="G566">
        <v>2</v>
      </c>
      <c r="H566" s="1" t="s">
        <v>589</v>
      </c>
    </row>
    <row r="567" spans="1:8" x14ac:dyDescent="0.25">
      <c r="A567" s="1" t="s">
        <v>20</v>
      </c>
      <c r="B567" s="1" t="s">
        <v>616</v>
      </c>
      <c r="C567">
        <v>15</v>
      </c>
      <c r="D567" s="1" t="s">
        <v>13</v>
      </c>
      <c r="E567">
        <v>203</v>
      </c>
      <c r="F567">
        <v>55.29</v>
      </c>
      <c r="G567">
        <v>2</v>
      </c>
      <c r="H567" s="1" t="s">
        <v>589</v>
      </c>
    </row>
    <row r="568" spans="1:8" x14ac:dyDescent="0.25">
      <c r="A568" s="1" t="s">
        <v>122</v>
      </c>
      <c r="B568" s="1" t="s">
        <v>617</v>
      </c>
      <c r="C568">
        <v>7</v>
      </c>
      <c r="D568" s="1" t="s">
        <v>18</v>
      </c>
      <c r="E568">
        <v>257</v>
      </c>
      <c r="F568">
        <v>73.040000000000006</v>
      </c>
      <c r="G568">
        <v>3</v>
      </c>
      <c r="H568" s="1" t="s">
        <v>589</v>
      </c>
    </row>
    <row r="569" spans="1:8" x14ac:dyDescent="0.25">
      <c r="A569" s="1" t="s">
        <v>37</v>
      </c>
      <c r="B569" s="1" t="s">
        <v>618</v>
      </c>
      <c r="C569">
        <v>39</v>
      </c>
      <c r="D569" s="1" t="s">
        <v>10</v>
      </c>
      <c r="E569">
        <v>220</v>
      </c>
      <c r="F569">
        <v>52.91</v>
      </c>
      <c r="G569">
        <v>0</v>
      </c>
      <c r="H569" s="1" t="s">
        <v>589</v>
      </c>
    </row>
    <row r="570" spans="1:8" x14ac:dyDescent="0.25">
      <c r="A570" s="1" t="s">
        <v>57</v>
      </c>
      <c r="B570" s="1" t="s">
        <v>619</v>
      </c>
      <c r="C570">
        <v>10</v>
      </c>
      <c r="D570" s="1" t="s">
        <v>21</v>
      </c>
      <c r="E570">
        <v>260</v>
      </c>
      <c r="F570">
        <v>37.479999999999997</v>
      </c>
      <c r="G570">
        <v>2</v>
      </c>
      <c r="H570" s="1" t="s">
        <v>589</v>
      </c>
    </row>
    <row r="571" spans="1:8" x14ac:dyDescent="0.25">
      <c r="A571" s="1" t="s">
        <v>72</v>
      </c>
      <c r="B571" s="1" t="s">
        <v>620</v>
      </c>
      <c r="C571">
        <v>43</v>
      </c>
      <c r="D571" s="1" t="s">
        <v>10</v>
      </c>
      <c r="E571">
        <v>27</v>
      </c>
      <c r="F571">
        <v>31.48</v>
      </c>
      <c r="G571">
        <v>5</v>
      </c>
      <c r="H571" s="1" t="s">
        <v>589</v>
      </c>
    </row>
    <row r="572" spans="1:8" x14ac:dyDescent="0.25">
      <c r="A572" s="1" t="s">
        <v>24</v>
      </c>
      <c r="B572" s="1" t="s">
        <v>621</v>
      </c>
      <c r="C572">
        <v>89</v>
      </c>
      <c r="D572" s="1" t="s">
        <v>13</v>
      </c>
      <c r="E572">
        <v>225</v>
      </c>
      <c r="F572">
        <v>38.36</v>
      </c>
      <c r="G572">
        <v>2</v>
      </c>
      <c r="H572" s="1" t="s">
        <v>589</v>
      </c>
    </row>
    <row r="573" spans="1:8" x14ac:dyDescent="0.25">
      <c r="A573" s="1" t="s">
        <v>29</v>
      </c>
      <c r="B573" s="1" t="s">
        <v>622</v>
      </c>
      <c r="C573">
        <v>79</v>
      </c>
      <c r="D573" s="1" t="s">
        <v>21</v>
      </c>
      <c r="E573">
        <v>139</v>
      </c>
      <c r="F573">
        <v>16.25</v>
      </c>
      <c r="G573">
        <v>4</v>
      </c>
      <c r="H573" s="1" t="s">
        <v>589</v>
      </c>
    </row>
    <row r="574" spans="1:8" x14ac:dyDescent="0.25">
      <c r="A574" s="1" t="s">
        <v>59</v>
      </c>
      <c r="B574" s="1" t="s">
        <v>623</v>
      </c>
      <c r="C574">
        <v>102</v>
      </c>
      <c r="D574" s="1" t="s">
        <v>18</v>
      </c>
      <c r="E574">
        <v>189</v>
      </c>
      <c r="F574">
        <v>26.86</v>
      </c>
      <c r="G574">
        <v>5</v>
      </c>
      <c r="H574" s="1" t="s">
        <v>589</v>
      </c>
    </row>
    <row r="575" spans="1:8" x14ac:dyDescent="0.25">
      <c r="A575" s="1" t="s">
        <v>33</v>
      </c>
      <c r="B575" s="1" t="s">
        <v>624</v>
      </c>
      <c r="C575">
        <v>49</v>
      </c>
      <c r="D575" s="1" t="s">
        <v>21</v>
      </c>
      <c r="E575">
        <v>25</v>
      </c>
      <c r="F575">
        <v>22.77</v>
      </c>
      <c r="G575">
        <v>3</v>
      </c>
      <c r="H575" s="1" t="s">
        <v>589</v>
      </c>
    </row>
    <row r="576" spans="1:8" x14ac:dyDescent="0.25">
      <c r="A576" s="1" t="s">
        <v>35</v>
      </c>
      <c r="B576" s="1" t="s">
        <v>625</v>
      </c>
      <c r="C576">
        <v>35</v>
      </c>
      <c r="D576" s="1" t="s">
        <v>10</v>
      </c>
      <c r="E576">
        <v>332</v>
      </c>
      <c r="F576">
        <v>11.15</v>
      </c>
      <c r="G576">
        <v>0</v>
      </c>
      <c r="H576" s="1" t="s">
        <v>589</v>
      </c>
    </row>
    <row r="577" spans="1:8" x14ac:dyDescent="0.25">
      <c r="A577" s="1" t="s">
        <v>118</v>
      </c>
      <c r="B577" s="1" t="s">
        <v>626</v>
      </c>
      <c r="C577">
        <v>90</v>
      </c>
      <c r="D577" s="1" t="s">
        <v>13</v>
      </c>
      <c r="E577">
        <v>195</v>
      </c>
      <c r="F577">
        <v>52.71</v>
      </c>
      <c r="G577">
        <v>2</v>
      </c>
      <c r="H577" s="1" t="s">
        <v>589</v>
      </c>
    </row>
    <row r="578" spans="1:8" x14ac:dyDescent="0.25">
      <c r="A578" s="1" t="s">
        <v>24</v>
      </c>
      <c r="B578" s="1" t="s">
        <v>627</v>
      </c>
      <c r="C578">
        <v>22</v>
      </c>
      <c r="D578" s="1" t="s">
        <v>13</v>
      </c>
      <c r="E578">
        <v>374</v>
      </c>
      <c r="F578">
        <v>40.06</v>
      </c>
      <c r="G578">
        <v>5</v>
      </c>
      <c r="H578" s="1" t="s">
        <v>589</v>
      </c>
    </row>
    <row r="579" spans="1:8" x14ac:dyDescent="0.25">
      <c r="A579" s="1" t="s">
        <v>15</v>
      </c>
      <c r="B579" s="1" t="s">
        <v>628</v>
      </c>
      <c r="C579">
        <v>119</v>
      </c>
      <c r="D579" s="1" t="s">
        <v>21</v>
      </c>
      <c r="E579">
        <v>475</v>
      </c>
      <c r="F579">
        <v>25.98</v>
      </c>
      <c r="G579">
        <v>4</v>
      </c>
      <c r="H579" s="1" t="s">
        <v>589</v>
      </c>
    </row>
    <row r="580" spans="1:8" x14ac:dyDescent="0.25">
      <c r="A580" s="1" t="s">
        <v>48</v>
      </c>
      <c r="B580" s="1" t="s">
        <v>629</v>
      </c>
      <c r="C580">
        <v>18</v>
      </c>
      <c r="D580" s="1" t="s">
        <v>13</v>
      </c>
      <c r="E580">
        <v>216</v>
      </c>
      <c r="F580">
        <v>33.74</v>
      </c>
      <c r="G580">
        <v>5</v>
      </c>
      <c r="H580" s="1" t="s">
        <v>589</v>
      </c>
    </row>
    <row r="581" spans="1:8" x14ac:dyDescent="0.25">
      <c r="A581" s="1" t="s">
        <v>20</v>
      </c>
      <c r="B581" s="1" t="s">
        <v>630</v>
      </c>
      <c r="C581">
        <v>75</v>
      </c>
      <c r="D581" s="1" t="s">
        <v>21</v>
      </c>
      <c r="E581">
        <v>99</v>
      </c>
      <c r="F581">
        <v>16.93</v>
      </c>
      <c r="G581">
        <v>5</v>
      </c>
      <c r="H581" s="1" t="s">
        <v>589</v>
      </c>
    </row>
    <row r="582" spans="1:8" x14ac:dyDescent="0.25">
      <c r="A582" s="1" t="s">
        <v>29</v>
      </c>
      <c r="B582" s="1" t="s">
        <v>631</v>
      </c>
      <c r="C582">
        <v>59</v>
      </c>
      <c r="D582" s="1" t="s">
        <v>18</v>
      </c>
      <c r="E582">
        <v>150</v>
      </c>
      <c r="F582">
        <v>71.13</v>
      </c>
      <c r="G582">
        <v>0</v>
      </c>
      <c r="H582" s="1" t="s">
        <v>589</v>
      </c>
    </row>
    <row r="583" spans="1:8" x14ac:dyDescent="0.25">
      <c r="A583" s="1" t="s">
        <v>48</v>
      </c>
      <c r="B583" s="1" t="s">
        <v>632</v>
      </c>
      <c r="C583">
        <v>16</v>
      </c>
      <c r="D583" s="1" t="s">
        <v>10</v>
      </c>
      <c r="E583">
        <v>96</v>
      </c>
      <c r="F583">
        <v>86.78</v>
      </c>
      <c r="G583">
        <v>1</v>
      </c>
      <c r="H583" s="1" t="s">
        <v>589</v>
      </c>
    </row>
    <row r="584" spans="1:8" x14ac:dyDescent="0.25">
      <c r="A584" s="1" t="s">
        <v>61</v>
      </c>
      <c r="B584" s="1" t="s">
        <v>633</v>
      </c>
      <c r="C584">
        <v>17</v>
      </c>
      <c r="D584" s="1" t="s">
        <v>13</v>
      </c>
      <c r="E584">
        <v>206</v>
      </c>
      <c r="F584">
        <v>63.46</v>
      </c>
      <c r="G584">
        <v>3</v>
      </c>
      <c r="H584" s="1" t="s">
        <v>589</v>
      </c>
    </row>
    <row r="585" spans="1:8" x14ac:dyDescent="0.25">
      <c r="A585" s="1" t="s">
        <v>54</v>
      </c>
      <c r="B585" s="1" t="s">
        <v>634</v>
      </c>
      <c r="C585">
        <v>41</v>
      </c>
      <c r="D585" s="1" t="s">
        <v>21</v>
      </c>
      <c r="E585">
        <v>90</v>
      </c>
      <c r="F585">
        <v>97.26</v>
      </c>
      <c r="G585">
        <v>1</v>
      </c>
      <c r="H585" s="1" t="s">
        <v>589</v>
      </c>
    </row>
    <row r="586" spans="1:8" x14ac:dyDescent="0.25">
      <c r="A586" s="1" t="s">
        <v>59</v>
      </c>
      <c r="B586" s="1" t="s">
        <v>635</v>
      </c>
      <c r="C586">
        <v>111</v>
      </c>
      <c r="D586" s="1" t="s">
        <v>10</v>
      </c>
      <c r="E586">
        <v>304</v>
      </c>
      <c r="F586">
        <v>62.48</v>
      </c>
      <c r="G586">
        <v>5</v>
      </c>
      <c r="H586" s="1" t="s">
        <v>589</v>
      </c>
    </row>
    <row r="587" spans="1:8" x14ac:dyDescent="0.25">
      <c r="A587" s="1" t="s">
        <v>61</v>
      </c>
      <c r="B587" s="1" t="s">
        <v>636</v>
      </c>
      <c r="C587">
        <v>19</v>
      </c>
      <c r="D587" s="1" t="s">
        <v>18</v>
      </c>
      <c r="E587">
        <v>141</v>
      </c>
      <c r="F587">
        <v>53.95</v>
      </c>
      <c r="G587">
        <v>1</v>
      </c>
      <c r="H587" s="1" t="s">
        <v>589</v>
      </c>
    </row>
    <row r="588" spans="1:8" x14ac:dyDescent="0.25">
      <c r="A588" s="1" t="s">
        <v>17</v>
      </c>
      <c r="B588" s="1" t="s">
        <v>638</v>
      </c>
      <c r="C588">
        <v>20</v>
      </c>
      <c r="D588" s="1" t="s">
        <v>18</v>
      </c>
      <c r="E588">
        <v>297</v>
      </c>
      <c r="F588">
        <v>14.77</v>
      </c>
      <c r="G588">
        <v>0</v>
      </c>
      <c r="H588" s="1" t="s">
        <v>637</v>
      </c>
    </row>
    <row r="589" spans="1:8" x14ac:dyDescent="0.25">
      <c r="A589" s="1" t="s">
        <v>35</v>
      </c>
      <c r="B589" s="1" t="s">
        <v>639</v>
      </c>
      <c r="C589">
        <v>67</v>
      </c>
      <c r="D589" s="1" t="s">
        <v>10</v>
      </c>
      <c r="E589">
        <v>262</v>
      </c>
      <c r="F589">
        <v>28.46</v>
      </c>
      <c r="G589">
        <v>3</v>
      </c>
      <c r="H589" s="1" t="s">
        <v>637</v>
      </c>
    </row>
    <row r="590" spans="1:8" x14ac:dyDescent="0.25">
      <c r="A590" s="1" t="s">
        <v>9</v>
      </c>
      <c r="B590" s="1" t="s">
        <v>640</v>
      </c>
      <c r="C590">
        <v>38</v>
      </c>
      <c r="D590" s="1" t="s">
        <v>21</v>
      </c>
      <c r="E590">
        <v>191</v>
      </c>
      <c r="F590">
        <v>22.97</v>
      </c>
      <c r="G590">
        <v>3</v>
      </c>
      <c r="H590" s="1" t="s">
        <v>637</v>
      </c>
    </row>
    <row r="591" spans="1:8" x14ac:dyDescent="0.25">
      <c r="A591" s="1" t="s">
        <v>20</v>
      </c>
      <c r="B591" s="1" t="s">
        <v>641</v>
      </c>
      <c r="C591">
        <v>80</v>
      </c>
      <c r="D591" s="1" t="s">
        <v>18</v>
      </c>
      <c r="E591">
        <v>65</v>
      </c>
      <c r="F591">
        <v>76.64</v>
      </c>
      <c r="G591">
        <v>3</v>
      </c>
      <c r="H591" s="1" t="s">
        <v>637</v>
      </c>
    </row>
    <row r="592" spans="1:8" x14ac:dyDescent="0.25">
      <c r="A592" s="1" t="s">
        <v>31</v>
      </c>
      <c r="B592" s="1" t="s">
        <v>642</v>
      </c>
      <c r="C592">
        <v>72</v>
      </c>
      <c r="D592" s="1" t="s">
        <v>13</v>
      </c>
      <c r="E592">
        <v>317</v>
      </c>
      <c r="F592">
        <v>54.58</v>
      </c>
      <c r="G592">
        <v>1</v>
      </c>
      <c r="H592" s="1" t="s">
        <v>637</v>
      </c>
    </row>
    <row r="593" spans="1:8" x14ac:dyDescent="0.25">
      <c r="A593" s="1" t="s">
        <v>17</v>
      </c>
      <c r="B593" s="1" t="s">
        <v>643</v>
      </c>
      <c r="C593">
        <v>86</v>
      </c>
      <c r="D593" s="1" t="s">
        <v>10</v>
      </c>
      <c r="E593">
        <v>278</v>
      </c>
      <c r="F593">
        <v>30.12</v>
      </c>
      <c r="G593">
        <v>0</v>
      </c>
      <c r="H593" s="1" t="s">
        <v>637</v>
      </c>
    </row>
    <row r="594" spans="1:8" x14ac:dyDescent="0.25">
      <c r="A594" s="1" t="s">
        <v>37</v>
      </c>
      <c r="B594" s="1" t="s">
        <v>644</v>
      </c>
      <c r="C594">
        <v>21</v>
      </c>
      <c r="D594" s="1" t="s">
        <v>21</v>
      </c>
      <c r="E594">
        <v>460</v>
      </c>
      <c r="F594">
        <v>70.81</v>
      </c>
      <c r="G594">
        <v>2</v>
      </c>
      <c r="H594" s="1" t="s">
        <v>637</v>
      </c>
    </row>
    <row r="595" spans="1:8" x14ac:dyDescent="0.25">
      <c r="A595" s="1" t="s">
        <v>122</v>
      </c>
      <c r="B595" s="1" t="s">
        <v>645</v>
      </c>
      <c r="C595">
        <v>63</v>
      </c>
      <c r="D595" s="1" t="s">
        <v>13</v>
      </c>
      <c r="E595">
        <v>449</v>
      </c>
      <c r="F595">
        <v>37.08</v>
      </c>
      <c r="G595">
        <v>0</v>
      </c>
      <c r="H595" s="1" t="s">
        <v>637</v>
      </c>
    </row>
    <row r="596" spans="1:8" x14ac:dyDescent="0.25">
      <c r="A596" s="1" t="s">
        <v>15</v>
      </c>
      <c r="B596" s="1" t="s">
        <v>646</v>
      </c>
      <c r="C596">
        <v>37</v>
      </c>
      <c r="D596" s="1" t="s">
        <v>13</v>
      </c>
      <c r="E596">
        <v>150</v>
      </c>
      <c r="F596">
        <v>37.979999999999997</v>
      </c>
      <c r="G596">
        <v>4</v>
      </c>
      <c r="H596" s="1" t="s">
        <v>637</v>
      </c>
    </row>
    <row r="597" spans="1:8" x14ac:dyDescent="0.25">
      <c r="A597" s="1" t="s">
        <v>48</v>
      </c>
      <c r="B597" s="1" t="s">
        <v>647</v>
      </c>
      <c r="C597">
        <v>9</v>
      </c>
      <c r="D597" s="1" t="s">
        <v>18</v>
      </c>
      <c r="E597">
        <v>27</v>
      </c>
      <c r="F597">
        <v>99.02</v>
      </c>
      <c r="G597">
        <v>3</v>
      </c>
      <c r="H597" s="1" t="s">
        <v>637</v>
      </c>
    </row>
    <row r="598" spans="1:8" x14ac:dyDescent="0.25">
      <c r="A598" s="1" t="s">
        <v>62</v>
      </c>
      <c r="B598" s="1" t="s">
        <v>648</v>
      </c>
      <c r="C598">
        <v>103</v>
      </c>
      <c r="D598" s="1" t="s">
        <v>10</v>
      </c>
      <c r="E598">
        <v>386</v>
      </c>
      <c r="F598">
        <v>10.58</v>
      </c>
      <c r="G598">
        <v>0</v>
      </c>
      <c r="H598" s="1" t="s">
        <v>637</v>
      </c>
    </row>
    <row r="599" spans="1:8" x14ac:dyDescent="0.25">
      <c r="A599" s="1" t="s">
        <v>15</v>
      </c>
      <c r="B599" s="1" t="s">
        <v>649</v>
      </c>
      <c r="C599">
        <v>38</v>
      </c>
      <c r="D599" s="1" t="s">
        <v>10</v>
      </c>
      <c r="E599">
        <v>432</v>
      </c>
      <c r="F599">
        <v>53.65</v>
      </c>
      <c r="G599">
        <v>4</v>
      </c>
      <c r="H599" s="1" t="s">
        <v>637</v>
      </c>
    </row>
    <row r="600" spans="1:8" x14ac:dyDescent="0.25">
      <c r="A600" s="1" t="s">
        <v>57</v>
      </c>
      <c r="B600" s="1" t="s">
        <v>650</v>
      </c>
      <c r="C600">
        <v>59</v>
      </c>
      <c r="D600" s="1" t="s">
        <v>21</v>
      </c>
      <c r="E600">
        <v>64</v>
      </c>
      <c r="F600">
        <v>20.32</v>
      </c>
      <c r="G600">
        <v>0</v>
      </c>
      <c r="H600" s="1" t="s">
        <v>637</v>
      </c>
    </row>
    <row r="601" spans="1:8" x14ac:dyDescent="0.25">
      <c r="A601" s="1" t="s">
        <v>68</v>
      </c>
      <c r="B601" s="1" t="s">
        <v>651</v>
      </c>
      <c r="C601">
        <v>28</v>
      </c>
      <c r="D601" s="1" t="s">
        <v>10</v>
      </c>
      <c r="E601">
        <v>343</v>
      </c>
      <c r="F601">
        <v>64.34</v>
      </c>
      <c r="G601">
        <v>5</v>
      </c>
      <c r="H601" s="1" t="s">
        <v>637</v>
      </c>
    </row>
    <row r="602" spans="1:8" x14ac:dyDescent="0.25">
      <c r="A602" s="1" t="s">
        <v>27</v>
      </c>
      <c r="B602" s="1" t="s">
        <v>652</v>
      </c>
      <c r="C602">
        <v>37</v>
      </c>
      <c r="D602" s="1" t="s">
        <v>21</v>
      </c>
      <c r="E602">
        <v>3</v>
      </c>
      <c r="F602">
        <v>20.89</v>
      </c>
      <c r="G602">
        <v>5</v>
      </c>
      <c r="H602" s="1" t="s">
        <v>637</v>
      </c>
    </row>
    <row r="603" spans="1:8" x14ac:dyDescent="0.25">
      <c r="A603" s="1" t="s">
        <v>62</v>
      </c>
      <c r="B603" s="1" t="s">
        <v>653</v>
      </c>
      <c r="C603">
        <v>106</v>
      </c>
      <c r="D603" s="1" t="s">
        <v>21</v>
      </c>
      <c r="E603">
        <v>236</v>
      </c>
      <c r="F603">
        <v>18.72</v>
      </c>
      <c r="G603">
        <v>4</v>
      </c>
      <c r="H603" s="1" t="s">
        <v>637</v>
      </c>
    </row>
    <row r="604" spans="1:8" x14ac:dyDescent="0.25">
      <c r="A604" s="1" t="s">
        <v>12</v>
      </c>
      <c r="B604" s="1" t="s">
        <v>654</v>
      </c>
      <c r="C604">
        <v>76</v>
      </c>
      <c r="D604" s="1" t="s">
        <v>10</v>
      </c>
      <c r="E604">
        <v>413</v>
      </c>
      <c r="F604">
        <v>28.39</v>
      </c>
      <c r="G604">
        <v>3</v>
      </c>
      <c r="H604" s="1" t="s">
        <v>637</v>
      </c>
    </row>
    <row r="605" spans="1:8" x14ac:dyDescent="0.25">
      <c r="A605" s="1" t="s">
        <v>20</v>
      </c>
      <c r="B605" s="1" t="s">
        <v>655</v>
      </c>
      <c r="C605">
        <v>16</v>
      </c>
      <c r="D605" s="1" t="s">
        <v>21</v>
      </c>
      <c r="E605">
        <v>390</v>
      </c>
      <c r="F605">
        <v>52.64</v>
      </c>
      <c r="G605">
        <v>0</v>
      </c>
      <c r="H605" s="1" t="s">
        <v>637</v>
      </c>
    </row>
    <row r="606" spans="1:8" x14ac:dyDescent="0.25">
      <c r="A606" s="1" t="s">
        <v>72</v>
      </c>
      <c r="B606" s="1" t="s">
        <v>656</v>
      </c>
      <c r="C606">
        <v>7</v>
      </c>
      <c r="D606" s="1" t="s">
        <v>13</v>
      </c>
      <c r="E606">
        <v>447</v>
      </c>
      <c r="F606">
        <v>84.95</v>
      </c>
      <c r="G606">
        <v>2</v>
      </c>
      <c r="H606" s="1" t="s">
        <v>637</v>
      </c>
    </row>
    <row r="607" spans="1:8" x14ac:dyDescent="0.25">
      <c r="A607" s="1" t="s">
        <v>122</v>
      </c>
      <c r="B607" s="1" t="s">
        <v>657</v>
      </c>
      <c r="C607">
        <v>63</v>
      </c>
      <c r="D607" s="1" t="s">
        <v>21</v>
      </c>
      <c r="E607">
        <v>265</v>
      </c>
      <c r="F607">
        <v>49.94</v>
      </c>
      <c r="G607">
        <v>1</v>
      </c>
      <c r="H607" s="1" t="s">
        <v>637</v>
      </c>
    </row>
    <row r="608" spans="1:8" x14ac:dyDescent="0.25">
      <c r="A608" s="1" t="s">
        <v>83</v>
      </c>
      <c r="B608" s="1" t="s">
        <v>658</v>
      </c>
      <c r="C608">
        <v>40</v>
      </c>
      <c r="D608" s="1" t="s">
        <v>10</v>
      </c>
      <c r="E608">
        <v>235</v>
      </c>
      <c r="F608">
        <v>15.01</v>
      </c>
      <c r="G608">
        <v>3</v>
      </c>
      <c r="H608" s="1" t="s">
        <v>637</v>
      </c>
    </row>
    <row r="609" spans="1:8" x14ac:dyDescent="0.25">
      <c r="A609" s="1" t="s">
        <v>9</v>
      </c>
      <c r="B609" s="1" t="s">
        <v>659</v>
      </c>
      <c r="C609">
        <v>1</v>
      </c>
      <c r="D609" s="1" t="s">
        <v>10</v>
      </c>
      <c r="E609">
        <v>429</v>
      </c>
      <c r="F609">
        <v>20.96</v>
      </c>
      <c r="G609">
        <v>5</v>
      </c>
      <c r="H609" s="1" t="s">
        <v>637</v>
      </c>
    </row>
    <row r="610" spans="1:8" x14ac:dyDescent="0.25">
      <c r="A610" s="1" t="s">
        <v>62</v>
      </c>
      <c r="B610" s="1" t="s">
        <v>660</v>
      </c>
      <c r="C610">
        <v>56</v>
      </c>
      <c r="D610" s="1" t="s">
        <v>18</v>
      </c>
      <c r="E610">
        <v>27</v>
      </c>
      <c r="F610">
        <v>46.41</v>
      </c>
      <c r="G610">
        <v>3</v>
      </c>
      <c r="H610" s="1" t="s">
        <v>637</v>
      </c>
    </row>
    <row r="611" spans="1:8" x14ac:dyDescent="0.25">
      <c r="A611" s="1" t="s">
        <v>33</v>
      </c>
      <c r="B611" s="1" t="s">
        <v>661</v>
      </c>
      <c r="C611">
        <v>46</v>
      </c>
      <c r="D611" s="1" t="s">
        <v>10</v>
      </c>
      <c r="E611">
        <v>43</v>
      </c>
      <c r="F611">
        <v>98.44</v>
      </c>
      <c r="G611">
        <v>2</v>
      </c>
      <c r="H611" s="1" t="s">
        <v>637</v>
      </c>
    </row>
    <row r="612" spans="1:8" x14ac:dyDescent="0.25">
      <c r="A612" s="1" t="s">
        <v>31</v>
      </c>
      <c r="B612" s="1" t="s">
        <v>662</v>
      </c>
      <c r="C612">
        <v>85</v>
      </c>
      <c r="D612" s="1" t="s">
        <v>13</v>
      </c>
      <c r="E612">
        <v>28</v>
      </c>
      <c r="F612">
        <v>83.82</v>
      </c>
      <c r="G612">
        <v>0</v>
      </c>
      <c r="H612" s="1" t="s">
        <v>637</v>
      </c>
    </row>
    <row r="613" spans="1:8" x14ac:dyDescent="0.25">
      <c r="A613" s="1" t="s">
        <v>59</v>
      </c>
      <c r="B613" s="1" t="s">
        <v>663</v>
      </c>
      <c r="C613">
        <v>107</v>
      </c>
      <c r="D613" s="1" t="s">
        <v>21</v>
      </c>
      <c r="E613">
        <v>138</v>
      </c>
      <c r="F613">
        <v>85.75</v>
      </c>
      <c r="G613">
        <v>1</v>
      </c>
      <c r="H613" s="1" t="s">
        <v>637</v>
      </c>
    </row>
    <row r="614" spans="1:8" x14ac:dyDescent="0.25">
      <c r="A614" s="1" t="s">
        <v>68</v>
      </c>
      <c r="B614" s="1" t="s">
        <v>664</v>
      </c>
      <c r="C614">
        <v>7</v>
      </c>
      <c r="D614" s="1" t="s">
        <v>13</v>
      </c>
      <c r="E614">
        <v>332</v>
      </c>
      <c r="F614">
        <v>83.95</v>
      </c>
      <c r="G614">
        <v>4</v>
      </c>
      <c r="H614" s="1" t="s">
        <v>637</v>
      </c>
    </row>
    <row r="615" spans="1:8" x14ac:dyDescent="0.25">
      <c r="A615" s="1" t="s">
        <v>35</v>
      </c>
      <c r="B615" s="1" t="s">
        <v>665</v>
      </c>
      <c r="C615">
        <v>33</v>
      </c>
      <c r="D615" s="1" t="s">
        <v>18</v>
      </c>
      <c r="E615">
        <v>54</v>
      </c>
      <c r="F615">
        <v>71.319999999999993</v>
      </c>
      <c r="G615">
        <v>4</v>
      </c>
      <c r="H615" s="1" t="s">
        <v>637</v>
      </c>
    </row>
    <row r="616" spans="1:8" x14ac:dyDescent="0.25">
      <c r="A616" s="1" t="s">
        <v>72</v>
      </c>
      <c r="B616" s="1" t="s">
        <v>666</v>
      </c>
      <c r="C616">
        <v>18</v>
      </c>
      <c r="D616" s="1" t="s">
        <v>21</v>
      </c>
      <c r="E616">
        <v>170</v>
      </c>
      <c r="F616">
        <v>87.34</v>
      </c>
      <c r="G616">
        <v>1</v>
      </c>
      <c r="H616" s="1" t="s">
        <v>637</v>
      </c>
    </row>
    <row r="617" spans="1:8" x14ac:dyDescent="0.25">
      <c r="A617" s="1" t="s">
        <v>29</v>
      </c>
      <c r="B617" s="1" t="s">
        <v>667</v>
      </c>
      <c r="C617">
        <v>45</v>
      </c>
      <c r="D617" s="1" t="s">
        <v>13</v>
      </c>
      <c r="E617">
        <v>304</v>
      </c>
      <c r="F617">
        <v>65.540000000000006</v>
      </c>
      <c r="G617">
        <v>2</v>
      </c>
      <c r="H617" s="1" t="s">
        <v>637</v>
      </c>
    </row>
    <row r="618" spans="1:8" x14ac:dyDescent="0.25">
      <c r="A618" s="1" t="s">
        <v>48</v>
      </c>
      <c r="B618" s="1" t="s">
        <v>668</v>
      </c>
      <c r="C618">
        <v>113</v>
      </c>
      <c r="D618" s="1" t="s">
        <v>10</v>
      </c>
      <c r="E618">
        <v>49</v>
      </c>
      <c r="F618">
        <v>48.91</v>
      </c>
      <c r="G618">
        <v>5</v>
      </c>
      <c r="H618" s="1" t="s">
        <v>637</v>
      </c>
    </row>
    <row r="619" spans="1:8" x14ac:dyDescent="0.25">
      <c r="A619" s="1" t="s">
        <v>9</v>
      </c>
      <c r="B619" s="1" t="s">
        <v>669</v>
      </c>
      <c r="C619">
        <v>37</v>
      </c>
      <c r="D619" s="1" t="s">
        <v>10</v>
      </c>
      <c r="E619">
        <v>420</v>
      </c>
      <c r="F619">
        <v>67.260000000000005</v>
      </c>
      <c r="G619">
        <v>4</v>
      </c>
      <c r="H619" s="1" t="s">
        <v>637</v>
      </c>
    </row>
    <row r="620" spans="1:8" x14ac:dyDescent="0.25">
      <c r="A620" s="1" t="s">
        <v>23</v>
      </c>
      <c r="B620" s="1" t="s">
        <v>670</v>
      </c>
      <c r="C620">
        <v>101</v>
      </c>
      <c r="D620" s="1" t="s">
        <v>13</v>
      </c>
      <c r="E620">
        <v>148</v>
      </c>
      <c r="F620">
        <v>26.63</v>
      </c>
      <c r="G620">
        <v>3</v>
      </c>
      <c r="H620" s="1" t="s">
        <v>637</v>
      </c>
    </row>
    <row r="621" spans="1:8" x14ac:dyDescent="0.25">
      <c r="A621" s="1" t="s">
        <v>118</v>
      </c>
      <c r="B621" s="1" t="s">
        <v>671</v>
      </c>
      <c r="C621">
        <v>110</v>
      </c>
      <c r="D621" s="1" t="s">
        <v>10</v>
      </c>
      <c r="E621">
        <v>289</v>
      </c>
      <c r="F621">
        <v>83.67</v>
      </c>
      <c r="G621">
        <v>4</v>
      </c>
      <c r="H621" s="1" t="s">
        <v>637</v>
      </c>
    </row>
    <row r="622" spans="1:8" x14ac:dyDescent="0.25">
      <c r="A622" s="1" t="s">
        <v>83</v>
      </c>
      <c r="B622" s="1" t="s">
        <v>672</v>
      </c>
      <c r="C622">
        <v>65</v>
      </c>
      <c r="D622" s="1" t="s">
        <v>13</v>
      </c>
      <c r="E622">
        <v>246</v>
      </c>
      <c r="F622">
        <v>69.17</v>
      </c>
      <c r="G622">
        <v>0</v>
      </c>
      <c r="H622" s="1" t="s">
        <v>637</v>
      </c>
    </row>
    <row r="623" spans="1:8" x14ac:dyDescent="0.25">
      <c r="A623" s="1" t="s">
        <v>23</v>
      </c>
      <c r="B623" s="1" t="s">
        <v>673</v>
      </c>
      <c r="C623">
        <v>86</v>
      </c>
      <c r="D623" s="1" t="s">
        <v>13</v>
      </c>
      <c r="E623">
        <v>353</v>
      </c>
      <c r="F623">
        <v>25.37</v>
      </c>
      <c r="G623">
        <v>1</v>
      </c>
      <c r="H623" s="1" t="s">
        <v>637</v>
      </c>
    </row>
    <row r="624" spans="1:8" x14ac:dyDescent="0.25">
      <c r="A624" s="1" t="s">
        <v>23</v>
      </c>
      <c r="B624" s="1" t="s">
        <v>674</v>
      </c>
      <c r="C624">
        <v>99</v>
      </c>
      <c r="D624" s="1" t="s">
        <v>13</v>
      </c>
      <c r="E624">
        <v>169</v>
      </c>
      <c r="F624">
        <v>76.75</v>
      </c>
      <c r="G624">
        <v>5</v>
      </c>
      <c r="H624" s="1" t="s">
        <v>637</v>
      </c>
    </row>
    <row r="625" spans="1:8" x14ac:dyDescent="0.25">
      <c r="A625" s="1" t="s">
        <v>33</v>
      </c>
      <c r="B625" s="1" t="s">
        <v>675</v>
      </c>
      <c r="C625">
        <v>20</v>
      </c>
      <c r="D625" s="1" t="s">
        <v>13</v>
      </c>
      <c r="E625">
        <v>31</v>
      </c>
      <c r="F625">
        <v>52.85</v>
      </c>
      <c r="G625">
        <v>2</v>
      </c>
      <c r="H625" s="1" t="s">
        <v>637</v>
      </c>
    </row>
    <row r="626" spans="1:8" x14ac:dyDescent="0.25">
      <c r="A626" s="1" t="s">
        <v>61</v>
      </c>
      <c r="B626" s="1" t="s">
        <v>676</v>
      </c>
      <c r="C626">
        <v>92</v>
      </c>
      <c r="D626" s="1" t="s">
        <v>18</v>
      </c>
      <c r="E626">
        <v>379</v>
      </c>
      <c r="F626">
        <v>70.08</v>
      </c>
      <c r="G626">
        <v>5</v>
      </c>
      <c r="H626" s="1" t="s">
        <v>637</v>
      </c>
    </row>
    <row r="627" spans="1:8" x14ac:dyDescent="0.25">
      <c r="A627" s="1" t="s">
        <v>24</v>
      </c>
      <c r="B627" s="1" t="s">
        <v>677</v>
      </c>
      <c r="C627">
        <v>35</v>
      </c>
      <c r="D627" s="1" t="s">
        <v>13</v>
      </c>
      <c r="E627">
        <v>299</v>
      </c>
      <c r="F627">
        <v>96.32</v>
      </c>
      <c r="G627">
        <v>4</v>
      </c>
      <c r="H627" s="1" t="s">
        <v>637</v>
      </c>
    </row>
    <row r="628" spans="1:8" x14ac:dyDescent="0.25">
      <c r="A628" s="1" t="s">
        <v>12</v>
      </c>
      <c r="B628" s="1" t="s">
        <v>678</v>
      </c>
      <c r="C628">
        <v>19</v>
      </c>
      <c r="D628" s="1" t="s">
        <v>18</v>
      </c>
      <c r="E628">
        <v>345</v>
      </c>
      <c r="F628">
        <v>54.37</v>
      </c>
      <c r="G628">
        <v>2</v>
      </c>
      <c r="H628" s="1" t="s">
        <v>637</v>
      </c>
    </row>
    <row r="629" spans="1:8" x14ac:dyDescent="0.25">
      <c r="A629" s="1" t="s">
        <v>41</v>
      </c>
      <c r="B629" s="1" t="s">
        <v>679</v>
      </c>
      <c r="C629">
        <v>94</v>
      </c>
      <c r="D629" s="1" t="s">
        <v>21</v>
      </c>
      <c r="E629">
        <v>261</v>
      </c>
      <c r="F629">
        <v>70.09</v>
      </c>
      <c r="G629">
        <v>3</v>
      </c>
      <c r="H629" s="1" t="s">
        <v>637</v>
      </c>
    </row>
    <row r="630" spans="1:8" x14ac:dyDescent="0.25">
      <c r="A630" s="1" t="s">
        <v>118</v>
      </c>
      <c r="B630" s="1" t="s">
        <v>680</v>
      </c>
      <c r="C630">
        <v>26</v>
      </c>
      <c r="D630" s="1" t="s">
        <v>10</v>
      </c>
      <c r="E630">
        <v>378</v>
      </c>
      <c r="F630">
        <v>45.21</v>
      </c>
      <c r="G630">
        <v>5</v>
      </c>
      <c r="H630" s="1" t="s">
        <v>637</v>
      </c>
    </row>
    <row r="631" spans="1:8" x14ac:dyDescent="0.25">
      <c r="A631" s="1" t="s">
        <v>12</v>
      </c>
      <c r="B631" s="1" t="s">
        <v>681</v>
      </c>
      <c r="C631">
        <v>56</v>
      </c>
      <c r="D631" s="1" t="s">
        <v>21</v>
      </c>
      <c r="E631">
        <v>367</v>
      </c>
      <c r="F631">
        <v>72.790000000000006</v>
      </c>
      <c r="G631">
        <v>1</v>
      </c>
      <c r="H631" s="1" t="s">
        <v>637</v>
      </c>
    </row>
    <row r="632" spans="1:8" x14ac:dyDescent="0.25">
      <c r="A632" s="1" t="s">
        <v>33</v>
      </c>
      <c r="B632" s="1" t="s">
        <v>683</v>
      </c>
      <c r="C632">
        <v>97</v>
      </c>
      <c r="D632" s="1" t="s">
        <v>18</v>
      </c>
      <c r="E632">
        <v>173</v>
      </c>
      <c r="F632">
        <v>19.37</v>
      </c>
      <c r="G632">
        <v>5</v>
      </c>
      <c r="H632" s="1" t="s">
        <v>682</v>
      </c>
    </row>
    <row r="633" spans="1:8" x14ac:dyDescent="0.25">
      <c r="A633" s="1" t="s">
        <v>122</v>
      </c>
      <c r="B633" s="1" t="s">
        <v>684</v>
      </c>
      <c r="C633">
        <v>54</v>
      </c>
      <c r="D633" s="1" t="s">
        <v>21</v>
      </c>
      <c r="E633">
        <v>215</v>
      </c>
      <c r="F633">
        <v>54.69</v>
      </c>
      <c r="G633">
        <v>0</v>
      </c>
      <c r="H633" s="1" t="s">
        <v>682</v>
      </c>
    </row>
    <row r="634" spans="1:8" x14ac:dyDescent="0.25">
      <c r="A634" s="1" t="s">
        <v>37</v>
      </c>
      <c r="B634" s="1" t="s">
        <v>685</v>
      </c>
      <c r="C634">
        <v>119</v>
      </c>
      <c r="D634" s="1" t="s">
        <v>18</v>
      </c>
      <c r="E634">
        <v>133</v>
      </c>
      <c r="F634">
        <v>30.27</v>
      </c>
      <c r="G634">
        <v>5</v>
      </c>
      <c r="H634" s="1" t="s">
        <v>682</v>
      </c>
    </row>
    <row r="635" spans="1:8" x14ac:dyDescent="0.25">
      <c r="A635" s="1" t="s">
        <v>15</v>
      </c>
      <c r="B635" s="1" t="s">
        <v>686</v>
      </c>
      <c r="C635">
        <v>9</v>
      </c>
      <c r="D635" s="1" t="s">
        <v>21</v>
      </c>
      <c r="E635">
        <v>102</v>
      </c>
      <c r="F635">
        <v>41.52</v>
      </c>
      <c r="G635">
        <v>0</v>
      </c>
      <c r="H635" s="1" t="s">
        <v>682</v>
      </c>
    </row>
    <row r="636" spans="1:8" x14ac:dyDescent="0.25">
      <c r="A636" s="1" t="s">
        <v>24</v>
      </c>
      <c r="B636" s="1" t="s">
        <v>687</v>
      </c>
      <c r="C636">
        <v>8</v>
      </c>
      <c r="D636" s="1" t="s">
        <v>18</v>
      </c>
      <c r="E636">
        <v>171</v>
      </c>
      <c r="F636">
        <v>52.98</v>
      </c>
      <c r="G636">
        <v>0</v>
      </c>
      <c r="H636" s="1" t="s">
        <v>682</v>
      </c>
    </row>
    <row r="637" spans="1:8" x14ac:dyDescent="0.25">
      <c r="A637" s="1" t="s">
        <v>122</v>
      </c>
      <c r="B637" s="1" t="s">
        <v>688</v>
      </c>
      <c r="C637">
        <v>79</v>
      </c>
      <c r="D637" s="1" t="s">
        <v>10</v>
      </c>
      <c r="E637">
        <v>454</v>
      </c>
      <c r="F637">
        <v>80.34</v>
      </c>
      <c r="G637">
        <v>2</v>
      </c>
      <c r="H637" s="1" t="s">
        <v>682</v>
      </c>
    </row>
    <row r="638" spans="1:8" x14ac:dyDescent="0.25">
      <c r="A638" s="1" t="s">
        <v>24</v>
      </c>
      <c r="B638" s="1" t="s">
        <v>689</v>
      </c>
      <c r="C638">
        <v>33</v>
      </c>
      <c r="D638" s="1" t="s">
        <v>13</v>
      </c>
      <c r="E638">
        <v>391</v>
      </c>
      <c r="F638">
        <v>88.88</v>
      </c>
      <c r="G638">
        <v>4</v>
      </c>
      <c r="H638" s="1" t="s">
        <v>682</v>
      </c>
    </row>
    <row r="639" spans="1:8" x14ac:dyDescent="0.25">
      <c r="A639" s="1" t="s">
        <v>12</v>
      </c>
      <c r="B639" s="1" t="s">
        <v>690</v>
      </c>
      <c r="C639">
        <v>5</v>
      </c>
      <c r="D639" s="1" t="s">
        <v>10</v>
      </c>
      <c r="E639">
        <v>71</v>
      </c>
      <c r="F639">
        <v>93.81</v>
      </c>
      <c r="G639">
        <v>3</v>
      </c>
      <c r="H639" s="1" t="s">
        <v>682</v>
      </c>
    </row>
    <row r="640" spans="1:8" x14ac:dyDescent="0.25">
      <c r="A640" s="1" t="s">
        <v>27</v>
      </c>
      <c r="B640" s="1" t="s">
        <v>691</v>
      </c>
      <c r="C640">
        <v>109</v>
      </c>
      <c r="D640" s="1" t="s">
        <v>21</v>
      </c>
      <c r="E640">
        <v>104</v>
      </c>
      <c r="F640">
        <v>12.37</v>
      </c>
      <c r="G640">
        <v>5</v>
      </c>
      <c r="H640" s="1" t="s">
        <v>682</v>
      </c>
    </row>
    <row r="641" spans="1:8" x14ac:dyDescent="0.25">
      <c r="A641" s="1" t="s">
        <v>83</v>
      </c>
      <c r="B641" s="1" t="s">
        <v>692</v>
      </c>
      <c r="C641">
        <v>96</v>
      </c>
      <c r="D641" s="1" t="s">
        <v>13</v>
      </c>
      <c r="E641">
        <v>280</v>
      </c>
      <c r="F641">
        <v>80.36</v>
      </c>
      <c r="G641">
        <v>5</v>
      </c>
      <c r="H641" s="1" t="s">
        <v>682</v>
      </c>
    </row>
    <row r="642" spans="1:8" x14ac:dyDescent="0.25">
      <c r="A642" s="1" t="s">
        <v>35</v>
      </c>
      <c r="B642" s="1" t="s">
        <v>693</v>
      </c>
      <c r="C642">
        <v>10</v>
      </c>
      <c r="D642" s="1" t="s">
        <v>21</v>
      </c>
      <c r="E642">
        <v>418</v>
      </c>
      <c r="F642">
        <v>27.66</v>
      </c>
      <c r="G642">
        <v>2</v>
      </c>
      <c r="H642" s="1" t="s">
        <v>682</v>
      </c>
    </row>
    <row r="643" spans="1:8" x14ac:dyDescent="0.25">
      <c r="A643" s="1" t="s">
        <v>68</v>
      </c>
      <c r="B643" s="1" t="s">
        <v>694</v>
      </c>
      <c r="C643">
        <v>57</v>
      </c>
      <c r="D643" s="1" t="s">
        <v>21</v>
      </c>
      <c r="E643">
        <v>375</v>
      </c>
      <c r="F643">
        <v>64.73</v>
      </c>
      <c r="G643">
        <v>1</v>
      </c>
      <c r="H643" s="1" t="s">
        <v>682</v>
      </c>
    </row>
    <row r="644" spans="1:8" x14ac:dyDescent="0.25">
      <c r="A644" s="1" t="s">
        <v>126</v>
      </c>
      <c r="B644" s="1" t="s">
        <v>695</v>
      </c>
      <c r="C644">
        <v>98</v>
      </c>
      <c r="D644" s="1" t="s">
        <v>13</v>
      </c>
      <c r="E644">
        <v>168</v>
      </c>
      <c r="F644">
        <v>44.14</v>
      </c>
      <c r="G644">
        <v>3</v>
      </c>
      <c r="H644" s="1" t="s">
        <v>682</v>
      </c>
    </row>
    <row r="645" spans="1:8" x14ac:dyDescent="0.25">
      <c r="A645" s="1" t="s">
        <v>12</v>
      </c>
      <c r="B645" s="1" t="s">
        <v>696</v>
      </c>
      <c r="C645">
        <v>48</v>
      </c>
      <c r="D645" s="1" t="s">
        <v>10</v>
      </c>
      <c r="E645">
        <v>473</v>
      </c>
      <c r="F645">
        <v>71.52</v>
      </c>
      <c r="G645">
        <v>5</v>
      </c>
      <c r="H645" s="1" t="s">
        <v>682</v>
      </c>
    </row>
    <row r="646" spans="1:8" x14ac:dyDescent="0.25">
      <c r="A646" s="1" t="s">
        <v>68</v>
      </c>
      <c r="B646" s="1" t="s">
        <v>697</v>
      </c>
      <c r="C646">
        <v>78</v>
      </c>
      <c r="D646" s="1" t="s">
        <v>10</v>
      </c>
      <c r="E646">
        <v>387</v>
      </c>
      <c r="F646">
        <v>11.63</v>
      </c>
      <c r="G646">
        <v>2</v>
      </c>
      <c r="H646" s="1" t="s">
        <v>682</v>
      </c>
    </row>
    <row r="647" spans="1:8" x14ac:dyDescent="0.25">
      <c r="A647" s="1" t="s">
        <v>41</v>
      </c>
      <c r="B647" s="1" t="s">
        <v>698</v>
      </c>
      <c r="C647">
        <v>108</v>
      </c>
      <c r="D647" s="1" t="s">
        <v>18</v>
      </c>
      <c r="E647">
        <v>467</v>
      </c>
      <c r="F647">
        <v>44.84</v>
      </c>
      <c r="G647">
        <v>4</v>
      </c>
      <c r="H647" s="1" t="s">
        <v>682</v>
      </c>
    </row>
    <row r="648" spans="1:8" x14ac:dyDescent="0.25">
      <c r="A648" s="1" t="s">
        <v>35</v>
      </c>
      <c r="B648" s="1" t="s">
        <v>699</v>
      </c>
      <c r="C648">
        <v>4</v>
      </c>
      <c r="D648" s="1" t="s">
        <v>13</v>
      </c>
      <c r="E648">
        <v>449</v>
      </c>
      <c r="F648">
        <v>43.95</v>
      </c>
      <c r="G648">
        <v>2</v>
      </c>
      <c r="H648" s="1" t="s">
        <v>682</v>
      </c>
    </row>
    <row r="649" spans="1:8" x14ac:dyDescent="0.25">
      <c r="A649" s="1" t="s">
        <v>72</v>
      </c>
      <c r="B649" s="1" t="s">
        <v>700</v>
      </c>
      <c r="C649">
        <v>119</v>
      </c>
      <c r="D649" s="1" t="s">
        <v>13</v>
      </c>
      <c r="E649">
        <v>31</v>
      </c>
      <c r="F649">
        <v>21.27</v>
      </c>
      <c r="G649">
        <v>5</v>
      </c>
      <c r="H649" s="1" t="s">
        <v>682</v>
      </c>
    </row>
    <row r="650" spans="1:8" x14ac:dyDescent="0.25">
      <c r="A650" s="1" t="s">
        <v>83</v>
      </c>
      <c r="B650" s="1" t="s">
        <v>701</v>
      </c>
      <c r="C650">
        <v>23</v>
      </c>
      <c r="D650" s="1" t="s">
        <v>13</v>
      </c>
      <c r="E650">
        <v>120</v>
      </c>
      <c r="F650">
        <v>73.12</v>
      </c>
      <c r="G650">
        <v>1</v>
      </c>
      <c r="H650" s="1" t="s">
        <v>682</v>
      </c>
    </row>
    <row r="651" spans="1:8" x14ac:dyDescent="0.25">
      <c r="A651" s="1" t="s">
        <v>83</v>
      </c>
      <c r="B651" s="1" t="s">
        <v>702</v>
      </c>
      <c r="C651">
        <v>42</v>
      </c>
      <c r="D651" s="1" t="s">
        <v>18</v>
      </c>
      <c r="E651">
        <v>252</v>
      </c>
      <c r="F651">
        <v>59.46</v>
      </c>
      <c r="G651">
        <v>4</v>
      </c>
      <c r="H651" s="1" t="s">
        <v>682</v>
      </c>
    </row>
    <row r="652" spans="1:8" x14ac:dyDescent="0.25">
      <c r="A652" s="1" t="s">
        <v>83</v>
      </c>
      <c r="B652" s="1" t="s">
        <v>703</v>
      </c>
      <c r="C652">
        <v>90</v>
      </c>
      <c r="D652" s="1" t="s">
        <v>21</v>
      </c>
      <c r="E652">
        <v>412</v>
      </c>
      <c r="F652">
        <v>20.62</v>
      </c>
      <c r="G652">
        <v>2</v>
      </c>
      <c r="H652" s="1" t="s">
        <v>682</v>
      </c>
    </row>
    <row r="653" spans="1:8" x14ac:dyDescent="0.25">
      <c r="A653" s="1" t="s">
        <v>29</v>
      </c>
      <c r="B653" s="1" t="s">
        <v>704</v>
      </c>
      <c r="C653">
        <v>58</v>
      </c>
      <c r="D653" s="1" t="s">
        <v>10</v>
      </c>
      <c r="E653">
        <v>485</v>
      </c>
      <c r="F653">
        <v>65.41</v>
      </c>
      <c r="G653">
        <v>5</v>
      </c>
      <c r="H653" s="1" t="s">
        <v>682</v>
      </c>
    </row>
    <row r="654" spans="1:8" x14ac:dyDescent="0.25">
      <c r="A654" s="1" t="s">
        <v>122</v>
      </c>
      <c r="B654" s="1" t="s">
        <v>705</v>
      </c>
      <c r="C654">
        <v>49</v>
      </c>
      <c r="D654" s="1" t="s">
        <v>18</v>
      </c>
      <c r="E654">
        <v>288</v>
      </c>
      <c r="F654">
        <v>91.32</v>
      </c>
      <c r="G654">
        <v>4</v>
      </c>
      <c r="H654" s="1" t="s">
        <v>682</v>
      </c>
    </row>
    <row r="655" spans="1:8" x14ac:dyDescent="0.25">
      <c r="A655" s="1" t="s">
        <v>37</v>
      </c>
      <c r="B655" s="1" t="s">
        <v>706</v>
      </c>
      <c r="C655">
        <v>18</v>
      </c>
      <c r="D655" s="1" t="s">
        <v>18</v>
      </c>
      <c r="E655">
        <v>463</v>
      </c>
      <c r="F655">
        <v>41.66</v>
      </c>
      <c r="G655">
        <v>4</v>
      </c>
      <c r="H655" s="1" t="s">
        <v>682</v>
      </c>
    </row>
    <row r="656" spans="1:8" x14ac:dyDescent="0.25">
      <c r="A656" s="1" t="s">
        <v>59</v>
      </c>
      <c r="B656" s="1" t="s">
        <v>707</v>
      </c>
      <c r="C656">
        <v>82</v>
      </c>
      <c r="D656" s="1" t="s">
        <v>13</v>
      </c>
      <c r="E656">
        <v>312</v>
      </c>
      <c r="F656">
        <v>40.880000000000003</v>
      </c>
      <c r="G656">
        <v>0</v>
      </c>
      <c r="H656" s="1" t="s">
        <v>682</v>
      </c>
    </row>
    <row r="657" spans="1:8" x14ac:dyDescent="0.25">
      <c r="A657" s="1" t="s">
        <v>61</v>
      </c>
      <c r="B657" s="1" t="s">
        <v>708</v>
      </c>
      <c r="C657">
        <v>74</v>
      </c>
      <c r="D657" s="1" t="s">
        <v>21</v>
      </c>
      <c r="E657">
        <v>359</v>
      </c>
      <c r="F657">
        <v>92.63</v>
      </c>
      <c r="G657">
        <v>0</v>
      </c>
      <c r="H657" s="1" t="s">
        <v>682</v>
      </c>
    </row>
    <row r="658" spans="1:8" x14ac:dyDescent="0.25">
      <c r="A658" s="1" t="s">
        <v>17</v>
      </c>
      <c r="B658" s="1" t="s">
        <v>709</v>
      </c>
      <c r="C658">
        <v>72</v>
      </c>
      <c r="D658" s="1" t="s">
        <v>18</v>
      </c>
      <c r="E658">
        <v>427</v>
      </c>
      <c r="F658">
        <v>31.44</v>
      </c>
      <c r="G658">
        <v>2</v>
      </c>
      <c r="H658" s="1" t="s">
        <v>682</v>
      </c>
    </row>
    <row r="659" spans="1:8" x14ac:dyDescent="0.25">
      <c r="A659" s="1" t="s">
        <v>27</v>
      </c>
      <c r="B659" s="1" t="s">
        <v>710</v>
      </c>
      <c r="C659">
        <v>26</v>
      </c>
      <c r="D659" s="1" t="s">
        <v>10</v>
      </c>
      <c r="E659">
        <v>391</v>
      </c>
      <c r="F659">
        <v>18.28</v>
      </c>
      <c r="G659">
        <v>3</v>
      </c>
      <c r="H659" s="1" t="s">
        <v>682</v>
      </c>
    </row>
    <row r="660" spans="1:8" x14ac:dyDescent="0.25">
      <c r="A660" s="1" t="s">
        <v>48</v>
      </c>
      <c r="B660" s="1" t="s">
        <v>711</v>
      </c>
      <c r="C660">
        <v>33</v>
      </c>
      <c r="D660" s="1" t="s">
        <v>21</v>
      </c>
      <c r="E660">
        <v>18</v>
      </c>
      <c r="F660">
        <v>47.18</v>
      </c>
      <c r="G660">
        <v>4</v>
      </c>
      <c r="H660" s="1" t="s">
        <v>682</v>
      </c>
    </row>
    <row r="661" spans="1:8" x14ac:dyDescent="0.25">
      <c r="A661" s="1" t="s">
        <v>12</v>
      </c>
      <c r="B661" s="1" t="s">
        <v>712</v>
      </c>
      <c r="C661">
        <v>63</v>
      </c>
      <c r="D661" s="1" t="s">
        <v>10</v>
      </c>
      <c r="E661">
        <v>177</v>
      </c>
      <c r="F661">
        <v>77.73</v>
      </c>
      <c r="G661">
        <v>3</v>
      </c>
      <c r="H661" s="1" t="s">
        <v>682</v>
      </c>
    </row>
    <row r="662" spans="1:8" x14ac:dyDescent="0.25">
      <c r="A662" s="1" t="s">
        <v>24</v>
      </c>
      <c r="B662" s="1" t="s">
        <v>713</v>
      </c>
      <c r="C662">
        <v>87</v>
      </c>
      <c r="D662" s="1" t="s">
        <v>13</v>
      </c>
      <c r="E662">
        <v>486</v>
      </c>
      <c r="F662">
        <v>58.26</v>
      </c>
      <c r="G662">
        <v>0</v>
      </c>
      <c r="H662" s="1" t="s">
        <v>682</v>
      </c>
    </row>
    <row r="663" spans="1:8" x14ac:dyDescent="0.25">
      <c r="A663" s="1" t="s">
        <v>12</v>
      </c>
      <c r="B663" s="1" t="s">
        <v>714</v>
      </c>
      <c r="C663">
        <v>37</v>
      </c>
      <c r="D663" s="1" t="s">
        <v>10</v>
      </c>
      <c r="E663">
        <v>213</v>
      </c>
      <c r="F663">
        <v>14.12</v>
      </c>
      <c r="G663">
        <v>1</v>
      </c>
      <c r="H663" s="1" t="s">
        <v>682</v>
      </c>
    </row>
    <row r="664" spans="1:8" x14ac:dyDescent="0.25">
      <c r="A664" s="1" t="s">
        <v>24</v>
      </c>
      <c r="B664" s="1" t="s">
        <v>715</v>
      </c>
      <c r="C664">
        <v>29</v>
      </c>
      <c r="D664" s="1" t="s">
        <v>18</v>
      </c>
      <c r="E664">
        <v>306</v>
      </c>
      <c r="F664">
        <v>82.16</v>
      </c>
      <c r="G664">
        <v>1</v>
      </c>
      <c r="H664" s="1" t="s">
        <v>682</v>
      </c>
    </row>
    <row r="665" spans="1:8" x14ac:dyDescent="0.25">
      <c r="A665" s="1" t="s">
        <v>72</v>
      </c>
      <c r="B665" s="1" t="s">
        <v>716</v>
      </c>
      <c r="C665">
        <v>26</v>
      </c>
      <c r="D665" s="1" t="s">
        <v>21</v>
      </c>
      <c r="E665">
        <v>378</v>
      </c>
      <c r="F665">
        <v>88.59</v>
      </c>
      <c r="G665">
        <v>4</v>
      </c>
      <c r="H665" s="1" t="s">
        <v>682</v>
      </c>
    </row>
    <row r="666" spans="1:8" x14ac:dyDescent="0.25">
      <c r="A666" s="1" t="s">
        <v>126</v>
      </c>
      <c r="B666" s="1" t="s">
        <v>717</v>
      </c>
      <c r="C666">
        <v>95</v>
      </c>
      <c r="D666" s="1" t="s">
        <v>10</v>
      </c>
      <c r="E666">
        <v>313</v>
      </c>
      <c r="F666">
        <v>32.49</v>
      </c>
      <c r="G666">
        <v>1</v>
      </c>
      <c r="H666" s="1" t="s">
        <v>682</v>
      </c>
    </row>
    <row r="667" spans="1:8" x14ac:dyDescent="0.25">
      <c r="A667" s="1" t="s">
        <v>54</v>
      </c>
      <c r="B667" s="1" t="s">
        <v>718</v>
      </c>
      <c r="C667">
        <v>21</v>
      </c>
      <c r="D667" s="1" t="s">
        <v>18</v>
      </c>
      <c r="E667">
        <v>475</v>
      </c>
      <c r="F667">
        <v>15.12</v>
      </c>
      <c r="G667">
        <v>2</v>
      </c>
      <c r="H667" s="1" t="s">
        <v>682</v>
      </c>
    </row>
    <row r="668" spans="1:8" x14ac:dyDescent="0.25">
      <c r="A668" s="1" t="s">
        <v>23</v>
      </c>
      <c r="B668" s="1" t="s">
        <v>719</v>
      </c>
      <c r="C668">
        <v>105</v>
      </c>
      <c r="D668" s="1" t="s">
        <v>10</v>
      </c>
      <c r="E668">
        <v>454</v>
      </c>
      <c r="F668">
        <v>49.47</v>
      </c>
      <c r="G668">
        <v>4</v>
      </c>
      <c r="H668" s="1" t="s">
        <v>682</v>
      </c>
    </row>
    <row r="669" spans="1:8" x14ac:dyDescent="0.25">
      <c r="A669" s="1" t="s">
        <v>17</v>
      </c>
      <c r="B669" s="1" t="s">
        <v>720</v>
      </c>
      <c r="C669">
        <v>68</v>
      </c>
      <c r="D669" s="1" t="s">
        <v>13</v>
      </c>
      <c r="E669">
        <v>282</v>
      </c>
      <c r="F669">
        <v>35.43</v>
      </c>
      <c r="G669">
        <v>1</v>
      </c>
      <c r="H669" s="1" t="s">
        <v>682</v>
      </c>
    </row>
    <row r="670" spans="1:8" x14ac:dyDescent="0.25">
      <c r="A670" s="1" t="s">
        <v>23</v>
      </c>
      <c r="B670" s="1" t="s">
        <v>721</v>
      </c>
      <c r="C670">
        <v>104</v>
      </c>
      <c r="D670" s="1" t="s">
        <v>18</v>
      </c>
      <c r="E670">
        <v>245</v>
      </c>
      <c r="F670">
        <v>38.270000000000003</v>
      </c>
      <c r="G670">
        <v>0</v>
      </c>
      <c r="H670" s="1" t="s">
        <v>682</v>
      </c>
    </row>
    <row r="671" spans="1:8" x14ac:dyDescent="0.25">
      <c r="A671" s="1" t="s">
        <v>54</v>
      </c>
      <c r="B671" s="1" t="s">
        <v>722</v>
      </c>
      <c r="C671">
        <v>102</v>
      </c>
      <c r="D671" s="1" t="s">
        <v>18</v>
      </c>
      <c r="E671">
        <v>484</v>
      </c>
      <c r="F671">
        <v>64.22</v>
      </c>
      <c r="G671">
        <v>2</v>
      </c>
      <c r="H671" s="1" t="s">
        <v>682</v>
      </c>
    </row>
    <row r="672" spans="1:8" x14ac:dyDescent="0.25">
      <c r="A672" s="1" t="s">
        <v>48</v>
      </c>
      <c r="B672" s="1" t="s">
        <v>723</v>
      </c>
      <c r="C672">
        <v>25</v>
      </c>
      <c r="D672" s="1" t="s">
        <v>13</v>
      </c>
      <c r="E672">
        <v>66</v>
      </c>
      <c r="F672">
        <v>90.14</v>
      </c>
      <c r="G672">
        <v>5</v>
      </c>
      <c r="H672" s="1" t="s">
        <v>682</v>
      </c>
    </row>
    <row r="673" spans="1:8" x14ac:dyDescent="0.25">
      <c r="A673" s="1" t="s">
        <v>27</v>
      </c>
      <c r="B673" s="1" t="s">
        <v>724</v>
      </c>
      <c r="C673">
        <v>12</v>
      </c>
      <c r="D673" s="1" t="s">
        <v>10</v>
      </c>
      <c r="E673">
        <v>138</v>
      </c>
      <c r="F673">
        <v>99.83</v>
      </c>
      <c r="G673">
        <v>1</v>
      </c>
      <c r="H673" s="1" t="s">
        <v>682</v>
      </c>
    </row>
    <row r="674" spans="1:8" x14ac:dyDescent="0.25">
      <c r="A674" s="1" t="s">
        <v>17</v>
      </c>
      <c r="B674" s="1" t="s">
        <v>725</v>
      </c>
      <c r="C674">
        <v>75</v>
      </c>
      <c r="D674" s="1" t="s">
        <v>18</v>
      </c>
      <c r="E674">
        <v>370</v>
      </c>
      <c r="F674">
        <v>21.67</v>
      </c>
      <c r="G674">
        <v>0</v>
      </c>
      <c r="H674" s="1" t="s">
        <v>682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2C73-A5DA-4AC4-AF69-26A69D866F31}">
  <dimension ref="A1:F1069"/>
  <sheetViews>
    <sheetView topLeftCell="A1045" workbookViewId="0">
      <selection activeCell="B4" sqref="B4"/>
    </sheetView>
  </sheetViews>
  <sheetFormatPr baseColWidth="10" defaultRowHeight="15" x14ac:dyDescent="0.25"/>
  <cols>
    <col min="1" max="1" width="24.140625" bestFit="1" customWidth="1"/>
    <col min="2" max="2" width="24.140625" customWidth="1"/>
    <col min="3" max="3" width="22" customWidth="1"/>
    <col min="4" max="4" width="14.85546875" customWidth="1"/>
    <col min="5" max="5" width="26.140625" customWidth="1"/>
    <col min="6" max="6" width="21.7109375" customWidth="1"/>
  </cols>
  <sheetData>
    <row r="1" spans="1:6" x14ac:dyDescent="0.25">
      <c r="A1" t="s">
        <v>0</v>
      </c>
      <c r="B1" t="s">
        <v>1415</v>
      </c>
      <c r="C1" t="s">
        <v>726</v>
      </c>
      <c r="D1" t="s">
        <v>727</v>
      </c>
      <c r="E1" t="s">
        <v>728</v>
      </c>
      <c r="F1" t="s">
        <v>729</v>
      </c>
    </row>
    <row r="2" spans="1:6" x14ac:dyDescent="0.25">
      <c r="A2" s="1" t="s">
        <v>1024</v>
      </c>
      <c r="B2" s="2">
        <v>45230.997916666667</v>
      </c>
      <c r="C2" s="3">
        <v>45230.997916666667</v>
      </c>
      <c r="D2" s="1" t="s">
        <v>1029</v>
      </c>
      <c r="E2">
        <v>72</v>
      </c>
      <c r="F2" s="1" t="s">
        <v>737</v>
      </c>
    </row>
    <row r="3" spans="1:6" x14ac:dyDescent="0.25">
      <c r="A3" s="1" t="s">
        <v>861</v>
      </c>
      <c r="B3" s="2">
        <v>45230.925000000003</v>
      </c>
      <c r="C3" s="3">
        <v>45230.925000000003</v>
      </c>
      <c r="D3" s="1" t="s">
        <v>889</v>
      </c>
      <c r="E3">
        <v>90</v>
      </c>
      <c r="F3" s="1" t="s">
        <v>732</v>
      </c>
    </row>
    <row r="4" spans="1:6" x14ac:dyDescent="0.25">
      <c r="A4" s="1" t="s">
        <v>1361</v>
      </c>
      <c r="B4" s="2">
        <v>45230.913194444453</v>
      </c>
      <c r="C4" s="3">
        <v>45230.913194444453</v>
      </c>
      <c r="D4" s="1" t="s">
        <v>1146</v>
      </c>
      <c r="E4">
        <v>62</v>
      </c>
      <c r="F4" s="1" t="s">
        <v>732</v>
      </c>
    </row>
    <row r="5" spans="1:6" x14ac:dyDescent="0.25">
      <c r="A5" s="1" t="s">
        <v>902</v>
      </c>
      <c r="B5" s="2">
        <v>45230.911805555559</v>
      </c>
      <c r="C5" s="3">
        <v>45230.911805555559</v>
      </c>
      <c r="D5" s="1" t="s">
        <v>938</v>
      </c>
      <c r="E5">
        <v>16</v>
      </c>
      <c r="F5" s="1" t="s">
        <v>735</v>
      </c>
    </row>
    <row r="6" spans="1:6" x14ac:dyDescent="0.25">
      <c r="A6" s="1" t="s">
        <v>1382</v>
      </c>
      <c r="B6" s="2">
        <v>45230.90625</v>
      </c>
      <c r="C6" s="3">
        <v>45230.90625</v>
      </c>
      <c r="D6" s="1" t="s">
        <v>1334</v>
      </c>
      <c r="E6">
        <v>87</v>
      </c>
      <c r="F6" s="1" t="s">
        <v>732</v>
      </c>
    </row>
    <row r="7" spans="1:6" x14ac:dyDescent="0.25">
      <c r="A7" s="1" t="s">
        <v>1114</v>
      </c>
      <c r="B7" s="2">
        <v>45230.868055555547</v>
      </c>
      <c r="C7" s="3">
        <v>45230.868055555547</v>
      </c>
      <c r="D7" s="1" t="s">
        <v>1123</v>
      </c>
      <c r="E7">
        <v>103</v>
      </c>
      <c r="F7" s="1" t="s">
        <v>737</v>
      </c>
    </row>
    <row r="8" spans="1:6" x14ac:dyDescent="0.25">
      <c r="A8" s="1" t="s">
        <v>1024</v>
      </c>
      <c r="B8" s="2">
        <v>45230.863888888889</v>
      </c>
      <c r="C8" s="3">
        <v>45230.863888888889</v>
      </c>
      <c r="D8" s="1" t="s">
        <v>1045</v>
      </c>
      <c r="E8">
        <v>57</v>
      </c>
      <c r="F8" s="1" t="s">
        <v>732</v>
      </c>
    </row>
    <row r="9" spans="1:6" x14ac:dyDescent="0.25">
      <c r="A9" s="1" t="s">
        <v>1165</v>
      </c>
      <c r="B9" s="2">
        <v>45230.862500000003</v>
      </c>
      <c r="C9" s="3">
        <v>45230.862500000003</v>
      </c>
      <c r="D9" s="1" t="s">
        <v>801</v>
      </c>
      <c r="E9">
        <v>67</v>
      </c>
      <c r="F9" s="1" t="s">
        <v>732</v>
      </c>
    </row>
    <row r="10" spans="1:6" x14ac:dyDescent="0.25">
      <c r="A10" s="1" t="s">
        <v>1219</v>
      </c>
      <c r="B10" s="2">
        <v>45230.847222222219</v>
      </c>
      <c r="C10" s="3">
        <v>45230.847222222219</v>
      </c>
      <c r="D10" s="1" t="s">
        <v>791</v>
      </c>
      <c r="E10">
        <v>58</v>
      </c>
      <c r="F10" s="1" t="s">
        <v>737</v>
      </c>
    </row>
    <row r="11" spans="1:6" x14ac:dyDescent="0.25">
      <c r="A11" s="1" t="s">
        <v>1404</v>
      </c>
      <c r="B11" s="2">
        <v>45230.839583333327</v>
      </c>
      <c r="C11" s="3">
        <v>45230.839583333327</v>
      </c>
      <c r="D11" s="1" t="s">
        <v>1120</v>
      </c>
      <c r="E11">
        <v>83</v>
      </c>
      <c r="F11" s="1" t="s">
        <v>737</v>
      </c>
    </row>
    <row r="12" spans="1:6" x14ac:dyDescent="0.25">
      <c r="A12" s="1" t="s">
        <v>861</v>
      </c>
      <c r="B12" s="2">
        <v>45230.834722222222</v>
      </c>
      <c r="C12" s="3">
        <v>45230.834722222222</v>
      </c>
      <c r="D12" s="1" t="s">
        <v>776</v>
      </c>
      <c r="E12">
        <v>46</v>
      </c>
      <c r="F12" s="1" t="s">
        <v>735</v>
      </c>
    </row>
    <row r="13" spans="1:6" x14ac:dyDescent="0.25">
      <c r="A13" s="1" t="s">
        <v>730</v>
      </c>
      <c r="B13" s="2">
        <v>45230.788888888892</v>
      </c>
      <c r="C13" s="3">
        <v>45230.788888888892</v>
      </c>
      <c r="D13" s="1" t="s">
        <v>774</v>
      </c>
      <c r="E13">
        <v>87</v>
      </c>
      <c r="F13" s="1" t="s">
        <v>735</v>
      </c>
    </row>
    <row r="14" spans="1:6" x14ac:dyDescent="0.25">
      <c r="A14" s="1" t="s">
        <v>999</v>
      </c>
      <c r="B14" s="2">
        <v>45230.776388888888</v>
      </c>
      <c r="C14" s="3">
        <v>45230.776388888888</v>
      </c>
      <c r="D14" s="1" t="s">
        <v>1016</v>
      </c>
      <c r="E14">
        <v>55</v>
      </c>
      <c r="F14" s="1" t="s">
        <v>735</v>
      </c>
    </row>
    <row r="15" spans="1:6" x14ac:dyDescent="0.25">
      <c r="A15" s="1" t="s">
        <v>1308</v>
      </c>
      <c r="B15" s="2">
        <v>45230.767361111109</v>
      </c>
      <c r="C15" s="3">
        <v>45230.767361111109</v>
      </c>
      <c r="D15" s="1" t="s">
        <v>1311</v>
      </c>
      <c r="E15">
        <v>16</v>
      </c>
      <c r="F15" s="1" t="s">
        <v>737</v>
      </c>
    </row>
    <row r="16" spans="1:6" x14ac:dyDescent="0.25">
      <c r="A16" s="1" t="s">
        <v>1404</v>
      </c>
      <c r="B16" s="2">
        <v>45230.731944444437</v>
      </c>
      <c r="C16" s="3">
        <v>45230.731944444437</v>
      </c>
      <c r="D16" s="1" t="s">
        <v>1030</v>
      </c>
      <c r="E16">
        <v>52</v>
      </c>
      <c r="F16" s="1" t="s">
        <v>732</v>
      </c>
    </row>
    <row r="17" spans="1:6" x14ac:dyDescent="0.25">
      <c r="A17" s="1" t="s">
        <v>978</v>
      </c>
      <c r="B17" s="2">
        <v>45230.726388888892</v>
      </c>
      <c r="C17" s="3">
        <v>45230.726388888892</v>
      </c>
      <c r="D17" s="1" t="s">
        <v>957</v>
      </c>
      <c r="E17">
        <v>19</v>
      </c>
      <c r="F17" s="1" t="s">
        <v>735</v>
      </c>
    </row>
    <row r="18" spans="1:6" x14ac:dyDescent="0.25">
      <c r="A18" s="1" t="s">
        <v>1345</v>
      </c>
      <c r="B18" s="2">
        <v>45230.64166666667</v>
      </c>
      <c r="C18" s="3">
        <v>45230.64166666667</v>
      </c>
      <c r="D18" s="1" t="s">
        <v>1357</v>
      </c>
      <c r="E18">
        <v>106</v>
      </c>
      <c r="F18" s="1" t="s">
        <v>732</v>
      </c>
    </row>
    <row r="19" spans="1:6" x14ac:dyDescent="0.25">
      <c r="A19" s="1" t="s">
        <v>1241</v>
      </c>
      <c r="B19" s="2">
        <v>45230.638888888891</v>
      </c>
      <c r="C19" s="3">
        <v>45230.638888888891</v>
      </c>
      <c r="D19" s="1" t="s">
        <v>1242</v>
      </c>
      <c r="E19">
        <v>77</v>
      </c>
      <c r="F19" s="1" t="s">
        <v>735</v>
      </c>
    </row>
    <row r="20" spans="1:6" x14ac:dyDescent="0.25">
      <c r="A20" s="1" t="s">
        <v>1024</v>
      </c>
      <c r="B20" s="2">
        <v>45230.633333333331</v>
      </c>
      <c r="C20" s="3">
        <v>45230.633333333331</v>
      </c>
      <c r="D20" s="1" t="s">
        <v>1055</v>
      </c>
      <c r="E20">
        <v>34</v>
      </c>
      <c r="F20" s="1" t="s">
        <v>732</v>
      </c>
    </row>
    <row r="21" spans="1:6" x14ac:dyDescent="0.25">
      <c r="A21" s="1" t="s">
        <v>902</v>
      </c>
      <c r="B21" s="2">
        <v>45230.629861111112</v>
      </c>
      <c r="C21" s="3">
        <v>45230.629861111112</v>
      </c>
      <c r="D21" s="1" t="s">
        <v>904</v>
      </c>
      <c r="E21">
        <v>91</v>
      </c>
      <c r="F21" s="1" t="s">
        <v>732</v>
      </c>
    </row>
    <row r="22" spans="1:6" x14ac:dyDescent="0.25">
      <c r="A22" s="1" t="s">
        <v>1361</v>
      </c>
      <c r="B22" s="2">
        <v>45230.595138888893</v>
      </c>
      <c r="C22" s="3">
        <v>45230.595138888893</v>
      </c>
      <c r="D22" s="1" t="s">
        <v>1364</v>
      </c>
      <c r="E22">
        <v>14</v>
      </c>
      <c r="F22" s="1" t="s">
        <v>732</v>
      </c>
    </row>
    <row r="23" spans="1:6" x14ac:dyDescent="0.25">
      <c r="A23" s="1" t="s">
        <v>1241</v>
      </c>
      <c r="B23" s="2">
        <v>45230.577777777777</v>
      </c>
      <c r="C23" s="3">
        <v>45230.577777777777</v>
      </c>
      <c r="D23" s="1" t="s">
        <v>1245</v>
      </c>
      <c r="E23">
        <v>97</v>
      </c>
      <c r="F23" s="1" t="s">
        <v>732</v>
      </c>
    </row>
    <row r="24" spans="1:6" x14ac:dyDescent="0.25">
      <c r="A24" s="1" t="s">
        <v>1165</v>
      </c>
      <c r="B24" s="2">
        <v>45230.565972222219</v>
      </c>
      <c r="C24" s="3">
        <v>45230.565972222219</v>
      </c>
      <c r="D24" s="1" t="s">
        <v>884</v>
      </c>
      <c r="E24">
        <v>74</v>
      </c>
      <c r="F24" s="1" t="s">
        <v>732</v>
      </c>
    </row>
    <row r="25" spans="1:6" x14ac:dyDescent="0.25">
      <c r="A25" s="1" t="s">
        <v>1288</v>
      </c>
      <c r="B25" s="2">
        <v>45230.537499999999</v>
      </c>
      <c r="C25" s="3">
        <v>45230.537499999999</v>
      </c>
      <c r="D25" s="1" t="s">
        <v>1289</v>
      </c>
      <c r="E25">
        <v>33</v>
      </c>
      <c r="F25" s="1" t="s">
        <v>735</v>
      </c>
    </row>
    <row r="26" spans="1:6" x14ac:dyDescent="0.25">
      <c r="A26" s="1" t="s">
        <v>1261</v>
      </c>
      <c r="B26" s="2">
        <v>45230.50277777778</v>
      </c>
      <c r="C26" s="3">
        <v>45230.50277777778</v>
      </c>
      <c r="D26" s="1" t="s">
        <v>1124</v>
      </c>
      <c r="E26">
        <v>99</v>
      </c>
      <c r="F26" s="1" t="s">
        <v>732</v>
      </c>
    </row>
    <row r="27" spans="1:6" x14ac:dyDescent="0.25">
      <c r="A27" s="1" t="s">
        <v>861</v>
      </c>
      <c r="B27" s="2">
        <v>45230.486111111109</v>
      </c>
      <c r="C27" s="3">
        <v>45230.486111111109</v>
      </c>
      <c r="D27" s="1" t="s">
        <v>900</v>
      </c>
      <c r="E27">
        <v>38</v>
      </c>
      <c r="F27" s="1" t="s">
        <v>732</v>
      </c>
    </row>
    <row r="28" spans="1:6" x14ac:dyDescent="0.25">
      <c r="A28" s="1" t="s">
        <v>939</v>
      </c>
      <c r="B28" s="2">
        <v>45230.484027777777</v>
      </c>
      <c r="C28" s="3">
        <v>45230.484027777777</v>
      </c>
      <c r="D28" s="1" t="s">
        <v>975</v>
      </c>
      <c r="E28">
        <v>37</v>
      </c>
      <c r="F28" s="1" t="s">
        <v>735</v>
      </c>
    </row>
    <row r="29" spans="1:6" x14ac:dyDescent="0.25">
      <c r="A29" s="1" t="s">
        <v>939</v>
      </c>
      <c r="B29" s="2">
        <v>45230.444444444453</v>
      </c>
      <c r="C29" s="3">
        <v>45230.444444444453</v>
      </c>
      <c r="D29" s="1" t="s">
        <v>928</v>
      </c>
      <c r="E29">
        <v>40</v>
      </c>
      <c r="F29" s="1" t="s">
        <v>732</v>
      </c>
    </row>
    <row r="30" spans="1:6" x14ac:dyDescent="0.25">
      <c r="A30" s="1" t="s">
        <v>1382</v>
      </c>
      <c r="B30" s="2">
        <v>45230.429166666669</v>
      </c>
      <c r="C30" s="3">
        <v>45230.429166666669</v>
      </c>
      <c r="D30" s="1" t="s">
        <v>1123</v>
      </c>
      <c r="E30">
        <v>11</v>
      </c>
      <c r="F30" s="1" t="s">
        <v>737</v>
      </c>
    </row>
    <row r="31" spans="1:6" x14ac:dyDescent="0.25">
      <c r="A31" s="1" t="s">
        <v>1114</v>
      </c>
      <c r="B31" s="2">
        <v>45230.40902777778</v>
      </c>
      <c r="C31" s="3">
        <v>45230.40902777778</v>
      </c>
      <c r="D31" s="1" t="s">
        <v>1135</v>
      </c>
      <c r="E31">
        <v>80</v>
      </c>
      <c r="F31" s="1" t="s">
        <v>735</v>
      </c>
    </row>
    <row r="32" spans="1:6" x14ac:dyDescent="0.25">
      <c r="A32" s="1" t="s">
        <v>1345</v>
      </c>
      <c r="B32" s="2">
        <v>45230.395138888889</v>
      </c>
      <c r="C32" s="3">
        <v>45230.395138888889</v>
      </c>
      <c r="D32" s="1" t="s">
        <v>1360</v>
      </c>
      <c r="E32">
        <v>89</v>
      </c>
      <c r="F32" s="1" t="s">
        <v>737</v>
      </c>
    </row>
    <row r="33" spans="1:6" x14ac:dyDescent="0.25">
      <c r="A33" s="1" t="s">
        <v>1193</v>
      </c>
      <c r="B33" s="2">
        <v>45230.323611111111</v>
      </c>
      <c r="C33" s="3">
        <v>45230.323611111111</v>
      </c>
      <c r="D33" s="1" t="s">
        <v>873</v>
      </c>
      <c r="E33">
        <v>105</v>
      </c>
      <c r="F33" s="1" t="s">
        <v>732</v>
      </c>
    </row>
    <row r="34" spans="1:6" x14ac:dyDescent="0.25">
      <c r="A34" s="1" t="s">
        <v>1114</v>
      </c>
      <c r="B34" s="2">
        <v>45230.303472222222</v>
      </c>
      <c r="C34" s="3">
        <v>45230.303472222222</v>
      </c>
      <c r="D34" s="1" t="s">
        <v>1133</v>
      </c>
      <c r="E34">
        <v>83</v>
      </c>
      <c r="F34" s="1" t="s">
        <v>737</v>
      </c>
    </row>
    <row r="35" spans="1:6" x14ac:dyDescent="0.25">
      <c r="A35" s="1" t="s">
        <v>1024</v>
      </c>
      <c r="B35" s="2">
        <v>45230.26458333333</v>
      </c>
      <c r="C35" s="3">
        <v>45230.26458333333</v>
      </c>
      <c r="D35" s="1" t="s">
        <v>1054</v>
      </c>
      <c r="E35">
        <v>62</v>
      </c>
      <c r="F35" s="1" t="s">
        <v>732</v>
      </c>
    </row>
    <row r="36" spans="1:6" x14ac:dyDescent="0.25">
      <c r="A36" s="1" t="s">
        <v>1114</v>
      </c>
      <c r="B36" s="2">
        <v>45230.228472222218</v>
      </c>
      <c r="C36" s="3">
        <v>45230.228472222218</v>
      </c>
      <c r="D36" s="1" t="s">
        <v>860</v>
      </c>
      <c r="E36">
        <v>39</v>
      </c>
      <c r="F36" s="1" t="s">
        <v>737</v>
      </c>
    </row>
    <row r="37" spans="1:6" x14ac:dyDescent="0.25">
      <c r="A37" s="1" t="s">
        <v>1138</v>
      </c>
      <c r="B37" s="2">
        <v>45230.1875</v>
      </c>
      <c r="C37" s="3">
        <v>45230.1875</v>
      </c>
      <c r="D37" s="1" t="s">
        <v>1147</v>
      </c>
      <c r="E37">
        <v>9</v>
      </c>
      <c r="F37" s="1" t="s">
        <v>737</v>
      </c>
    </row>
    <row r="38" spans="1:6" x14ac:dyDescent="0.25">
      <c r="A38" s="1" t="s">
        <v>1086</v>
      </c>
      <c r="B38" s="2">
        <v>45230.185416666667</v>
      </c>
      <c r="C38" s="3">
        <v>45230.185416666667</v>
      </c>
      <c r="D38" s="1" t="s">
        <v>1102</v>
      </c>
      <c r="E38">
        <v>31</v>
      </c>
      <c r="F38" s="1" t="s">
        <v>735</v>
      </c>
    </row>
    <row r="39" spans="1:6" x14ac:dyDescent="0.25">
      <c r="A39" s="1" t="s">
        <v>1308</v>
      </c>
      <c r="B39" s="2">
        <v>45230.12777777778</v>
      </c>
      <c r="C39" s="3">
        <v>45230.12777777778</v>
      </c>
      <c r="D39" s="1" t="s">
        <v>1227</v>
      </c>
      <c r="E39">
        <v>87</v>
      </c>
      <c r="F39" s="1" t="s">
        <v>737</v>
      </c>
    </row>
    <row r="40" spans="1:6" x14ac:dyDescent="0.25">
      <c r="A40" s="1" t="s">
        <v>1308</v>
      </c>
      <c r="B40" s="2">
        <v>45230.119444444441</v>
      </c>
      <c r="C40" s="3">
        <v>45230.119444444441</v>
      </c>
      <c r="D40" s="1" t="s">
        <v>916</v>
      </c>
      <c r="E40">
        <v>8</v>
      </c>
      <c r="F40" s="1" t="s">
        <v>735</v>
      </c>
    </row>
    <row r="41" spans="1:6" x14ac:dyDescent="0.25">
      <c r="A41" s="1" t="s">
        <v>1219</v>
      </c>
      <c r="B41" s="2">
        <v>45230.088194444441</v>
      </c>
      <c r="C41" s="3">
        <v>45230.088194444441</v>
      </c>
      <c r="D41" s="1" t="s">
        <v>1111</v>
      </c>
      <c r="E41">
        <v>87</v>
      </c>
      <c r="F41" s="1" t="s">
        <v>737</v>
      </c>
    </row>
    <row r="42" spans="1:6" x14ac:dyDescent="0.25">
      <c r="A42" s="1" t="s">
        <v>779</v>
      </c>
      <c r="B42" s="2">
        <v>45230.067361111112</v>
      </c>
      <c r="C42" s="3">
        <v>45230.067361111112</v>
      </c>
      <c r="D42" s="1" t="s">
        <v>803</v>
      </c>
      <c r="E42">
        <v>75</v>
      </c>
      <c r="F42" s="1" t="s">
        <v>732</v>
      </c>
    </row>
    <row r="43" spans="1:6" x14ac:dyDescent="0.25">
      <c r="A43" s="1" t="s">
        <v>1024</v>
      </c>
      <c r="B43" s="2">
        <v>45230.061111111107</v>
      </c>
      <c r="C43" s="3">
        <v>45230.061111111107</v>
      </c>
      <c r="D43" s="1" t="s">
        <v>1033</v>
      </c>
      <c r="E43">
        <v>103</v>
      </c>
      <c r="F43" s="1" t="s">
        <v>732</v>
      </c>
    </row>
    <row r="44" spans="1:6" x14ac:dyDescent="0.25">
      <c r="A44" s="1" t="s">
        <v>1345</v>
      </c>
      <c r="B44" s="2">
        <v>45230.039583333331</v>
      </c>
      <c r="C44" s="3">
        <v>45230.039583333331</v>
      </c>
      <c r="D44" s="1" t="s">
        <v>1272</v>
      </c>
      <c r="E44">
        <v>117</v>
      </c>
      <c r="F44" s="1" t="s">
        <v>735</v>
      </c>
    </row>
    <row r="45" spans="1:6" x14ac:dyDescent="0.25">
      <c r="A45" s="1" t="s">
        <v>1165</v>
      </c>
      <c r="B45" s="2">
        <v>45230.009027777778</v>
      </c>
      <c r="C45" s="3">
        <v>45230.009027777778</v>
      </c>
      <c r="D45" s="1" t="s">
        <v>811</v>
      </c>
      <c r="E45">
        <v>11</v>
      </c>
      <c r="F45" s="1" t="s">
        <v>735</v>
      </c>
    </row>
    <row r="46" spans="1:6" x14ac:dyDescent="0.25">
      <c r="A46" s="1" t="s">
        <v>823</v>
      </c>
      <c r="B46" s="2">
        <v>45230.004861111112</v>
      </c>
      <c r="C46" s="3">
        <v>45230.004861111112</v>
      </c>
      <c r="D46" s="1" t="s">
        <v>824</v>
      </c>
      <c r="E46">
        <v>58</v>
      </c>
      <c r="F46" s="1" t="s">
        <v>732</v>
      </c>
    </row>
    <row r="47" spans="1:6" x14ac:dyDescent="0.25">
      <c r="A47" s="1" t="s">
        <v>1404</v>
      </c>
      <c r="B47" s="2">
        <v>45229.986805555563</v>
      </c>
      <c r="C47" s="3">
        <v>45229.986805555563</v>
      </c>
      <c r="D47" s="1" t="s">
        <v>1180</v>
      </c>
      <c r="E47">
        <v>37</v>
      </c>
      <c r="F47" s="1" t="s">
        <v>737</v>
      </c>
    </row>
    <row r="48" spans="1:6" x14ac:dyDescent="0.25">
      <c r="A48" s="1" t="s">
        <v>1261</v>
      </c>
      <c r="B48" s="2">
        <v>45229.972222222219</v>
      </c>
      <c r="C48" s="3">
        <v>45229.972222222219</v>
      </c>
      <c r="D48" s="1" t="s">
        <v>1201</v>
      </c>
      <c r="E48">
        <v>5</v>
      </c>
      <c r="F48" s="1" t="s">
        <v>737</v>
      </c>
    </row>
    <row r="49" spans="1:6" x14ac:dyDescent="0.25">
      <c r="A49" s="1" t="s">
        <v>1308</v>
      </c>
      <c r="B49" s="2">
        <v>45229.801388888889</v>
      </c>
      <c r="C49" s="3">
        <v>45229.801388888889</v>
      </c>
      <c r="D49" s="1" t="s">
        <v>946</v>
      </c>
      <c r="E49">
        <v>89</v>
      </c>
      <c r="F49" s="1" t="s">
        <v>732</v>
      </c>
    </row>
    <row r="50" spans="1:6" x14ac:dyDescent="0.25">
      <c r="A50" s="1" t="s">
        <v>1288</v>
      </c>
      <c r="B50" s="2">
        <v>45229.772222222222</v>
      </c>
      <c r="C50" s="3">
        <v>45229.772222222222</v>
      </c>
      <c r="D50" s="1" t="s">
        <v>1181</v>
      </c>
      <c r="E50">
        <v>27</v>
      </c>
      <c r="F50" s="1" t="s">
        <v>732</v>
      </c>
    </row>
    <row r="51" spans="1:6" x14ac:dyDescent="0.25">
      <c r="A51" s="1" t="s">
        <v>939</v>
      </c>
      <c r="B51" s="2">
        <v>45229.756249999999</v>
      </c>
      <c r="C51" s="3">
        <v>45229.756249999999</v>
      </c>
      <c r="D51" s="1" t="s">
        <v>971</v>
      </c>
      <c r="E51">
        <v>82</v>
      </c>
      <c r="F51" s="1" t="s">
        <v>737</v>
      </c>
    </row>
    <row r="52" spans="1:6" x14ac:dyDescent="0.25">
      <c r="A52" s="1" t="s">
        <v>823</v>
      </c>
      <c r="B52" s="2">
        <v>45229.738194444442</v>
      </c>
      <c r="C52" s="3">
        <v>45229.738194444442</v>
      </c>
      <c r="D52" s="1" t="s">
        <v>833</v>
      </c>
      <c r="E52">
        <v>36</v>
      </c>
      <c r="F52" s="1" t="s">
        <v>735</v>
      </c>
    </row>
    <row r="53" spans="1:6" x14ac:dyDescent="0.25">
      <c r="A53" s="1" t="s">
        <v>1114</v>
      </c>
      <c r="B53" s="2">
        <v>45229.722916666673</v>
      </c>
      <c r="C53" s="3">
        <v>45229.722916666673</v>
      </c>
      <c r="D53" s="1" t="s">
        <v>879</v>
      </c>
      <c r="E53">
        <v>76</v>
      </c>
      <c r="F53" s="1" t="s">
        <v>735</v>
      </c>
    </row>
    <row r="54" spans="1:6" x14ac:dyDescent="0.25">
      <c r="A54" s="1" t="s">
        <v>1024</v>
      </c>
      <c r="B54" s="2">
        <v>45229.670138888891</v>
      </c>
      <c r="C54" s="3">
        <v>45229.670138888891</v>
      </c>
      <c r="D54" s="1" t="s">
        <v>1052</v>
      </c>
      <c r="E54">
        <v>41</v>
      </c>
      <c r="F54" s="1" t="s">
        <v>737</v>
      </c>
    </row>
    <row r="55" spans="1:6" x14ac:dyDescent="0.25">
      <c r="A55" s="1" t="s">
        <v>1308</v>
      </c>
      <c r="B55" s="2">
        <v>45229.631249999999</v>
      </c>
      <c r="C55" s="3">
        <v>45229.631249999999</v>
      </c>
      <c r="D55" s="1" t="s">
        <v>1313</v>
      </c>
      <c r="E55">
        <v>81</v>
      </c>
      <c r="F55" s="1" t="s">
        <v>732</v>
      </c>
    </row>
    <row r="56" spans="1:6" x14ac:dyDescent="0.25">
      <c r="A56" s="1" t="s">
        <v>1165</v>
      </c>
      <c r="B56" s="2">
        <v>45229.620833333327</v>
      </c>
      <c r="C56" s="3">
        <v>45229.620833333327</v>
      </c>
      <c r="D56" s="1" t="s">
        <v>1174</v>
      </c>
      <c r="E56">
        <v>74</v>
      </c>
      <c r="F56" s="1" t="s">
        <v>737</v>
      </c>
    </row>
    <row r="57" spans="1:6" x14ac:dyDescent="0.25">
      <c r="A57" s="1" t="s">
        <v>779</v>
      </c>
      <c r="B57" s="2">
        <v>45229.595833333333</v>
      </c>
      <c r="C57" s="3">
        <v>45229.595833333333</v>
      </c>
      <c r="D57" s="1" t="s">
        <v>757</v>
      </c>
      <c r="E57">
        <v>88</v>
      </c>
      <c r="F57" s="1" t="s">
        <v>737</v>
      </c>
    </row>
    <row r="58" spans="1:6" x14ac:dyDescent="0.25">
      <c r="A58" s="1" t="s">
        <v>730</v>
      </c>
      <c r="B58" s="2">
        <v>45229.503472222219</v>
      </c>
      <c r="C58" s="3">
        <v>45229.503472222219</v>
      </c>
      <c r="D58" s="1" t="s">
        <v>754</v>
      </c>
      <c r="E58">
        <v>106</v>
      </c>
      <c r="F58" s="1" t="s">
        <v>735</v>
      </c>
    </row>
    <row r="59" spans="1:6" x14ac:dyDescent="0.25">
      <c r="A59" s="1" t="s">
        <v>823</v>
      </c>
      <c r="B59" s="2">
        <v>45229.443749999999</v>
      </c>
      <c r="C59" s="3">
        <v>45229.443749999999</v>
      </c>
      <c r="D59" s="1" t="s">
        <v>837</v>
      </c>
      <c r="E59">
        <v>5</v>
      </c>
      <c r="F59" s="1" t="s">
        <v>732</v>
      </c>
    </row>
    <row r="60" spans="1:6" x14ac:dyDescent="0.25">
      <c r="A60" s="1" t="s">
        <v>1165</v>
      </c>
      <c r="B60" s="2">
        <v>45229.429861111108</v>
      </c>
      <c r="C60" s="3">
        <v>45229.429861111108</v>
      </c>
      <c r="D60" s="1" t="s">
        <v>1016</v>
      </c>
      <c r="E60">
        <v>90</v>
      </c>
      <c r="F60" s="1" t="s">
        <v>732</v>
      </c>
    </row>
    <row r="61" spans="1:6" x14ac:dyDescent="0.25">
      <c r="A61" s="1" t="s">
        <v>861</v>
      </c>
      <c r="B61" s="2">
        <v>45229.4</v>
      </c>
      <c r="C61" s="3">
        <v>45229.4</v>
      </c>
      <c r="D61" s="1" t="s">
        <v>887</v>
      </c>
      <c r="E61">
        <v>77</v>
      </c>
      <c r="F61" s="1" t="s">
        <v>732</v>
      </c>
    </row>
    <row r="62" spans="1:6" x14ac:dyDescent="0.25">
      <c r="A62" s="1" t="s">
        <v>1024</v>
      </c>
      <c r="B62" s="2">
        <v>45229.39166666667</v>
      </c>
      <c r="C62" s="3">
        <v>45229.39166666667</v>
      </c>
      <c r="D62" s="1" t="s">
        <v>1038</v>
      </c>
      <c r="E62">
        <v>28</v>
      </c>
      <c r="F62" s="1" t="s">
        <v>737</v>
      </c>
    </row>
    <row r="63" spans="1:6" x14ac:dyDescent="0.25">
      <c r="A63" s="1" t="s">
        <v>779</v>
      </c>
      <c r="B63" s="2">
        <v>45229.298611111109</v>
      </c>
      <c r="C63" s="3">
        <v>45229.298611111109</v>
      </c>
      <c r="D63" s="1" t="s">
        <v>794</v>
      </c>
      <c r="E63">
        <v>74</v>
      </c>
      <c r="F63" s="1" t="s">
        <v>737</v>
      </c>
    </row>
    <row r="64" spans="1:6" x14ac:dyDescent="0.25">
      <c r="A64" s="1" t="s">
        <v>1165</v>
      </c>
      <c r="B64" s="2">
        <v>45229.282638888893</v>
      </c>
      <c r="C64" s="3">
        <v>45229.282638888893</v>
      </c>
      <c r="D64" s="1" t="s">
        <v>776</v>
      </c>
      <c r="E64">
        <v>102</v>
      </c>
      <c r="F64" s="1" t="s">
        <v>735</v>
      </c>
    </row>
    <row r="65" spans="1:6" x14ac:dyDescent="0.25">
      <c r="A65" s="1" t="s">
        <v>1261</v>
      </c>
      <c r="B65" s="2">
        <v>45229.065972222219</v>
      </c>
      <c r="C65" s="3">
        <v>45229.065972222219</v>
      </c>
      <c r="D65" s="1" t="s">
        <v>797</v>
      </c>
      <c r="E65">
        <v>93</v>
      </c>
      <c r="F65" s="1" t="s">
        <v>732</v>
      </c>
    </row>
    <row r="66" spans="1:6" x14ac:dyDescent="0.25">
      <c r="A66" s="1" t="s">
        <v>1382</v>
      </c>
      <c r="B66" s="2">
        <v>45228.980555555558</v>
      </c>
      <c r="C66" s="3">
        <v>45228.980555555558</v>
      </c>
      <c r="D66" s="1" t="s">
        <v>938</v>
      </c>
      <c r="E66">
        <v>37</v>
      </c>
      <c r="F66" s="1" t="s">
        <v>735</v>
      </c>
    </row>
    <row r="67" spans="1:6" x14ac:dyDescent="0.25">
      <c r="A67" s="1" t="s">
        <v>1345</v>
      </c>
      <c r="B67" s="2">
        <v>45228.880555555559</v>
      </c>
      <c r="C67" s="3">
        <v>45228.880555555559</v>
      </c>
      <c r="D67" s="1" t="s">
        <v>1027</v>
      </c>
      <c r="E67">
        <v>112</v>
      </c>
      <c r="F67" s="1" t="s">
        <v>737</v>
      </c>
    </row>
    <row r="68" spans="1:6" x14ac:dyDescent="0.25">
      <c r="A68" s="1" t="s">
        <v>730</v>
      </c>
      <c r="B68" s="2">
        <v>45228.853472222218</v>
      </c>
      <c r="C68" s="3">
        <v>45228.853472222218</v>
      </c>
      <c r="D68" s="1" t="s">
        <v>771</v>
      </c>
      <c r="E68">
        <v>42</v>
      </c>
      <c r="F68" s="1" t="s">
        <v>732</v>
      </c>
    </row>
    <row r="69" spans="1:6" x14ac:dyDescent="0.25">
      <c r="A69" s="1" t="s">
        <v>978</v>
      </c>
      <c r="B69" s="2">
        <v>45228.848611111112</v>
      </c>
      <c r="C69" s="3">
        <v>45228.848611111112</v>
      </c>
      <c r="D69" s="1" t="s">
        <v>988</v>
      </c>
      <c r="E69">
        <v>18</v>
      </c>
      <c r="F69" s="1" t="s">
        <v>737</v>
      </c>
    </row>
    <row r="70" spans="1:6" x14ac:dyDescent="0.25">
      <c r="A70" s="1" t="s">
        <v>1241</v>
      </c>
      <c r="B70" s="2">
        <v>45228.840277777781</v>
      </c>
      <c r="C70" s="3">
        <v>45228.840277777781</v>
      </c>
      <c r="D70" s="1" t="s">
        <v>774</v>
      </c>
      <c r="E70">
        <v>101</v>
      </c>
      <c r="F70" s="1" t="s">
        <v>732</v>
      </c>
    </row>
    <row r="71" spans="1:6" x14ac:dyDescent="0.25">
      <c r="A71" s="1" t="s">
        <v>978</v>
      </c>
      <c r="B71" s="2">
        <v>45228.791666666657</v>
      </c>
      <c r="C71" s="3">
        <v>45228.791666666657</v>
      </c>
      <c r="D71" s="1" t="s">
        <v>731</v>
      </c>
      <c r="E71">
        <v>63</v>
      </c>
      <c r="F71" s="1" t="s">
        <v>732</v>
      </c>
    </row>
    <row r="72" spans="1:6" x14ac:dyDescent="0.25">
      <c r="A72" s="1" t="s">
        <v>823</v>
      </c>
      <c r="B72" s="2">
        <v>45228.758333333331</v>
      </c>
      <c r="C72" s="3">
        <v>45228.758333333331</v>
      </c>
      <c r="D72" s="1" t="s">
        <v>831</v>
      </c>
      <c r="E72">
        <v>54</v>
      </c>
      <c r="F72" s="1" t="s">
        <v>732</v>
      </c>
    </row>
    <row r="73" spans="1:6" x14ac:dyDescent="0.25">
      <c r="A73" s="1" t="s">
        <v>1193</v>
      </c>
      <c r="B73" s="2">
        <v>45228.747916666667</v>
      </c>
      <c r="C73" s="3">
        <v>45228.747916666667</v>
      </c>
      <c r="D73" s="1" t="s">
        <v>1192</v>
      </c>
      <c r="E73">
        <v>27</v>
      </c>
      <c r="F73" s="1" t="s">
        <v>732</v>
      </c>
    </row>
    <row r="74" spans="1:6" x14ac:dyDescent="0.25">
      <c r="A74" s="1" t="s">
        <v>1086</v>
      </c>
      <c r="B74" s="2">
        <v>45228.736111111109</v>
      </c>
      <c r="C74" s="3">
        <v>45228.736111111109</v>
      </c>
      <c r="D74" s="1" t="s">
        <v>1101</v>
      </c>
      <c r="E74">
        <v>66</v>
      </c>
      <c r="F74" s="1" t="s">
        <v>737</v>
      </c>
    </row>
    <row r="75" spans="1:6" x14ac:dyDescent="0.25">
      <c r="A75" s="1" t="s">
        <v>1114</v>
      </c>
      <c r="B75" s="2">
        <v>45228.672222222223</v>
      </c>
      <c r="C75" s="3">
        <v>45228.672222222223</v>
      </c>
      <c r="D75" s="1" t="s">
        <v>1117</v>
      </c>
      <c r="E75">
        <v>106</v>
      </c>
      <c r="F75" s="1" t="s">
        <v>732</v>
      </c>
    </row>
    <row r="76" spans="1:6" x14ac:dyDescent="0.25">
      <c r="A76" s="1" t="s">
        <v>1261</v>
      </c>
      <c r="B76" s="2">
        <v>45228.621527777781</v>
      </c>
      <c r="C76" s="3">
        <v>45228.621527777781</v>
      </c>
      <c r="D76" s="1" t="s">
        <v>796</v>
      </c>
      <c r="E76">
        <v>98</v>
      </c>
      <c r="F76" s="1" t="s">
        <v>737</v>
      </c>
    </row>
    <row r="77" spans="1:6" x14ac:dyDescent="0.25">
      <c r="A77" s="1" t="s">
        <v>861</v>
      </c>
      <c r="B77" s="2">
        <v>45228.614583333343</v>
      </c>
      <c r="C77" s="3">
        <v>45228.614583333343</v>
      </c>
      <c r="D77" s="1" t="s">
        <v>901</v>
      </c>
      <c r="E77">
        <v>48</v>
      </c>
      <c r="F77" s="1" t="s">
        <v>735</v>
      </c>
    </row>
    <row r="78" spans="1:6" x14ac:dyDescent="0.25">
      <c r="A78" s="1" t="s">
        <v>1382</v>
      </c>
      <c r="B78" s="2">
        <v>45228.57708333333</v>
      </c>
      <c r="C78" s="3">
        <v>45228.57708333333</v>
      </c>
      <c r="D78" s="1" t="s">
        <v>881</v>
      </c>
      <c r="E78">
        <v>80</v>
      </c>
      <c r="F78" s="1" t="s">
        <v>737</v>
      </c>
    </row>
    <row r="79" spans="1:6" x14ac:dyDescent="0.25">
      <c r="A79" s="1" t="s">
        <v>1308</v>
      </c>
      <c r="B79" s="2">
        <v>45228.563194444447</v>
      </c>
      <c r="C79" s="3">
        <v>45228.563194444447</v>
      </c>
      <c r="D79" s="1" t="s">
        <v>1214</v>
      </c>
      <c r="E79">
        <v>44</v>
      </c>
      <c r="F79" s="1" t="s">
        <v>732</v>
      </c>
    </row>
    <row r="80" spans="1:6" x14ac:dyDescent="0.25">
      <c r="A80" s="1" t="s">
        <v>1382</v>
      </c>
      <c r="B80" s="2">
        <v>45228.518055555563</v>
      </c>
      <c r="C80" s="3">
        <v>45228.518055555563</v>
      </c>
      <c r="D80" s="1" t="s">
        <v>1332</v>
      </c>
      <c r="E80">
        <v>92</v>
      </c>
      <c r="F80" s="1" t="s">
        <v>737</v>
      </c>
    </row>
    <row r="81" spans="1:6" x14ac:dyDescent="0.25">
      <c r="A81" s="1" t="s">
        <v>1308</v>
      </c>
      <c r="B81" s="2">
        <v>45228.515277777777</v>
      </c>
      <c r="C81" s="3">
        <v>45228.515277777777</v>
      </c>
      <c r="D81" s="1" t="s">
        <v>1318</v>
      </c>
      <c r="E81">
        <v>105</v>
      </c>
      <c r="F81" s="1" t="s">
        <v>732</v>
      </c>
    </row>
    <row r="82" spans="1:6" x14ac:dyDescent="0.25">
      <c r="A82" s="1" t="s">
        <v>861</v>
      </c>
      <c r="B82" s="2">
        <v>45228.511805555558</v>
      </c>
      <c r="C82" s="3">
        <v>45228.511805555558</v>
      </c>
      <c r="D82" s="1" t="s">
        <v>873</v>
      </c>
      <c r="E82">
        <v>64</v>
      </c>
      <c r="F82" s="1" t="s">
        <v>735</v>
      </c>
    </row>
    <row r="83" spans="1:6" x14ac:dyDescent="0.25">
      <c r="A83" s="1" t="s">
        <v>823</v>
      </c>
      <c r="B83" s="2">
        <v>45228.34097222222</v>
      </c>
      <c r="C83" s="3">
        <v>45228.34097222222</v>
      </c>
      <c r="D83" s="1" t="s">
        <v>825</v>
      </c>
      <c r="E83">
        <v>118</v>
      </c>
      <c r="F83" s="1" t="s">
        <v>737</v>
      </c>
    </row>
    <row r="84" spans="1:6" x14ac:dyDescent="0.25">
      <c r="A84" s="1" t="s">
        <v>1219</v>
      </c>
      <c r="B84" s="2">
        <v>45228.269444444442</v>
      </c>
      <c r="C84" s="3">
        <v>45228.269444444442</v>
      </c>
      <c r="D84" s="1" t="s">
        <v>821</v>
      </c>
      <c r="E84">
        <v>109</v>
      </c>
      <c r="F84" s="1" t="s">
        <v>735</v>
      </c>
    </row>
    <row r="85" spans="1:6" x14ac:dyDescent="0.25">
      <c r="A85" s="1" t="s">
        <v>1261</v>
      </c>
      <c r="B85" s="2">
        <v>45228.15902777778</v>
      </c>
      <c r="C85" s="3">
        <v>45228.15902777778</v>
      </c>
      <c r="D85" s="1" t="s">
        <v>1135</v>
      </c>
      <c r="E85">
        <v>30</v>
      </c>
      <c r="F85" s="1" t="s">
        <v>732</v>
      </c>
    </row>
    <row r="86" spans="1:6" x14ac:dyDescent="0.25">
      <c r="A86" s="1" t="s">
        <v>1241</v>
      </c>
      <c r="B86" s="2">
        <v>45228.100694444453</v>
      </c>
      <c r="C86" s="3">
        <v>45228.100694444453</v>
      </c>
      <c r="D86" s="1" t="s">
        <v>986</v>
      </c>
      <c r="E86">
        <v>23</v>
      </c>
      <c r="F86" s="1" t="s">
        <v>737</v>
      </c>
    </row>
    <row r="87" spans="1:6" x14ac:dyDescent="0.25">
      <c r="A87" s="1" t="s">
        <v>1086</v>
      </c>
      <c r="B87" s="2">
        <v>45228.086111111108</v>
      </c>
      <c r="C87" s="3">
        <v>45228.086111111108</v>
      </c>
      <c r="D87" s="1" t="s">
        <v>1095</v>
      </c>
      <c r="E87">
        <v>43</v>
      </c>
      <c r="F87" s="1" t="s">
        <v>737</v>
      </c>
    </row>
    <row r="88" spans="1:6" x14ac:dyDescent="0.25">
      <c r="A88" s="1" t="s">
        <v>1261</v>
      </c>
      <c r="B88" s="2">
        <v>45228.01458333333</v>
      </c>
      <c r="C88" s="3">
        <v>45228.01458333333</v>
      </c>
      <c r="D88" s="1" t="s">
        <v>840</v>
      </c>
      <c r="E88">
        <v>98</v>
      </c>
      <c r="F88" s="1" t="s">
        <v>732</v>
      </c>
    </row>
    <row r="89" spans="1:6" x14ac:dyDescent="0.25">
      <c r="A89" s="1" t="s">
        <v>939</v>
      </c>
      <c r="B89" s="2">
        <v>45228.001388888893</v>
      </c>
      <c r="C89" s="3">
        <v>45228.001388888893</v>
      </c>
      <c r="D89" s="1" t="s">
        <v>964</v>
      </c>
      <c r="E89">
        <v>100</v>
      </c>
      <c r="F89" s="1" t="s">
        <v>735</v>
      </c>
    </row>
    <row r="90" spans="1:6" x14ac:dyDescent="0.25">
      <c r="A90" s="1" t="s">
        <v>1165</v>
      </c>
      <c r="B90" s="2">
        <v>45227.92291666667</v>
      </c>
      <c r="C90" s="3">
        <v>45227.92291666667</v>
      </c>
      <c r="D90" s="1" t="s">
        <v>856</v>
      </c>
      <c r="E90">
        <v>26</v>
      </c>
      <c r="F90" s="1" t="s">
        <v>737</v>
      </c>
    </row>
    <row r="91" spans="1:6" x14ac:dyDescent="0.25">
      <c r="A91" s="1" t="s">
        <v>1024</v>
      </c>
      <c r="B91" s="2">
        <v>45227.915277777778</v>
      </c>
      <c r="C91" s="3">
        <v>45227.915277777778</v>
      </c>
      <c r="D91" s="1" t="s">
        <v>1005</v>
      </c>
      <c r="E91">
        <v>26</v>
      </c>
      <c r="F91" s="1" t="s">
        <v>735</v>
      </c>
    </row>
    <row r="92" spans="1:6" x14ac:dyDescent="0.25">
      <c r="A92" s="1" t="s">
        <v>1361</v>
      </c>
      <c r="B92" s="2">
        <v>45227.897916666669</v>
      </c>
      <c r="C92" s="3">
        <v>45227.897916666669</v>
      </c>
      <c r="D92" s="1" t="s">
        <v>1364</v>
      </c>
      <c r="E92">
        <v>61</v>
      </c>
      <c r="F92" s="1" t="s">
        <v>732</v>
      </c>
    </row>
    <row r="93" spans="1:6" x14ac:dyDescent="0.25">
      <c r="A93" s="1" t="s">
        <v>939</v>
      </c>
      <c r="B93" s="2">
        <v>45227.839583333327</v>
      </c>
      <c r="C93" s="3">
        <v>45227.839583333327</v>
      </c>
      <c r="D93" s="1" t="s">
        <v>950</v>
      </c>
      <c r="E93">
        <v>94</v>
      </c>
      <c r="F93" s="1" t="s">
        <v>737</v>
      </c>
    </row>
    <row r="94" spans="1:6" x14ac:dyDescent="0.25">
      <c r="A94" s="1" t="s">
        <v>1308</v>
      </c>
      <c r="B94" s="2">
        <v>45227.77847222222</v>
      </c>
      <c r="C94" s="3">
        <v>45227.77847222222</v>
      </c>
      <c r="D94" s="1" t="s">
        <v>1170</v>
      </c>
      <c r="E94">
        <v>67</v>
      </c>
      <c r="F94" s="1" t="s">
        <v>737</v>
      </c>
    </row>
    <row r="95" spans="1:6" x14ac:dyDescent="0.25">
      <c r="A95" s="1" t="s">
        <v>902</v>
      </c>
      <c r="B95" s="2">
        <v>45227.775694444441</v>
      </c>
      <c r="C95" s="3">
        <v>45227.775694444441</v>
      </c>
      <c r="D95" s="1" t="s">
        <v>841</v>
      </c>
      <c r="E95">
        <v>45</v>
      </c>
      <c r="F95" s="1" t="s">
        <v>737</v>
      </c>
    </row>
    <row r="96" spans="1:6" x14ac:dyDescent="0.25">
      <c r="A96" s="1" t="s">
        <v>902</v>
      </c>
      <c r="B96" s="2">
        <v>45227.768750000003</v>
      </c>
      <c r="C96" s="3">
        <v>45227.768750000003</v>
      </c>
      <c r="D96" s="1" t="s">
        <v>915</v>
      </c>
      <c r="E96">
        <v>61</v>
      </c>
      <c r="F96" s="1" t="s">
        <v>735</v>
      </c>
    </row>
    <row r="97" spans="1:6" x14ac:dyDescent="0.25">
      <c r="A97" s="1" t="s">
        <v>1308</v>
      </c>
      <c r="B97" s="2">
        <v>45227.751388888893</v>
      </c>
      <c r="C97" s="3">
        <v>45227.751388888893</v>
      </c>
      <c r="D97" s="1" t="s">
        <v>1188</v>
      </c>
      <c r="E97">
        <v>42</v>
      </c>
      <c r="F97" s="1" t="s">
        <v>732</v>
      </c>
    </row>
    <row r="98" spans="1:6" x14ac:dyDescent="0.25">
      <c r="A98" s="1" t="s">
        <v>999</v>
      </c>
      <c r="B98" s="2">
        <v>45227.724305555559</v>
      </c>
      <c r="C98" s="3">
        <v>45227.724305555559</v>
      </c>
      <c r="D98" s="1" t="s">
        <v>992</v>
      </c>
      <c r="E98">
        <v>20</v>
      </c>
      <c r="F98" s="1" t="s">
        <v>732</v>
      </c>
    </row>
    <row r="99" spans="1:6" x14ac:dyDescent="0.25">
      <c r="A99" s="1" t="s">
        <v>1330</v>
      </c>
      <c r="B99" s="2">
        <v>45227.705555555563</v>
      </c>
      <c r="C99" s="3">
        <v>45227.705555555563</v>
      </c>
      <c r="D99" s="1" t="s">
        <v>992</v>
      </c>
      <c r="E99">
        <v>108</v>
      </c>
      <c r="F99" s="1" t="s">
        <v>735</v>
      </c>
    </row>
    <row r="100" spans="1:6" x14ac:dyDescent="0.25">
      <c r="A100" s="1" t="s">
        <v>1361</v>
      </c>
      <c r="B100" s="2">
        <v>45227.660416666673</v>
      </c>
      <c r="C100" s="3">
        <v>45227.660416666673</v>
      </c>
      <c r="D100" s="1" t="s">
        <v>1067</v>
      </c>
      <c r="E100">
        <v>67</v>
      </c>
      <c r="F100" s="1" t="s">
        <v>737</v>
      </c>
    </row>
    <row r="101" spans="1:6" x14ac:dyDescent="0.25">
      <c r="A101" s="1" t="s">
        <v>939</v>
      </c>
      <c r="B101" s="2">
        <v>45227.587500000001</v>
      </c>
      <c r="C101" s="3">
        <v>45227.587500000001</v>
      </c>
      <c r="D101" s="1" t="s">
        <v>879</v>
      </c>
      <c r="E101">
        <v>50</v>
      </c>
      <c r="F101" s="1" t="s">
        <v>735</v>
      </c>
    </row>
    <row r="102" spans="1:6" x14ac:dyDescent="0.25">
      <c r="A102" s="1" t="s">
        <v>861</v>
      </c>
      <c r="B102" s="2">
        <v>45227.577777777777</v>
      </c>
      <c r="C102" s="3">
        <v>45227.577777777777</v>
      </c>
      <c r="D102" s="1" t="s">
        <v>898</v>
      </c>
      <c r="E102">
        <v>50</v>
      </c>
      <c r="F102" s="1" t="s">
        <v>737</v>
      </c>
    </row>
    <row r="103" spans="1:6" x14ac:dyDescent="0.25">
      <c r="A103" s="1" t="s">
        <v>939</v>
      </c>
      <c r="B103" s="2">
        <v>45227.527083333327</v>
      </c>
      <c r="C103" s="3">
        <v>45227.527083333327</v>
      </c>
      <c r="D103" s="1" t="s">
        <v>969</v>
      </c>
      <c r="E103">
        <v>107</v>
      </c>
      <c r="F103" s="1" t="s">
        <v>735</v>
      </c>
    </row>
    <row r="104" spans="1:6" x14ac:dyDescent="0.25">
      <c r="A104" s="1" t="s">
        <v>730</v>
      </c>
      <c r="B104" s="2">
        <v>45227.484722222223</v>
      </c>
      <c r="C104" s="3">
        <v>45227.484722222223</v>
      </c>
      <c r="D104" s="1" t="s">
        <v>752</v>
      </c>
      <c r="E104">
        <v>24</v>
      </c>
      <c r="F104" s="1" t="s">
        <v>735</v>
      </c>
    </row>
    <row r="105" spans="1:6" x14ac:dyDescent="0.25">
      <c r="A105" s="1" t="s">
        <v>730</v>
      </c>
      <c r="B105" s="2">
        <v>45227.48333333333</v>
      </c>
      <c r="C105" s="3">
        <v>45227.48333333333</v>
      </c>
      <c r="D105" s="1" t="s">
        <v>743</v>
      </c>
      <c r="E105">
        <v>81</v>
      </c>
      <c r="F105" s="1" t="s">
        <v>735</v>
      </c>
    </row>
    <row r="106" spans="1:6" x14ac:dyDescent="0.25">
      <c r="A106" s="1" t="s">
        <v>978</v>
      </c>
      <c r="B106" s="2">
        <v>45227.462500000001</v>
      </c>
      <c r="C106" s="3">
        <v>45227.462500000001</v>
      </c>
      <c r="D106" s="1" t="s">
        <v>818</v>
      </c>
      <c r="E106">
        <v>70</v>
      </c>
      <c r="F106" s="1" t="s">
        <v>737</v>
      </c>
    </row>
    <row r="107" spans="1:6" x14ac:dyDescent="0.25">
      <c r="A107" s="1" t="s">
        <v>1382</v>
      </c>
      <c r="B107" s="2">
        <v>45227.447916666657</v>
      </c>
      <c r="C107" s="3">
        <v>45227.447916666657</v>
      </c>
      <c r="D107" s="1" t="s">
        <v>1156</v>
      </c>
      <c r="E107">
        <v>84</v>
      </c>
      <c r="F107" s="1" t="s">
        <v>735</v>
      </c>
    </row>
    <row r="108" spans="1:6" x14ac:dyDescent="0.25">
      <c r="A108" s="1" t="s">
        <v>1288</v>
      </c>
      <c r="B108" s="2">
        <v>45227.421527777777</v>
      </c>
      <c r="C108" s="3">
        <v>45227.421527777777</v>
      </c>
      <c r="D108" s="1" t="s">
        <v>1266</v>
      </c>
      <c r="E108">
        <v>25</v>
      </c>
      <c r="F108" s="1" t="s">
        <v>735</v>
      </c>
    </row>
    <row r="109" spans="1:6" x14ac:dyDescent="0.25">
      <c r="A109" s="1" t="s">
        <v>1345</v>
      </c>
      <c r="B109" s="2">
        <v>45227.393055555563</v>
      </c>
      <c r="C109" s="3">
        <v>45227.393055555563</v>
      </c>
      <c r="D109" s="1" t="s">
        <v>1008</v>
      </c>
      <c r="E109">
        <v>67</v>
      </c>
      <c r="F109" s="1" t="s">
        <v>732</v>
      </c>
    </row>
    <row r="110" spans="1:6" x14ac:dyDescent="0.25">
      <c r="A110" s="1" t="s">
        <v>730</v>
      </c>
      <c r="B110" s="2">
        <v>45227.329861111109</v>
      </c>
      <c r="C110" s="3">
        <v>45227.329861111109</v>
      </c>
      <c r="D110" s="1" t="s">
        <v>759</v>
      </c>
      <c r="E110">
        <v>81</v>
      </c>
      <c r="F110" s="1" t="s">
        <v>735</v>
      </c>
    </row>
    <row r="111" spans="1:6" x14ac:dyDescent="0.25">
      <c r="A111" s="1" t="s">
        <v>1165</v>
      </c>
      <c r="B111" s="2">
        <v>45227.324305555558</v>
      </c>
      <c r="C111" s="3">
        <v>45227.324305555558</v>
      </c>
      <c r="D111" s="1" t="s">
        <v>1186</v>
      </c>
      <c r="E111">
        <v>52</v>
      </c>
      <c r="F111" s="1" t="s">
        <v>732</v>
      </c>
    </row>
    <row r="112" spans="1:6" x14ac:dyDescent="0.25">
      <c r="A112" s="1" t="s">
        <v>779</v>
      </c>
      <c r="B112" s="2">
        <v>45227.309027777781</v>
      </c>
      <c r="C112" s="3">
        <v>45227.309027777781</v>
      </c>
      <c r="D112" s="1" t="s">
        <v>810</v>
      </c>
      <c r="E112">
        <v>118</v>
      </c>
      <c r="F112" s="1" t="s">
        <v>737</v>
      </c>
    </row>
    <row r="113" spans="1:6" x14ac:dyDescent="0.25">
      <c r="A113" s="1" t="s">
        <v>978</v>
      </c>
      <c r="B113" s="2">
        <v>45227.306250000001</v>
      </c>
      <c r="C113" s="3">
        <v>45227.306250000001</v>
      </c>
      <c r="D113" s="1" t="s">
        <v>761</v>
      </c>
      <c r="E113">
        <v>71</v>
      </c>
      <c r="F113" s="1" t="s">
        <v>735</v>
      </c>
    </row>
    <row r="114" spans="1:6" x14ac:dyDescent="0.25">
      <c r="A114" s="1" t="s">
        <v>1330</v>
      </c>
      <c r="B114" s="2">
        <v>45227.297222222223</v>
      </c>
      <c r="C114" s="3">
        <v>45227.297222222223</v>
      </c>
      <c r="D114" s="1" t="s">
        <v>1337</v>
      </c>
      <c r="E114">
        <v>92</v>
      </c>
      <c r="F114" s="1" t="s">
        <v>737</v>
      </c>
    </row>
    <row r="115" spans="1:6" x14ac:dyDescent="0.25">
      <c r="A115" s="1" t="s">
        <v>779</v>
      </c>
      <c r="B115" s="2">
        <v>45227.211111111108</v>
      </c>
      <c r="C115" s="3">
        <v>45227.211111111108</v>
      </c>
      <c r="D115" s="1" t="s">
        <v>808</v>
      </c>
      <c r="E115">
        <v>38</v>
      </c>
      <c r="F115" s="1" t="s">
        <v>732</v>
      </c>
    </row>
    <row r="116" spans="1:6" x14ac:dyDescent="0.25">
      <c r="A116" s="1" t="s">
        <v>1361</v>
      </c>
      <c r="B116" s="2">
        <v>45227.195833333331</v>
      </c>
      <c r="C116" s="3">
        <v>45227.195833333331</v>
      </c>
      <c r="D116" s="1" t="s">
        <v>907</v>
      </c>
      <c r="E116">
        <v>113</v>
      </c>
      <c r="F116" s="1" t="s">
        <v>735</v>
      </c>
    </row>
    <row r="117" spans="1:6" x14ac:dyDescent="0.25">
      <c r="A117" s="1" t="s">
        <v>939</v>
      </c>
      <c r="B117" s="2">
        <v>45227.163194444453</v>
      </c>
      <c r="C117" s="3">
        <v>45227.163194444453</v>
      </c>
      <c r="D117" s="1" t="s">
        <v>947</v>
      </c>
      <c r="E117">
        <v>78</v>
      </c>
      <c r="F117" s="1" t="s">
        <v>735</v>
      </c>
    </row>
    <row r="118" spans="1:6" x14ac:dyDescent="0.25">
      <c r="A118" s="1" t="s">
        <v>939</v>
      </c>
      <c r="B118" s="2">
        <v>45227.144444444442</v>
      </c>
      <c r="C118" s="3">
        <v>45227.144444444442</v>
      </c>
      <c r="D118" s="1" t="s">
        <v>962</v>
      </c>
      <c r="E118">
        <v>11</v>
      </c>
      <c r="F118" s="1" t="s">
        <v>735</v>
      </c>
    </row>
    <row r="119" spans="1:6" x14ac:dyDescent="0.25">
      <c r="A119" s="1" t="s">
        <v>779</v>
      </c>
      <c r="B119" s="2">
        <v>45227.135416666657</v>
      </c>
      <c r="C119" s="3">
        <v>45227.135416666657</v>
      </c>
      <c r="D119" s="1" t="s">
        <v>788</v>
      </c>
      <c r="E119">
        <v>13</v>
      </c>
      <c r="F119" s="1" t="s">
        <v>735</v>
      </c>
    </row>
    <row r="120" spans="1:6" x14ac:dyDescent="0.25">
      <c r="A120" s="1" t="s">
        <v>1241</v>
      </c>
      <c r="B120" s="2">
        <v>45227.118055555547</v>
      </c>
      <c r="C120" s="3">
        <v>45227.118055555547</v>
      </c>
      <c r="D120" s="1" t="s">
        <v>1244</v>
      </c>
      <c r="E120">
        <v>61</v>
      </c>
      <c r="F120" s="1" t="s">
        <v>735</v>
      </c>
    </row>
    <row r="121" spans="1:6" x14ac:dyDescent="0.25">
      <c r="A121" s="1" t="s">
        <v>1165</v>
      </c>
      <c r="B121" s="2">
        <v>45227.091666666667</v>
      </c>
      <c r="C121" s="3">
        <v>45227.091666666667</v>
      </c>
      <c r="D121" s="1" t="s">
        <v>1176</v>
      </c>
      <c r="E121">
        <v>112</v>
      </c>
      <c r="F121" s="1" t="s">
        <v>732</v>
      </c>
    </row>
    <row r="122" spans="1:6" x14ac:dyDescent="0.25">
      <c r="A122" s="1" t="s">
        <v>730</v>
      </c>
      <c r="B122" s="2">
        <v>45227.033333333333</v>
      </c>
      <c r="C122" s="3">
        <v>45227.033333333333</v>
      </c>
      <c r="D122" s="1" t="s">
        <v>746</v>
      </c>
      <c r="E122">
        <v>68</v>
      </c>
      <c r="F122" s="1" t="s">
        <v>737</v>
      </c>
    </row>
    <row r="123" spans="1:6" x14ac:dyDescent="0.25">
      <c r="A123" s="1" t="s">
        <v>1261</v>
      </c>
      <c r="B123" s="2">
        <v>45227.010416666657</v>
      </c>
      <c r="C123" s="3">
        <v>45227.010416666657</v>
      </c>
      <c r="D123" s="1" t="s">
        <v>1279</v>
      </c>
      <c r="E123">
        <v>49</v>
      </c>
      <c r="F123" s="1" t="s">
        <v>737</v>
      </c>
    </row>
    <row r="124" spans="1:6" x14ac:dyDescent="0.25">
      <c r="A124" s="1" t="s">
        <v>978</v>
      </c>
      <c r="B124" s="2">
        <v>45227.005555555559</v>
      </c>
      <c r="C124" s="3">
        <v>45227.005555555559</v>
      </c>
      <c r="D124" s="1" t="s">
        <v>996</v>
      </c>
      <c r="E124">
        <v>66</v>
      </c>
      <c r="F124" s="1" t="s">
        <v>737</v>
      </c>
    </row>
    <row r="125" spans="1:6" x14ac:dyDescent="0.25">
      <c r="A125" s="1" t="s">
        <v>1361</v>
      </c>
      <c r="B125" s="2">
        <v>45226.997916666667</v>
      </c>
      <c r="C125" s="3">
        <v>45226.997916666667</v>
      </c>
      <c r="D125" s="1" t="s">
        <v>1374</v>
      </c>
      <c r="E125">
        <v>53</v>
      </c>
      <c r="F125" s="1" t="s">
        <v>737</v>
      </c>
    </row>
    <row r="126" spans="1:6" x14ac:dyDescent="0.25">
      <c r="A126" s="1" t="s">
        <v>1024</v>
      </c>
      <c r="B126" s="2">
        <v>45226.988194444442</v>
      </c>
      <c r="C126" s="3">
        <v>45226.988194444442</v>
      </c>
      <c r="D126" s="1" t="s">
        <v>1051</v>
      </c>
      <c r="E126">
        <v>83</v>
      </c>
      <c r="F126" s="1" t="s">
        <v>735</v>
      </c>
    </row>
    <row r="127" spans="1:6" x14ac:dyDescent="0.25">
      <c r="A127" s="1" t="s">
        <v>1288</v>
      </c>
      <c r="B127" s="2">
        <v>45226.975694444453</v>
      </c>
      <c r="C127" s="3">
        <v>45226.975694444453</v>
      </c>
      <c r="D127" s="1" t="s">
        <v>918</v>
      </c>
      <c r="E127">
        <v>89</v>
      </c>
      <c r="F127" s="1" t="s">
        <v>737</v>
      </c>
    </row>
    <row r="128" spans="1:6" x14ac:dyDescent="0.25">
      <c r="A128" s="1" t="s">
        <v>1261</v>
      </c>
      <c r="B128" s="2">
        <v>45226.969444444447</v>
      </c>
      <c r="C128" s="3">
        <v>45226.969444444447</v>
      </c>
      <c r="D128" s="1" t="s">
        <v>885</v>
      </c>
      <c r="E128">
        <v>68</v>
      </c>
      <c r="F128" s="1" t="s">
        <v>732</v>
      </c>
    </row>
    <row r="129" spans="1:6" x14ac:dyDescent="0.25">
      <c r="A129" s="1" t="s">
        <v>1219</v>
      </c>
      <c r="B129" s="2">
        <v>45226.964583333327</v>
      </c>
      <c r="C129" s="3">
        <v>45226.964583333327</v>
      </c>
      <c r="D129" s="1" t="s">
        <v>1223</v>
      </c>
      <c r="E129">
        <v>27</v>
      </c>
      <c r="F129" s="1" t="s">
        <v>735</v>
      </c>
    </row>
    <row r="130" spans="1:6" x14ac:dyDescent="0.25">
      <c r="A130" s="1" t="s">
        <v>1404</v>
      </c>
      <c r="B130" s="2">
        <v>45226.955555555563</v>
      </c>
      <c r="C130" s="3">
        <v>45226.955555555563</v>
      </c>
      <c r="D130" s="1" t="s">
        <v>1406</v>
      </c>
      <c r="E130">
        <v>20</v>
      </c>
      <c r="F130" s="1" t="s">
        <v>735</v>
      </c>
    </row>
    <row r="131" spans="1:6" x14ac:dyDescent="0.25">
      <c r="A131" s="1" t="s">
        <v>1330</v>
      </c>
      <c r="B131" s="2">
        <v>45226.920138888891</v>
      </c>
      <c r="C131" s="3">
        <v>45226.920138888891</v>
      </c>
      <c r="D131" s="1" t="s">
        <v>776</v>
      </c>
      <c r="E131">
        <v>64</v>
      </c>
      <c r="F131" s="1" t="s">
        <v>737</v>
      </c>
    </row>
    <row r="132" spans="1:6" x14ac:dyDescent="0.25">
      <c r="A132" s="1" t="s">
        <v>1219</v>
      </c>
      <c r="B132" s="2">
        <v>45226.90625</v>
      </c>
      <c r="C132" s="3">
        <v>45226.90625</v>
      </c>
      <c r="D132" s="1" t="s">
        <v>1049</v>
      </c>
      <c r="E132">
        <v>26</v>
      </c>
      <c r="F132" s="1" t="s">
        <v>735</v>
      </c>
    </row>
    <row r="133" spans="1:6" x14ac:dyDescent="0.25">
      <c r="A133" s="1" t="s">
        <v>1059</v>
      </c>
      <c r="B133" s="2">
        <v>45226.895138888889</v>
      </c>
      <c r="C133" s="3">
        <v>45226.895138888889</v>
      </c>
      <c r="D133" s="1" t="s">
        <v>1077</v>
      </c>
      <c r="E133">
        <v>42</v>
      </c>
      <c r="F133" s="1" t="s">
        <v>732</v>
      </c>
    </row>
    <row r="134" spans="1:6" x14ac:dyDescent="0.25">
      <c r="A134" s="1" t="s">
        <v>1114</v>
      </c>
      <c r="B134" s="2">
        <v>45226.885416666657</v>
      </c>
      <c r="C134" s="3">
        <v>45226.885416666657</v>
      </c>
      <c r="D134" s="1" t="s">
        <v>1126</v>
      </c>
      <c r="E134">
        <v>96</v>
      </c>
      <c r="F134" s="1" t="s">
        <v>737</v>
      </c>
    </row>
    <row r="135" spans="1:6" x14ac:dyDescent="0.25">
      <c r="A135" s="1" t="s">
        <v>861</v>
      </c>
      <c r="B135" s="2">
        <v>45226.84375</v>
      </c>
      <c r="C135" s="3">
        <v>45226.84375</v>
      </c>
      <c r="D135" s="1" t="s">
        <v>891</v>
      </c>
      <c r="E135">
        <v>48</v>
      </c>
      <c r="F135" s="1" t="s">
        <v>732</v>
      </c>
    </row>
    <row r="136" spans="1:6" x14ac:dyDescent="0.25">
      <c r="A136" s="1" t="s">
        <v>1059</v>
      </c>
      <c r="B136" s="2">
        <v>45226.84097222222</v>
      </c>
      <c r="C136" s="3">
        <v>45226.84097222222</v>
      </c>
      <c r="D136" s="1" t="s">
        <v>1076</v>
      </c>
      <c r="E136">
        <v>74</v>
      </c>
      <c r="F136" s="1" t="s">
        <v>735</v>
      </c>
    </row>
    <row r="137" spans="1:6" x14ac:dyDescent="0.25">
      <c r="A137" s="1" t="s">
        <v>902</v>
      </c>
      <c r="B137" s="2">
        <v>45226.790277777778</v>
      </c>
      <c r="C137" s="3">
        <v>45226.790277777778</v>
      </c>
      <c r="D137" s="1" t="s">
        <v>932</v>
      </c>
      <c r="E137">
        <v>68</v>
      </c>
      <c r="F137" s="1" t="s">
        <v>737</v>
      </c>
    </row>
    <row r="138" spans="1:6" x14ac:dyDescent="0.25">
      <c r="A138" s="1" t="s">
        <v>1138</v>
      </c>
      <c r="B138" s="2">
        <v>45226.747916666667</v>
      </c>
      <c r="C138" s="3">
        <v>45226.747916666667</v>
      </c>
      <c r="D138" s="1" t="s">
        <v>1155</v>
      </c>
      <c r="E138">
        <v>52</v>
      </c>
      <c r="F138" s="1" t="s">
        <v>735</v>
      </c>
    </row>
    <row r="139" spans="1:6" x14ac:dyDescent="0.25">
      <c r="A139" s="1" t="s">
        <v>1361</v>
      </c>
      <c r="B139" s="2">
        <v>45226.747916666667</v>
      </c>
      <c r="C139" s="3">
        <v>45226.747916666667</v>
      </c>
      <c r="D139" s="1" t="s">
        <v>1381</v>
      </c>
      <c r="E139">
        <v>68</v>
      </c>
      <c r="F139" s="1" t="s">
        <v>735</v>
      </c>
    </row>
    <row r="140" spans="1:6" x14ac:dyDescent="0.25">
      <c r="A140" s="1" t="s">
        <v>1059</v>
      </c>
      <c r="B140" s="2">
        <v>45226.729166666657</v>
      </c>
      <c r="C140" s="3">
        <v>45226.729166666657</v>
      </c>
      <c r="D140" s="1" t="s">
        <v>1082</v>
      </c>
      <c r="E140">
        <v>62</v>
      </c>
      <c r="F140" s="1" t="s">
        <v>735</v>
      </c>
    </row>
    <row r="141" spans="1:6" x14ac:dyDescent="0.25">
      <c r="A141" s="1" t="s">
        <v>1308</v>
      </c>
      <c r="B141" s="2">
        <v>45226.659722222219</v>
      </c>
      <c r="C141" s="3">
        <v>45226.659722222219</v>
      </c>
      <c r="D141" s="1" t="s">
        <v>1025</v>
      </c>
      <c r="E141">
        <v>65</v>
      </c>
      <c r="F141" s="1" t="s">
        <v>735</v>
      </c>
    </row>
    <row r="142" spans="1:6" x14ac:dyDescent="0.25">
      <c r="A142" s="1" t="s">
        <v>1165</v>
      </c>
      <c r="B142" s="2">
        <v>45226.656944444447</v>
      </c>
      <c r="C142" s="3">
        <v>45226.656944444447</v>
      </c>
      <c r="D142" s="1" t="s">
        <v>984</v>
      </c>
      <c r="E142">
        <v>7</v>
      </c>
      <c r="F142" s="1" t="s">
        <v>732</v>
      </c>
    </row>
    <row r="143" spans="1:6" x14ac:dyDescent="0.25">
      <c r="A143" s="1" t="s">
        <v>1308</v>
      </c>
      <c r="B143" s="2">
        <v>45226.631249999999</v>
      </c>
      <c r="C143" s="3">
        <v>45226.631249999999</v>
      </c>
      <c r="D143" s="1" t="s">
        <v>1329</v>
      </c>
      <c r="E143">
        <v>112</v>
      </c>
      <c r="F143" s="1" t="s">
        <v>735</v>
      </c>
    </row>
    <row r="144" spans="1:6" x14ac:dyDescent="0.25">
      <c r="A144" s="1" t="s">
        <v>861</v>
      </c>
      <c r="B144" s="2">
        <v>45226.623611111107</v>
      </c>
      <c r="C144" s="3">
        <v>45226.623611111107</v>
      </c>
      <c r="D144" s="1" t="s">
        <v>865</v>
      </c>
      <c r="E144">
        <v>98</v>
      </c>
      <c r="F144" s="1" t="s">
        <v>737</v>
      </c>
    </row>
    <row r="145" spans="1:6" x14ac:dyDescent="0.25">
      <c r="A145" s="1" t="s">
        <v>978</v>
      </c>
      <c r="B145" s="2">
        <v>45226.586805555547</v>
      </c>
      <c r="C145" s="3">
        <v>45226.586805555547</v>
      </c>
      <c r="D145" s="1" t="s">
        <v>990</v>
      </c>
      <c r="E145">
        <v>33</v>
      </c>
      <c r="F145" s="1" t="s">
        <v>737</v>
      </c>
    </row>
    <row r="146" spans="1:6" x14ac:dyDescent="0.25">
      <c r="A146" s="1" t="s">
        <v>1330</v>
      </c>
      <c r="B146" s="2">
        <v>45226.574305555558</v>
      </c>
      <c r="C146" s="3">
        <v>45226.574305555558</v>
      </c>
      <c r="D146" s="1" t="s">
        <v>979</v>
      </c>
      <c r="E146">
        <v>81</v>
      </c>
      <c r="F146" s="1" t="s">
        <v>735</v>
      </c>
    </row>
    <row r="147" spans="1:6" x14ac:dyDescent="0.25">
      <c r="A147" s="1" t="s">
        <v>1361</v>
      </c>
      <c r="B147" s="2">
        <v>45226.530555555553</v>
      </c>
      <c r="C147" s="3">
        <v>45226.530555555553</v>
      </c>
      <c r="D147" s="1" t="s">
        <v>1365</v>
      </c>
      <c r="E147">
        <v>101</v>
      </c>
      <c r="F147" s="1" t="s">
        <v>737</v>
      </c>
    </row>
    <row r="148" spans="1:6" x14ac:dyDescent="0.25">
      <c r="A148" s="1" t="s">
        <v>1330</v>
      </c>
      <c r="B148" s="2">
        <v>45226.388194444437</v>
      </c>
      <c r="C148" s="3">
        <v>45226.388194444437</v>
      </c>
      <c r="D148" s="1" t="s">
        <v>1335</v>
      </c>
      <c r="E148">
        <v>115</v>
      </c>
      <c r="F148" s="1" t="s">
        <v>737</v>
      </c>
    </row>
    <row r="149" spans="1:6" x14ac:dyDescent="0.25">
      <c r="A149" s="1" t="s">
        <v>1024</v>
      </c>
      <c r="B149" s="2">
        <v>45226.37777777778</v>
      </c>
      <c r="C149" s="3">
        <v>45226.37777777778</v>
      </c>
      <c r="D149" s="1" t="s">
        <v>1026</v>
      </c>
      <c r="E149">
        <v>74</v>
      </c>
      <c r="F149" s="1" t="s">
        <v>737</v>
      </c>
    </row>
    <row r="150" spans="1:6" x14ac:dyDescent="0.25">
      <c r="A150" s="1" t="s">
        <v>823</v>
      </c>
      <c r="B150" s="2">
        <v>45226.321527777778</v>
      </c>
      <c r="C150" s="3">
        <v>45226.321527777778</v>
      </c>
      <c r="D150" s="1" t="s">
        <v>856</v>
      </c>
      <c r="E150">
        <v>22</v>
      </c>
      <c r="F150" s="1" t="s">
        <v>737</v>
      </c>
    </row>
    <row r="151" spans="1:6" x14ac:dyDescent="0.25">
      <c r="A151" s="1" t="s">
        <v>1165</v>
      </c>
      <c r="B151" s="2">
        <v>45226.313194444447</v>
      </c>
      <c r="C151" s="3">
        <v>45226.313194444447</v>
      </c>
      <c r="D151" s="1" t="s">
        <v>1190</v>
      </c>
      <c r="E151">
        <v>66</v>
      </c>
      <c r="F151" s="1" t="s">
        <v>737</v>
      </c>
    </row>
    <row r="152" spans="1:6" x14ac:dyDescent="0.25">
      <c r="A152" s="1" t="s">
        <v>1308</v>
      </c>
      <c r="B152" s="2">
        <v>45226.224999999999</v>
      </c>
      <c r="C152" s="3">
        <v>45226.224999999999</v>
      </c>
      <c r="D152" s="1" t="s">
        <v>1309</v>
      </c>
      <c r="E152">
        <v>11</v>
      </c>
      <c r="F152" s="1" t="s">
        <v>735</v>
      </c>
    </row>
    <row r="153" spans="1:6" x14ac:dyDescent="0.25">
      <c r="A153" s="1" t="s">
        <v>1288</v>
      </c>
      <c r="B153" s="2">
        <v>45226.209027777782</v>
      </c>
      <c r="C153" s="3">
        <v>45226.209027777782</v>
      </c>
      <c r="D153" s="1" t="s">
        <v>1201</v>
      </c>
      <c r="E153">
        <v>81</v>
      </c>
      <c r="F153" s="1" t="s">
        <v>737</v>
      </c>
    </row>
    <row r="154" spans="1:6" x14ac:dyDescent="0.25">
      <c r="A154" s="1" t="s">
        <v>1382</v>
      </c>
      <c r="B154" s="2">
        <v>45226.17083333333</v>
      </c>
      <c r="C154" s="3">
        <v>45226.17083333333</v>
      </c>
      <c r="D154" s="1" t="s">
        <v>782</v>
      </c>
      <c r="E154">
        <v>54</v>
      </c>
      <c r="F154" s="1" t="s">
        <v>732</v>
      </c>
    </row>
    <row r="155" spans="1:6" x14ac:dyDescent="0.25">
      <c r="A155" s="1" t="s">
        <v>1241</v>
      </c>
      <c r="B155" s="2">
        <v>45226.163194444453</v>
      </c>
      <c r="C155" s="3">
        <v>45226.163194444453</v>
      </c>
      <c r="D155" s="1" t="s">
        <v>1257</v>
      </c>
      <c r="E155">
        <v>36</v>
      </c>
      <c r="F155" s="1" t="s">
        <v>735</v>
      </c>
    </row>
    <row r="156" spans="1:6" x14ac:dyDescent="0.25">
      <c r="A156" s="1" t="s">
        <v>1404</v>
      </c>
      <c r="B156" s="2">
        <v>45226.115972222222</v>
      </c>
      <c r="C156" s="3">
        <v>45226.115972222222</v>
      </c>
      <c r="D156" s="1" t="s">
        <v>1055</v>
      </c>
      <c r="E156">
        <v>5</v>
      </c>
      <c r="F156" s="1" t="s">
        <v>737</v>
      </c>
    </row>
    <row r="157" spans="1:6" x14ac:dyDescent="0.25">
      <c r="A157" s="1" t="s">
        <v>861</v>
      </c>
      <c r="B157" s="2">
        <v>45226.104166666657</v>
      </c>
      <c r="C157" s="3">
        <v>45226.104166666657</v>
      </c>
      <c r="D157" s="1" t="s">
        <v>875</v>
      </c>
      <c r="E157">
        <v>110</v>
      </c>
      <c r="F157" s="1" t="s">
        <v>735</v>
      </c>
    </row>
    <row r="158" spans="1:6" x14ac:dyDescent="0.25">
      <c r="A158" s="1" t="s">
        <v>902</v>
      </c>
      <c r="B158" s="2">
        <v>45226.100694444453</v>
      </c>
      <c r="C158" s="3">
        <v>45226.100694444453</v>
      </c>
      <c r="D158" s="1" t="s">
        <v>905</v>
      </c>
      <c r="E158">
        <v>110</v>
      </c>
      <c r="F158" s="1" t="s">
        <v>735</v>
      </c>
    </row>
    <row r="159" spans="1:6" x14ac:dyDescent="0.25">
      <c r="A159" s="1" t="s">
        <v>730</v>
      </c>
      <c r="B159" s="2">
        <v>45226.07708333333</v>
      </c>
      <c r="C159" s="3">
        <v>45226.07708333333</v>
      </c>
      <c r="D159" s="1" t="s">
        <v>772</v>
      </c>
      <c r="E159">
        <v>101</v>
      </c>
      <c r="F159" s="1" t="s">
        <v>732</v>
      </c>
    </row>
    <row r="160" spans="1:6" x14ac:dyDescent="0.25">
      <c r="A160" s="1" t="s">
        <v>1382</v>
      </c>
      <c r="B160" s="2">
        <v>45226.072222222218</v>
      </c>
      <c r="C160" s="3">
        <v>45226.072222222218</v>
      </c>
      <c r="D160" s="1" t="s">
        <v>1398</v>
      </c>
      <c r="E160">
        <v>29</v>
      </c>
      <c r="F160" s="1" t="s">
        <v>737</v>
      </c>
    </row>
    <row r="161" spans="1:6" x14ac:dyDescent="0.25">
      <c r="A161" s="1" t="s">
        <v>823</v>
      </c>
      <c r="B161" s="2">
        <v>45226.013194444437</v>
      </c>
      <c r="C161" s="3">
        <v>45226.013194444437</v>
      </c>
      <c r="D161" s="1" t="s">
        <v>848</v>
      </c>
      <c r="E161">
        <v>107</v>
      </c>
      <c r="F161" s="1" t="s">
        <v>735</v>
      </c>
    </row>
    <row r="162" spans="1:6" x14ac:dyDescent="0.25">
      <c r="A162" s="1" t="s">
        <v>779</v>
      </c>
      <c r="B162" s="2">
        <v>45226.003472222219</v>
      </c>
      <c r="C162" s="3">
        <v>45226.003472222219</v>
      </c>
      <c r="D162" s="1" t="s">
        <v>733</v>
      </c>
      <c r="E162">
        <v>111</v>
      </c>
      <c r="F162" s="1" t="s">
        <v>732</v>
      </c>
    </row>
    <row r="163" spans="1:6" x14ac:dyDescent="0.25">
      <c r="A163" s="1" t="s">
        <v>1086</v>
      </c>
      <c r="B163" s="2">
        <v>45226.003472222219</v>
      </c>
      <c r="C163" s="3">
        <v>45226.003472222219</v>
      </c>
      <c r="D163" s="1" t="s">
        <v>1111</v>
      </c>
      <c r="E163">
        <v>76</v>
      </c>
      <c r="F163" s="1" t="s">
        <v>732</v>
      </c>
    </row>
    <row r="164" spans="1:6" x14ac:dyDescent="0.25">
      <c r="A164" s="1" t="s">
        <v>1114</v>
      </c>
      <c r="B164" s="2">
        <v>45225.996527777781</v>
      </c>
      <c r="C164" s="3">
        <v>45225.996527777781</v>
      </c>
      <c r="D164" s="1" t="s">
        <v>942</v>
      </c>
      <c r="E164">
        <v>55</v>
      </c>
      <c r="F164" s="1" t="s">
        <v>735</v>
      </c>
    </row>
    <row r="165" spans="1:6" x14ac:dyDescent="0.25">
      <c r="A165" s="1" t="s">
        <v>1165</v>
      </c>
      <c r="B165" s="2">
        <v>45225.979166666657</v>
      </c>
      <c r="C165" s="3">
        <v>45225.979166666657</v>
      </c>
      <c r="D165" s="1" t="s">
        <v>1017</v>
      </c>
      <c r="E165">
        <v>6</v>
      </c>
      <c r="F165" s="1" t="s">
        <v>732</v>
      </c>
    </row>
    <row r="166" spans="1:6" x14ac:dyDescent="0.25">
      <c r="A166" s="1" t="s">
        <v>823</v>
      </c>
      <c r="B166" s="2">
        <v>45225.965277777781</v>
      </c>
      <c r="C166" s="3">
        <v>45225.965277777781</v>
      </c>
      <c r="D166" s="1" t="s">
        <v>852</v>
      </c>
      <c r="E166">
        <v>36</v>
      </c>
      <c r="F166" s="1" t="s">
        <v>732</v>
      </c>
    </row>
    <row r="167" spans="1:6" x14ac:dyDescent="0.25">
      <c r="A167" s="1" t="s">
        <v>1261</v>
      </c>
      <c r="B167" s="2">
        <v>45225.949305555558</v>
      </c>
      <c r="C167" s="3">
        <v>45225.949305555558</v>
      </c>
      <c r="D167" s="1" t="s">
        <v>1281</v>
      </c>
      <c r="E167">
        <v>117</v>
      </c>
      <c r="F167" s="1" t="s">
        <v>732</v>
      </c>
    </row>
    <row r="168" spans="1:6" x14ac:dyDescent="0.25">
      <c r="A168" s="1" t="s">
        <v>1193</v>
      </c>
      <c r="B168" s="2">
        <v>45225.948611111111</v>
      </c>
      <c r="C168" s="3">
        <v>45225.948611111111</v>
      </c>
      <c r="D168" s="1" t="s">
        <v>1195</v>
      </c>
      <c r="E168">
        <v>30</v>
      </c>
      <c r="F168" s="1" t="s">
        <v>732</v>
      </c>
    </row>
    <row r="169" spans="1:6" x14ac:dyDescent="0.25">
      <c r="A169" s="1" t="s">
        <v>1219</v>
      </c>
      <c r="B169" s="2">
        <v>45225.921527777777</v>
      </c>
      <c r="C169" s="3">
        <v>45225.921527777777</v>
      </c>
      <c r="D169" s="1" t="s">
        <v>1161</v>
      </c>
      <c r="E169">
        <v>45</v>
      </c>
      <c r="F169" s="1" t="s">
        <v>732</v>
      </c>
    </row>
    <row r="170" spans="1:6" x14ac:dyDescent="0.25">
      <c r="A170" s="1" t="s">
        <v>1404</v>
      </c>
      <c r="B170" s="2">
        <v>45225.888194444437</v>
      </c>
      <c r="C170" s="3">
        <v>45225.888194444437</v>
      </c>
      <c r="D170" s="1" t="s">
        <v>1411</v>
      </c>
      <c r="E170">
        <v>87</v>
      </c>
      <c r="F170" s="1" t="s">
        <v>737</v>
      </c>
    </row>
    <row r="171" spans="1:6" x14ac:dyDescent="0.25">
      <c r="A171" s="1" t="s">
        <v>902</v>
      </c>
      <c r="B171" s="2">
        <v>45225.859027777777</v>
      </c>
      <c r="C171" s="3">
        <v>45225.859027777777</v>
      </c>
      <c r="D171" s="1" t="s">
        <v>926</v>
      </c>
      <c r="E171">
        <v>90</v>
      </c>
      <c r="F171" s="1" t="s">
        <v>735</v>
      </c>
    </row>
    <row r="172" spans="1:6" x14ac:dyDescent="0.25">
      <c r="A172" s="1" t="s">
        <v>1193</v>
      </c>
      <c r="B172" s="2">
        <v>45225.839583333327</v>
      </c>
      <c r="C172" s="3">
        <v>45225.839583333327</v>
      </c>
      <c r="D172" s="1" t="s">
        <v>1205</v>
      </c>
      <c r="E172">
        <v>60</v>
      </c>
      <c r="F172" s="1" t="s">
        <v>737</v>
      </c>
    </row>
    <row r="173" spans="1:6" x14ac:dyDescent="0.25">
      <c r="A173" s="1" t="s">
        <v>1165</v>
      </c>
      <c r="B173" s="2">
        <v>45225.781944444447</v>
      </c>
      <c r="C173" s="3">
        <v>45225.781944444447</v>
      </c>
      <c r="D173" s="1" t="s">
        <v>1177</v>
      </c>
      <c r="E173">
        <v>113</v>
      </c>
      <c r="F173" s="1" t="s">
        <v>735</v>
      </c>
    </row>
    <row r="174" spans="1:6" x14ac:dyDescent="0.25">
      <c r="A174" s="1" t="s">
        <v>1361</v>
      </c>
      <c r="B174" s="2">
        <v>45225.779861111107</v>
      </c>
      <c r="C174" s="3">
        <v>45225.779861111107</v>
      </c>
      <c r="D174" s="1" t="s">
        <v>1370</v>
      </c>
      <c r="E174">
        <v>69</v>
      </c>
      <c r="F174" s="1" t="s">
        <v>735</v>
      </c>
    </row>
    <row r="175" spans="1:6" x14ac:dyDescent="0.25">
      <c r="A175" s="1" t="s">
        <v>1024</v>
      </c>
      <c r="B175" s="2">
        <v>45225.77847222222</v>
      </c>
      <c r="C175" s="3">
        <v>45225.77847222222</v>
      </c>
      <c r="D175" s="1" t="s">
        <v>1031</v>
      </c>
      <c r="E175">
        <v>89</v>
      </c>
      <c r="F175" s="1" t="s">
        <v>732</v>
      </c>
    </row>
    <row r="176" spans="1:6" x14ac:dyDescent="0.25">
      <c r="A176" s="1" t="s">
        <v>823</v>
      </c>
      <c r="B176" s="2">
        <v>45225.776388888888</v>
      </c>
      <c r="C176" s="3">
        <v>45225.776388888888</v>
      </c>
      <c r="D176" s="1" t="s">
        <v>797</v>
      </c>
      <c r="E176">
        <v>71</v>
      </c>
      <c r="F176" s="1" t="s">
        <v>732</v>
      </c>
    </row>
    <row r="177" spans="1:6" x14ac:dyDescent="0.25">
      <c r="A177" s="1" t="s">
        <v>779</v>
      </c>
      <c r="B177" s="2">
        <v>45225.737500000003</v>
      </c>
      <c r="C177" s="3">
        <v>45225.737500000003</v>
      </c>
      <c r="D177" s="1" t="s">
        <v>800</v>
      </c>
      <c r="E177">
        <v>6</v>
      </c>
      <c r="F177" s="1" t="s">
        <v>735</v>
      </c>
    </row>
    <row r="178" spans="1:6" x14ac:dyDescent="0.25">
      <c r="A178" s="1" t="s">
        <v>779</v>
      </c>
      <c r="B178" s="2">
        <v>45225.712500000001</v>
      </c>
      <c r="C178" s="3">
        <v>45225.712500000001</v>
      </c>
      <c r="D178" s="1" t="s">
        <v>792</v>
      </c>
      <c r="E178">
        <v>25</v>
      </c>
      <c r="F178" s="1" t="s">
        <v>732</v>
      </c>
    </row>
    <row r="179" spans="1:6" x14ac:dyDescent="0.25">
      <c r="A179" s="1" t="s">
        <v>779</v>
      </c>
      <c r="B179" s="2">
        <v>45225.660416666673</v>
      </c>
      <c r="C179" s="3">
        <v>45225.660416666673</v>
      </c>
      <c r="D179" s="1" t="s">
        <v>781</v>
      </c>
      <c r="E179">
        <v>14</v>
      </c>
      <c r="F179" s="1" t="s">
        <v>732</v>
      </c>
    </row>
    <row r="180" spans="1:6" x14ac:dyDescent="0.25">
      <c r="A180" s="1" t="s">
        <v>1114</v>
      </c>
      <c r="B180" s="2">
        <v>45225.647916666669</v>
      </c>
      <c r="C180" s="3">
        <v>45225.647916666669</v>
      </c>
      <c r="D180" s="1" t="s">
        <v>1116</v>
      </c>
      <c r="E180">
        <v>49</v>
      </c>
      <c r="F180" s="1" t="s">
        <v>732</v>
      </c>
    </row>
    <row r="181" spans="1:6" x14ac:dyDescent="0.25">
      <c r="A181" s="1" t="s">
        <v>1086</v>
      </c>
      <c r="B181" s="2">
        <v>45225.625694444447</v>
      </c>
      <c r="C181" s="3">
        <v>45225.625694444447</v>
      </c>
      <c r="D181" s="1" t="s">
        <v>1092</v>
      </c>
      <c r="E181">
        <v>108</v>
      </c>
      <c r="F181" s="1" t="s">
        <v>737</v>
      </c>
    </row>
    <row r="182" spans="1:6" x14ac:dyDescent="0.25">
      <c r="A182" s="1" t="s">
        <v>1165</v>
      </c>
      <c r="B182" s="2">
        <v>45225.623611111107</v>
      </c>
      <c r="C182" s="3">
        <v>45225.623611111107</v>
      </c>
      <c r="D182" s="1" t="s">
        <v>1170</v>
      </c>
      <c r="E182">
        <v>22</v>
      </c>
      <c r="F182" s="1" t="s">
        <v>732</v>
      </c>
    </row>
    <row r="183" spans="1:6" x14ac:dyDescent="0.25">
      <c r="A183" s="1" t="s">
        <v>939</v>
      </c>
      <c r="B183" s="2">
        <v>45225.622916666667</v>
      </c>
      <c r="C183" s="3">
        <v>45225.622916666667</v>
      </c>
      <c r="D183" s="1" t="s">
        <v>970</v>
      </c>
      <c r="E183">
        <v>86</v>
      </c>
      <c r="F183" s="1" t="s">
        <v>732</v>
      </c>
    </row>
    <row r="184" spans="1:6" x14ac:dyDescent="0.25">
      <c r="A184" s="1" t="s">
        <v>1261</v>
      </c>
      <c r="B184" s="2">
        <v>45225.553472222222</v>
      </c>
      <c r="C184" s="3">
        <v>45225.553472222222</v>
      </c>
      <c r="D184" s="1" t="s">
        <v>1269</v>
      </c>
      <c r="E184">
        <v>120</v>
      </c>
      <c r="F184" s="1" t="s">
        <v>732</v>
      </c>
    </row>
    <row r="185" spans="1:6" x14ac:dyDescent="0.25">
      <c r="A185" s="1" t="s">
        <v>1219</v>
      </c>
      <c r="B185" s="2">
        <v>45225.527777777781</v>
      </c>
      <c r="C185" s="3">
        <v>45225.527777777781</v>
      </c>
      <c r="D185" s="1" t="s">
        <v>1231</v>
      </c>
      <c r="E185">
        <v>6</v>
      </c>
      <c r="F185" s="1" t="s">
        <v>735</v>
      </c>
    </row>
    <row r="186" spans="1:6" x14ac:dyDescent="0.25">
      <c r="A186" s="1" t="s">
        <v>1345</v>
      </c>
      <c r="B186" s="2">
        <v>45225.432638888888</v>
      </c>
      <c r="C186" s="3">
        <v>45225.432638888888</v>
      </c>
      <c r="D186" s="1" t="s">
        <v>904</v>
      </c>
      <c r="E186">
        <v>50</v>
      </c>
      <c r="F186" s="1" t="s">
        <v>735</v>
      </c>
    </row>
    <row r="187" spans="1:6" x14ac:dyDescent="0.25">
      <c r="A187" s="1" t="s">
        <v>1219</v>
      </c>
      <c r="B187" s="2">
        <v>45225.415277777778</v>
      </c>
      <c r="C187" s="3">
        <v>45225.415277777778</v>
      </c>
      <c r="D187" s="1" t="s">
        <v>1238</v>
      </c>
      <c r="E187">
        <v>15</v>
      </c>
      <c r="F187" s="1" t="s">
        <v>732</v>
      </c>
    </row>
    <row r="188" spans="1:6" x14ac:dyDescent="0.25">
      <c r="A188" s="1" t="s">
        <v>1138</v>
      </c>
      <c r="B188" s="2">
        <v>45225.406944444447</v>
      </c>
      <c r="C188" s="3">
        <v>45225.406944444447</v>
      </c>
      <c r="D188" s="1" t="s">
        <v>1163</v>
      </c>
      <c r="E188">
        <v>74</v>
      </c>
      <c r="F188" s="1" t="s">
        <v>732</v>
      </c>
    </row>
    <row r="189" spans="1:6" x14ac:dyDescent="0.25">
      <c r="A189" s="1" t="s">
        <v>1382</v>
      </c>
      <c r="B189" s="2">
        <v>45225.384027777778</v>
      </c>
      <c r="C189" s="3">
        <v>45225.384027777778</v>
      </c>
      <c r="D189" s="1" t="s">
        <v>1289</v>
      </c>
      <c r="E189">
        <v>42</v>
      </c>
      <c r="F189" s="1" t="s">
        <v>732</v>
      </c>
    </row>
    <row r="190" spans="1:6" x14ac:dyDescent="0.25">
      <c r="A190" s="1" t="s">
        <v>1193</v>
      </c>
      <c r="B190" s="2">
        <v>45225.322916666657</v>
      </c>
      <c r="C190" s="3">
        <v>45225.322916666657</v>
      </c>
      <c r="D190" s="1" t="s">
        <v>1203</v>
      </c>
      <c r="E190">
        <v>47</v>
      </c>
      <c r="F190" s="1" t="s">
        <v>737</v>
      </c>
    </row>
    <row r="191" spans="1:6" x14ac:dyDescent="0.25">
      <c r="A191" s="1" t="s">
        <v>978</v>
      </c>
      <c r="B191" s="2">
        <v>45225.317361111112</v>
      </c>
      <c r="C191" s="3">
        <v>45225.317361111112</v>
      </c>
      <c r="D191" s="1" t="s">
        <v>865</v>
      </c>
      <c r="E191">
        <v>56</v>
      </c>
      <c r="F191" s="1" t="s">
        <v>735</v>
      </c>
    </row>
    <row r="192" spans="1:6" x14ac:dyDescent="0.25">
      <c r="A192" s="1" t="s">
        <v>1059</v>
      </c>
      <c r="B192" s="2">
        <v>45225.288888888892</v>
      </c>
      <c r="C192" s="3">
        <v>45225.288888888892</v>
      </c>
      <c r="D192" s="1" t="s">
        <v>1032</v>
      </c>
      <c r="E192">
        <v>89</v>
      </c>
      <c r="F192" s="1" t="s">
        <v>732</v>
      </c>
    </row>
    <row r="193" spans="1:6" x14ac:dyDescent="0.25">
      <c r="A193" s="1" t="s">
        <v>730</v>
      </c>
      <c r="B193" s="2">
        <v>45225.238888888889</v>
      </c>
      <c r="C193" s="3">
        <v>45225.238888888889</v>
      </c>
      <c r="D193" s="1" t="s">
        <v>747</v>
      </c>
      <c r="E193">
        <v>16</v>
      </c>
      <c r="F193" s="1" t="s">
        <v>735</v>
      </c>
    </row>
    <row r="194" spans="1:6" x14ac:dyDescent="0.25">
      <c r="A194" s="1" t="s">
        <v>1382</v>
      </c>
      <c r="B194" s="2">
        <v>45225.220833333333</v>
      </c>
      <c r="C194" s="3">
        <v>45225.220833333333</v>
      </c>
      <c r="D194" s="1" t="s">
        <v>1397</v>
      </c>
      <c r="E194">
        <v>104</v>
      </c>
      <c r="F194" s="1" t="s">
        <v>735</v>
      </c>
    </row>
    <row r="195" spans="1:6" x14ac:dyDescent="0.25">
      <c r="A195" s="1" t="s">
        <v>939</v>
      </c>
      <c r="B195" s="2">
        <v>45225.215277777781</v>
      </c>
      <c r="C195" s="3">
        <v>45225.215277777781</v>
      </c>
      <c r="D195" s="1" t="s">
        <v>968</v>
      </c>
      <c r="E195">
        <v>41</v>
      </c>
      <c r="F195" s="1" t="s">
        <v>737</v>
      </c>
    </row>
    <row r="196" spans="1:6" x14ac:dyDescent="0.25">
      <c r="A196" s="1" t="s">
        <v>1361</v>
      </c>
      <c r="B196" s="2">
        <v>45225.213194444441</v>
      </c>
      <c r="C196" s="3">
        <v>45225.213194444441</v>
      </c>
      <c r="D196" s="1" t="s">
        <v>1367</v>
      </c>
      <c r="E196">
        <v>35</v>
      </c>
      <c r="F196" s="1" t="s">
        <v>737</v>
      </c>
    </row>
    <row r="197" spans="1:6" x14ac:dyDescent="0.25">
      <c r="A197" s="1" t="s">
        <v>1330</v>
      </c>
      <c r="B197" s="2">
        <v>45225.211111111108</v>
      </c>
      <c r="C197" s="3">
        <v>45225.211111111108</v>
      </c>
      <c r="D197" s="1" t="s">
        <v>1340</v>
      </c>
      <c r="E197">
        <v>33</v>
      </c>
      <c r="F197" s="1" t="s">
        <v>735</v>
      </c>
    </row>
    <row r="198" spans="1:6" x14ac:dyDescent="0.25">
      <c r="A198" s="1" t="s">
        <v>1086</v>
      </c>
      <c r="B198" s="2">
        <v>45225.177083333343</v>
      </c>
      <c r="C198" s="3">
        <v>45225.177083333343</v>
      </c>
      <c r="D198" s="1" t="s">
        <v>1091</v>
      </c>
      <c r="E198">
        <v>36</v>
      </c>
      <c r="F198" s="1" t="s">
        <v>737</v>
      </c>
    </row>
    <row r="199" spans="1:6" x14ac:dyDescent="0.25">
      <c r="A199" s="1" t="s">
        <v>1288</v>
      </c>
      <c r="B199" s="2">
        <v>45225.171527777777</v>
      </c>
      <c r="C199" s="3">
        <v>45225.171527777777</v>
      </c>
      <c r="D199" s="1" t="s">
        <v>1291</v>
      </c>
      <c r="E199">
        <v>104</v>
      </c>
      <c r="F199" s="1" t="s">
        <v>735</v>
      </c>
    </row>
    <row r="200" spans="1:6" x14ac:dyDescent="0.25">
      <c r="A200" s="1" t="s">
        <v>861</v>
      </c>
      <c r="B200" s="2">
        <v>45225.159722222219</v>
      </c>
      <c r="C200" s="3">
        <v>45225.159722222219</v>
      </c>
      <c r="D200" s="1" t="s">
        <v>894</v>
      </c>
      <c r="E200">
        <v>113</v>
      </c>
      <c r="F200" s="1" t="s">
        <v>732</v>
      </c>
    </row>
    <row r="201" spans="1:6" x14ac:dyDescent="0.25">
      <c r="A201" s="1" t="s">
        <v>1024</v>
      </c>
      <c r="B201" s="2">
        <v>45225.147222222222</v>
      </c>
      <c r="C201" s="3">
        <v>45225.147222222222</v>
      </c>
      <c r="D201" s="1" t="s">
        <v>1058</v>
      </c>
      <c r="E201">
        <v>44</v>
      </c>
      <c r="F201" s="1" t="s">
        <v>732</v>
      </c>
    </row>
    <row r="202" spans="1:6" x14ac:dyDescent="0.25">
      <c r="A202" s="1" t="s">
        <v>1241</v>
      </c>
      <c r="B202" s="2">
        <v>45225.129166666673</v>
      </c>
      <c r="C202" s="3">
        <v>45225.129166666673</v>
      </c>
      <c r="D202" s="1" t="s">
        <v>826</v>
      </c>
      <c r="E202">
        <v>36</v>
      </c>
      <c r="F202" s="1" t="s">
        <v>737</v>
      </c>
    </row>
    <row r="203" spans="1:6" x14ac:dyDescent="0.25">
      <c r="A203" s="1" t="s">
        <v>1345</v>
      </c>
      <c r="B203" s="2">
        <v>45225.088888888888</v>
      </c>
      <c r="C203" s="3">
        <v>45225.088888888888</v>
      </c>
      <c r="D203" s="1" t="s">
        <v>1356</v>
      </c>
      <c r="E203">
        <v>51</v>
      </c>
      <c r="F203" s="1" t="s">
        <v>732</v>
      </c>
    </row>
    <row r="204" spans="1:6" x14ac:dyDescent="0.25">
      <c r="A204" s="1" t="s">
        <v>1138</v>
      </c>
      <c r="B204" s="2">
        <v>45225.061805555553</v>
      </c>
      <c r="C204" s="3">
        <v>45225.061805555553</v>
      </c>
      <c r="D204" s="1" t="s">
        <v>1160</v>
      </c>
      <c r="E204">
        <v>15</v>
      </c>
      <c r="F204" s="1" t="s">
        <v>737</v>
      </c>
    </row>
    <row r="205" spans="1:6" x14ac:dyDescent="0.25">
      <c r="A205" s="1" t="s">
        <v>1308</v>
      </c>
      <c r="B205" s="2">
        <v>45225.054166666669</v>
      </c>
      <c r="C205" s="3">
        <v>45225.054166666669</v>
      </c>
      <c r="D205" s="1" t="s">
        <v>1321</v>
      </c>
      <c r="E205">
        <v>38</v>
      </c>
      <c r="F205" s="1" t="s">
        <v>737</v>
      </c>
    </row>
    <row r="206" spans="1:6" x14ac:dyDescent="0.25">
      <c r="A206" s="1" t="s">
        <v>1114</v>
      </c>
      <c r="B206" s="2">
        <v>45224.988194444442</v>
      </c>
      <c r="C206" s="3">
        <v>45224.988194444442</v>
      </c>
      <c r="D206" s="1" t="s">
        <v>786</v>
      </c>
      <c r="E206">
        <v>39</v>
      </c>
      <c r="F206" s="1" t="s">
        <v>732</v>
      </c>
    </row>
    <row r="207" spans="1:6" x14ac:dyDescent="0.25">
      <c r="A207" s="1" t="s">
        <v>1404</v>
      </c>
      <c r="B207" s="2">
        <v>45224.984027777777</v>
      </c>
      <c r="C207" s="3">
        <v>45224.984027777777</v>
      </c>
      <c r="D207" s="1" t="s">
        <v>1408</v>
      </c>
      <c r="E207">
        <v>49</v>
      </c>
      <c r="F207" s="1" t="s">
        <v>732</v>
      </c>
    </row>
    <row r="208" spans="1:6" x14ac:dyDescent="0.25">
      <c r="A208" s="1" t="s">
        <v>1361</v>
      </c>
      <c r="B208" s="2">
        <v>45224.98333333333</v>
      </c>
      <c r="C208" s="3">
        <v>45224.98333333333</v>
      </c>
      <c r="D208" s="1" t="s">
        <v>917</v>
      </c>
      <c r="E208">
        <v>107</v>
      </c>
      <c r="F208" s="1" t="s">
        <v>737</v>
      </c>
    </row>
    <row r="209" spans="1:6" x14ac:dyDescent="0.25">
      <c r="A209" s="1" t="s">
        <v>1193</v>
      </c>
      <c r="B209" s="2">
        <v>45224.963888888888</v>
      </c>
      <c r="C209" s="3">
        <v>45224.963888888888</v>
      </c>
      <c r="D209" s="1" t="s">
        <v>1194</v>
      </c>
      <c r="E209">
        <v>83</v>
      </c>
      <c r="F209" s="1" t="s">
        <v>735</v>
      </c>
    </row>
    <row r="210" spans="1:6" x14ac:dyDescent="0.25">
      <c r="A210" s="1" t="s">
        <v>1241</v>
      </c>
      <c r="B210" s="2">
        <v>45224.961805555547</v>
      </c>
      <c r="C210" s="3">
        <v>45224.961805555547</v>
      </c>
      <c r="D210" s="1" t="s">
        <v>1205</v>
      </c>
      <c r="E210">
        <v>83</v>
      </c>
      <c r="F210" s="1" t="s">
        <v>737</v>
      </c>
    </row>
    <row r="211" spans="1:6" x14ac:dyDescent="0.25">
      <c r="A211" s="1" t="s">
        <v>1308</v>
      </c>
      <c r="B211" s="2">
        <v>45224.884722222218</v>
      </c>
      <c r="C211" s="3">
        <v>45224.884722222218</v>
      </c>
      <c r="D211" s="1" t="s">
        <v>1319</v>
      </c>
      <c r="E211">
        <v>119</v>
      </c>
      <c r="F211" s="1" t="s">
        <v>735</v>
      </c>
    </row>
    <row r="212" spans="1:6" x14ac:dyDescent="0.25">
      <c r="A212" s="1" t="s">
        <v>1114</v>
      </c>
      <c r="B212" s="2">
        <v>45224.831944444442</v>
      </c>
      <c r="C212" s="3">
        <v>45224.831944444442</v>
      </c>
      <c r="D212" s="1" t="s">
        <v>1129</v>
      </c>
      <c r="E212">
        <v>100</v>
      </c>
      <c r="F212" s="1" t="s">
        <v>732</v>
      </c>
    </row>
    <row r="213" spans="1:6" x14ac:dyDescent="0.25">
      <c r="A213" s="1" t="s">
        <v>1193</v>
      </c>
      <c r="B213" s="2">
        <v>45224.818055555559</v>
      </c>
      <c r="C213" s="3">
        <v>45224.818055555559</v>
      </c>
      <c r="D213" s="1" t="s">
        <v>954</v>
      </c>
      <c r="E213">
        <v>5</v>
      </c>
      <c r="F213" s="1" t="s">
        <v>737</v>
      </c>
    </row>
    <row r="214" spans="1:6" x14ac:dyDescent="0.25">
      <c r="A214" s="1" t="s">
        <v>1114</v>
      </c>
      <c r="B214" s="2">
        <v>45224.775000000001</v>
      </c>
      <c r="C214" s="3">
        <v>45224.775000000001</v>
      </c>
      <c r="D214" s="1" t="s">
        <v>1124</v>
      </c>
      <c r="E214">
        <v>107</v>
      </c>
      <c r="F214" s="1" t="s">
        <v>737</v>
      </c>
    </row>
    <row r="215" spans="1:6" x14ac:dyDescent="0.25">
      <c r="A215" s="1" t="s">
        <v>1382</v>
      </c>
      <c r="B215" s="2">
        <v>45224.709722222222</v>
      </c>
      <c r="C215" s="3">
        <v>45224.709722222222</v>
      </c>
      <c r="D215" s="1" t="s">
        <v>1399</v>
      </c>
      <c r="E215">
        <v>62</v>
      </c>
      <c r="F215" s="1" t="s">
        <v>735</v>
      </c>
    </row>
    <row r="216" spans="1:6" x14ac:dyDescent="0.25">
      <c r="A216" s="1" t="s">
        <v>902</v>
      </c>
      <c r="B216" s="2">
        <v>45224.683333333327</v>
      </c>
      <c r="C216" s="3">
        <v>45224.683333333327</v>
      </c>
      <c r="D216" s="1" t="s">
        <v>913</v>
      </c>
      <c r="E216">
        <v>71</v>
      </c>
      <c r="F216" s="1" t="s">
        <v>732</v>
      </c>
    </row>
    <row r="217" spans="1:6" x14ac:dyDescent="0.25">
      <c r="A217" s="1" t="s">
        <v>999</v>
      </c>
      <c r="B217" s="2">
        <v>45224.671527777777</v>
      </c>
      <c r="C217" s="3">
        <v>45224.671527777777</v>
      </c>
      <c r="D217" s="1" t="s">
        <v>887</v>
      </c>
      <c r="E217">
        <v>14</v>
      </c>
      <c r="F217" s="1" t="s">
        <v>737</v>
      </c>
    </row>
    <row r="218" spans="1:6" x14ac:dyDescent="0.25">
      <c r="A218" s="1" t="s">
        <v>1404</v>
      </c>
      <c r="B218" s="2">
        <v>45224.6</v>
      </c>
      <c r="C218" s="3">
        <v>45224.6</v>
      </c>
      <c r="D218" s="1" t="s">
        <v>1412</v>
      </c>
      <c r="E218">
        <v>70</v>
      </c>
      <c r="F218" s="1" t="s">
        <v>737</v>
      </c>
    </row>
    <row r="219" spans="1:6" x14ac:dyDescent="0.25">
      <c r="A219" s="1" t="s">
        <v>902</v>
      </c>
      <c r="B219" s="2">
        <v>45224.568055555559</v>
      </c>
      <c r="C219" s="3">
        <v>45224.568055555559</v>
      </c>
      <c r="D219" s="1" t="s">
        <v>911</v>
      </c>
      <c r="E219">
        <v>27</v>
      </c>
      <c r="F219" s="1" t="s">
        <v>732</v>
      </c>
    </row>
    <row r="220" spans="1:6" x14ac:dyDescent="0.25">
      <c r="A220" s="1" t="s">
        <v>861</v>
      </c>
      <c r="B220" s="2">
        <v>45224.552777777782</v>
      </c>
      <c r="C220" s="3">
        <v>45224.552777777782</v>
      </c>
      <c r="D220" s="1" t="s">
        <v>874</v>
      </c>
      <c r="E220">
        <v>60</v>
      </c>
      <c r="F220" s="1" t="s">
        <v>735</v>
      </c>
    </row>
    <row r="221" spans="1:6" x14ac:dyDescent="0.25">
      <c r="A221" s="1" t="s">
        <v>1382</v>
      </c>
      <c r="B221" s="2">
        <v>45224.482638888891</v>
      </c>
      <c r="C221" s="3">
        <v>45224.482638888891</v>
      </c>
      <c r="D221" s="1" t="s">
        <v>749</v>
      </c>
      <c r="E221">
        <v>95</v>
      </c>
      <c r="F221" s="1" t="s">
        <v>735</v>
      </c>
    </row>
    <row r="222" spans="1:6" x14ac:dyDescent="0.25">
      <c r="A222" s="1" t="s">
        <v>1165</v>
      </c>
      <c r="B222" s="2">
        <v>45224.456944444442</v>
      </c>
      <c r="C222" s="3">
        <v>45224.456944444442</v>
      </c>
      <c r="D222" s="1" t="s">
        <v>756</v>
      </c>
      <c r="E222">
        <v>32</v>
      </c>
      <c r="F222" s="1" t="s">
        <v>732</v>
      </c>
    </row>
    <row r="223" spans="1:6" x14ac:dyDescent="0.25">
      <c r="A223" s="1" t="s">
        <v>1330</v>
      </c>
      <c r="B223" s="2">
        <v>45224.428472222222</v>
      </c>
      <c r="C223" s="3">
        <v>45224.428472222222</v>
      </c>
      <c r="D223" s="1" t="s">
        <v>753</v>
      </c>
      <c r="E223">
        <v>65</v>
      </c>
      <c r="F223" s="1" t="s">
        <v>735</v>
      </c>
    </row>
    <row r="224" spans="1:6" x14ac:dyDescent="0.25">
      <c r="A224" s="1" t="s">
        <v>730</v>
      </c>
      <c r="B224" s="2">
        <v>45224.378472222219</v>
      </c>
      <c r="C224" s="3">
        <v>45224.378472222219</v>
      </c>
      <c r="D224" s="1" t="s">
        <v>734</v>
      </c>
      <c r="E224">
        <v>53</v>
      </c>
      <c r="F224" s="1" t="s">
        <v>737</v>
      </c>
    </row>
    <row r="225" spans="1:6" x14ac:dyDescent="0.25">
      <c r="A225" s="1" t="s">
        <v>1138</v>
      </c>
      <c r="B225" s="2">
        <v>45224.347916666673</v>
      </c>
      <c r="C225" s="3">
        <v>45224.347916666673</v>
      </c>
      <c r="D225" s="1" t="s">
        <v>1143</v>
      </c>
      <c r="E225">
        <v>14</v>
      </c>
      <c r="F225" s="1" t="s">
        <v>732</v>
      </c>
    </row>
    <row r="226" spans="1:6" x14ac:dyDescent="0.25">
      <c r="A226" s="1" t="s">
        <v>1241</v>
      </c>
      <c r="B226" s="2">
        <v>45224.310416666667</v>
      </c>
      <c r="C226" s="3">
        <v>45224.310416666667</v>
      </c>
      <c r="D226" s="1" t="s">
        <v>1161</v>
      </c>
      <c r="E226">
        <v>98</v>
      </c>
      <c r="F226" s="1" t="s">
        <v>735</v>
      </c>
    </row>
    <row r="227" spans="1:6" x14ac:dyDescent="0.25">
      <c r="A227" s="1" t="s">
        <v>1288</v>
      </c>
      <c r="B227" s="2">
        <v>45224.297222222223</v>
      </c>
      <c r="C227" s="3">
        <v>45224.297222222223</v>
      </c>
      <c r="D227" s="1" t="s">
        <v>1292</v>
      </c>
      <c r="E227">
        <v>12</v>
      </c>
      <c r="F227" s="1" t="s">
        <v>737</v>
      </c>
    </row>
    <row r="228" spans="1:6" x14ac:dyDescent="0.25">
      <c r="A228" s="1" t="s">
        <v>1404</v>
      </c>
      <c r="B228" s="2">
        <v>45224.288194444453</v>
      </c>
      <c r="C228" s="3">
        <v>45224.288194444453</v>
      </c>
      <c r="D228" s="1" t="s">
        <v>1070</v>
      </c>
      <c r="E228">
        <v>116</v>
      </c>
      <c r="F228" s="1" t="s">
        <v>737</v>
      </c>
    </row>
    <row r="229" spans="1:6" x14ac:dyDescent="0.25">
      <c r="A229" s="1" t="s">
        <v>1345</v>
      </c>
      <c r="B229" s="2">
        <v>45224.229861111111</v>
      </c>
      <c r="C229" s="3">
        <v>45224.229861111111</v>
      </c>
      <c r="D229" s="1" t="s">
        <v>1355</v>
      </c>
      <c r="E229">
        <v>20</v>
      </c>
      <c r="F229" s="1" t="s">
        <v>732</v>
      </c>
    </row>
    <row r="230" spans="1:6" x14ac:dyDescent="0.25">
      <c r="A230" s="1" t="s">
        <v>978</v>
      </c>
      <c r="B230" s="2">
        <v>45224.201388888891</v>
      </c>
      <c r="C230" s="3">
        <v>45224.201388888891</v>
      </c>
      <c r="D230" s="1" t="s">
        <v>886</v>
      </c>
      <c r="E230">
        <v>43</v>
      </c>
      <c r="F230" s="1" t="s">
        <v>737</v>
      </c>
    </row>
    <row r="231" spans="1:6" x14ac:dyDescent="0.25">
      <c r="A231" s="1" t="s">
        <v>1241</v>
      </c>
      <c r="B231" s="2">
        <v>45224.195138888892</v>
      </c>
      <c r="C231" s="3">
        <v>45224.195138888892</v>
      </c>
      <c r="D231" s="1" t="s">
        <v>1260</v>
      </c>
      <c r="E231">
        <v>81</v>
      </c>
      <c r="F231" s="1" t="s">
        <v>735</v>
      </c>
    </row>
    <row r="232" spans="1:6" x14ac:dyDescent="0.25">
      <c r="A232" s="1" t="s">
        <v>1261</v>
      </c>
      <c r="B232" s="2">
        <v>45224.164583333331</v>
      </c>
      <c r="C232" s="3">
        <v>45224.164583333331</v>
      </c>
      <c r="D232" s="1" t="s">
        <v>1276</v>
      </c>
      <c r="E232">
        <v>57</v>
      </c>
      <c r="F232" s="1" t="s">
        <v>735</v>
      </c>
    </row>
    <row r="233" spans="1:6" x14ac:dyDescent="0.25">
      <c r="A233" s="1" t="s">
        <v>1193</v>
      </c>
      <c r="B233" s="2">
        <v>45224.115277777782</v>
      </c>
      <c r="C233" s="3">
        <v>45224.115277777782</v>
      </c>
      <c r="D233" s="1" t="s">
        <v>1214</v>
      </c>
      <c r="E233">
        <v>45</v>
      </c>
      <c r="F233" s="1" t="s">
        <v>735</v>
      </c>
    </row>
    <row r="234" spans="1:6" x14ac:dyDescent="0.25">
      <c r="A234" s="1" t="s">
        <v>1345</v>
      </c>
      <c r="B234" s="2">
        <v>45224.104861111111</v>
      </c>
      <c r="C234" s="3">
        <v>45224.104861111111</v>
      </c>
      <c r="D234" s="1" t="s">
        <v>1353</v>
      </c>
      <c r="E234">
        <v>98</v>
      </c>
      <c r="F234" s="1" t="s">
        <v>737</v>
      </c>
    </row>
    <row r="235" spans="1:6" x14ac:dyDescent="0.25">
      <c r="A235" s="1" t="s">
        <v>779</v>
      </c>
      <c r="B235" s="2">
        <v>45224.083333333343</v>
      </c>
      <c r="C235" s="3">
        <v>45224.083333333343</v>
      </c>
      <c r="D235" s="1" t="s">
        <v>821</v>
      </c>
      <c r="E235">
        <v>31</v>
      </c>
      <c r="F235" s="1" t="s">
        <v>732</v>
      </c>
    </row>
    <row r="236" spans="1:6" x14ac:dyDescent="0.25">
      <c r="A236" s="1" t="s">
        <v>861</v>
      </c>
      <c r="B236" s="2">
        <v>45224.010416666657</v>
      </c>
      <c r="C236" s="3">
        <v>45224.010416666657</v>
      </c>
      <c r="D236" s="1" t="s">
        <v>809</v>
      </c>
      <c r="E236">
        <v>114</v>
      </c>
      <c r="F236" s="1" t="s">
        <v>737</v>
      </c>
    </row>
    <row r="237" spans="1:6" x14ac:dyDescent="0.25">
      <c r="A237" s="1" t="s">
        <v>823</v>
      </c>
      <c r="B237" s="2">
        <v>45223.990972222222</v>
      </c>
      <c r="C237" s="3">
        <v>45223.990972222222</v>
      </c>
      <c r="D237" s="1" t="s">
        <v>834</v>
      </c>
      <c r="E237">
        <v>23</v>
      </c>
      <c r="F237" s="1" t="s">
        <v>732</v>
      </c>
    </row>
    <row r="238" spans="1:6" x14ac:dyDescent="0.25">
      <c r="A238" s="1" t="s">
        <v>1404</v>
      </c>
      <c r="B238" s="2">
        <v>45223.794444444437</v>
      </c>
      <c r="C238" s="3">
        <v>45223.794444444437</v>
      </c>
      <c r="D238" s="1" t="s">
        <v>1407</v>
      </c>
      <c r="E238">
        <v>97</v>
      </c>
      <c r="F238" s="1" t="s">
        <v>732</v>
      </c>
    </row>
    <row r="239" spans="1:6" x14ac:dyDescent="0.25">
      <c r="A239" s="1" t="s">
        <v>1361</v>
      </c>
      <c r="B239" s="2">
        <v>45223.759722222218</v>
      </c>
      <c r="C239" s="3">
        <v>45223.759722222218</v>
      </c>
      <c r="D239" s="1" t="s">
        <v>1041</v>
      </c>
      <c r="E239">
        <v>78</v>
      </c>
      <c r="F239" s="1" t="s">
        <v>735</v>
      </c>
    </row>
    <row r="240" spans="1:6" x14ac:dyDescent="0.25">
      <c r="A240" s="1" t="s">
        <v>1382</v>
      </c>
      <c r="B240" s="2">
        <v>45223.736111111109</v>
      </c>
      <c r="C240" s="3">
        <v>45223.736111111109</v>
      </c>
      <c r="D240" s="1" t="s">
        <v>948</v>
      </c>
      <c r="E240">
        <v>116</v>
      </c>
      <c r="F240" s="1" t="s">
        <v>735</v>
      </c>
    </row>
    <row r="241" spans="1:6" x14ac:dyDescent="0.25">
      <c r="A241" s="1" t="s">
        <v>1308</v>
      </c>
      <c r="B241" s="2">
        <v>45223.719444444447</v>
      </c>
      <c r="C241" s="3">
        <v>45223.719444444447</v>
      </c>
      <c r="D241" s="1" t="s">
        <v>1033</v>
      </c>
      <c r="E241">
        <v>61</v>
      </c>
      <c r="F241" s="1" t="s">
        <v>735</v>
      </c>
    </row>
    <row r="242" spans="1:6" x14ac:dyDescent="0.25">
      <c r="A242" s="1" t="s">
        <v>779</v>
      </c>
      <c r="B242" s="2">
        <v>45223.710416666669</v>
      </c>
      <c r="C242" s="3">
        <v>45223.710416666669</v>
      </c>
      <c r="D242" s="1" t="s">
        <v>804</v>
      </c>
      <c r="E242">
        <v>43</v>
      </c>
      <c r="F242" s="1" t="s">
        <v>735</v>
      </c>
    </row>
    <row r="243" spans="1:6" x14ac:dyDescent="0.25">
      <c r="A243" s="1" t="s">
        <v>1345</v>
      </c>
      <c r="B243" s="2">
        <v>45223.693055555559</v>
      </c>
      <c r="C243" s="3">
        <v>45223.693055555559</v>
      </c>
      <c r="D243" s="1" t="s">
        <v>1338</v>
      </c>
      <c r="E243">
        <v>18</v>
      </c>
      <c r="F243" s="1" t="s">
        <v>735</v>
      </c>
    </row>
    <row r="244" spans="1:6" x14ac:dyDescent="0.25">
      <c r="A244" s="1" t="s">
        <v>1086</v>
      </c>
      <c r="B244" s="2">
        <v>45223.647916666669</v>
      </c>
      <c r="C244" s="3">
        <v>45223.647916666669</v>
      </c>
      <c r="D244" s="1" t="s">
        <v>1097</v>
      </c>
      <c r="E244">
        <v>14</v>
      </c>
      <c r="F244" s="1" t="s">
        <v>737</v>
      </c>
    </row>
    <row r="245" spans="1:6" x14ac:dyDescent="0.25">
      <c r="A245" s="1" t="s">
        <v>1241</v>
      </c>
      <c r="B245" s="2">
        <v>45223.611111111109</v>
      </c>
      <c r="C245" s="3">
        <v>45223.611111111109</v>
      </c>
      <c r="D245" s="1" t="s">
        <v>1192</v>
      </c>
      <c r="E245">
        <v>88</v>
      </c>
      <c r="F245" s="1" t="s">
        <v>732</v>
      </c>
    </row>
    <row r="246" spans="1:6" x14ac:dyDescent="0.25">
      <c r="A246" s="1" t="s">
        <v>1404</v>
      </c>
      <c r="B246" s="2">
        <v>45223.570138888892</v>
      </c>
      <c r="C246" s="3">
        <v>45223.570138888892</v>
      </c>
      <c r="D246" s="1" t="s">
        <v>917</v>
      </c>
      <c r="E246">
        <v>10</v>
      </c>
      <c r="F246" s="1" t="s">
        <v>735</v>
      </c>
    </row>
    <row r="247" spans="1:6" x14ac:dyDescent="0.25">
      <c r="A247" s="1" t="s">
        <v>1330</v>
      </c>
      <c r="B247" s="2">
        <v>45223.568055555559</v>
      </c>
      <c r="C247" s="3">
        <v>45223.568055555559</v>
      </c>
      <c r="D247" s="1" t="s">
        <v>1338</v>
      </c>
      <c r="E247">
        <v>21</v>
      </c>
      <c r="F247" s="1" t="s">
        <v>732</v>
      </c>
    </row>
    <row r="248" spans="1:6" x14ac:dyDescent="0.25">
      <c r="A248" s="1" t="s">
        <v>1165</v>
      </c>
      <c r="B248" s="2">
        <v>45223.554166666669</v>
      </c>
      <c r="C248" s="3">
        <v>45223.554166666669</v>
      </c>
      <c r="D248" s="1" t="s">
        <v>1188</v>
      </c>
      <c r="E248">
        <v>86</v>
      </c>
      <c r="F248" s="1" t="s">
        <v>735</v>
      </c>
    </row>
    <row r="249" spans="1:6" x14ac:dyDescent="0.25">
      <c r="A249" s="1" t="s">
        <v>1308</v>
      </c>
      <c r="B249" s="2">
        <v>45223.548611111109</v>
      </c>
      <c r="C249" s="3">
        <v>45223.548611111109</v>
      </c>
      <c r="D249" s="1" t="s">
        <v>1259</v>
      </c>
      <c r="E249">
        <v>19</v>
      </c>
      <c r="F249" s="1" t="s">
        <v>735</v>
      </c>
    </row>
    <row r="250" spans="1:6" x14ac:dyDescent="0.25">
      <c r="A250" s="1" t="s">
        <v>1193</v>
      </c>
      <c r="B250" s="2">
        <v>45223.513888888891</v>
      </c>
      <c r="C250" s="3">
        <v>45223.513888888891</v>
      </c>
      <c r="D250" s="1" t="s">
        <v>1077</v>
      </c>
      <c r="E250">
        <v>109</v>
      </c>
      <c r="F250" s="1" t="s">
        <v>735</v>
      </c>
    </row>
    <row r="251" spans="1:6" x14ac:dyDescent="0.25">
      <c r="A251" s="1" t="s">
        <v>779</v>
      </c>
      <c r="B251" s="2">
        <v>45223.45208333333</v>
      </c>
      <c r="C251" s="3">
        <v>45223.45208333333</v>
      </c>
      <c r="D251" s="1" t="s">
        <v>787</v>
      </c>
      <c r="E251">
        <v>117</v>
      </c>
      <c r="F251" s="1" t="s">
        <v>737</v>
      </c>
    </row>
    <row r="252" spans="1:6" x14ac:dyDescent="0.25">
      <c r="A252" s="1" t="s">
        <v>999</v>
      </c>
      <c r="B252" s="2">
        <v>45223.450694444437</v>
      </c>
      <c r="C252" s="3">
        <v>45223.450694444437</v>
      </c>
      <c r="D252" s="1" t="s">
        <v>1015</v>
      </c>
      <c r="E252">
        <v>14</v>
      </c>
      <c r="F252" s="1" t="s">
        <v>737</v>
      </c>
    </row>
    <row r="253" spans="1:6" x14ac:dyDescent="0.25">
      <c r="A253" s="1" t="s">
        <v>1308</v>
      </c>
      <c r="B253" s="2">
        <v>45223.436111111107</v>
      </c>
      <c r="C253" s="3">
        <v>45223.436111111107</v>
      </c>
      <c r="D253" s="1" t="s">
        <v>922</v>
      </c>
      <c r="E253">
        <v>26</v>
      </c>
      <c r="F253" s="1" t="s">
        <v>732</v>
      </c>
    </row>
    <row r="254" spans="1:6" x14ac:dyDescent="0.25">
      <c r="A254" s="1" t="s">
        <v>779</v>
      </c>
      <c r="B254" s="2">
        <v>45223.418749999997</v>
      </c>
      <c r="C254" s="3">
        <v>45223.418749999997</v>
      </c>
      <c r="D254" s="1" t="s">
        <v>805</v>
      </c>
      <c r="E254">
        <v>89</v>
      </c>
      <c r="F254" s="1" t="s">
        <v>732</v>
      </c>
    </row>
    <row r="255" spans="1:6" x14ac:dyDescent="0.25">
      <c r="A255" s="1" t="s">
        <v>1114</v>
      </c>
      <c r="B255" s="2">
        <v>45223.400694444441</v>
      </c>
      <c r="C255" s="3">
        <v>45223.400694444441</v>
      </c>
      <c r="D255" s="1" t="s">
        <v>1046</v>
      </c>
      <c r="E255">
        <v>41</v>
      </c>
      <c r="F255" s="1" t="s">
        <v>737</v>
      </c>
    </row>
    <row r="256" spans="1:6" x14ac:dyDescent="0.25">
      <c r="A256" s="1" t="s">
        <v>1261</v>
      </c>
      <c r="B256" s="2">
        <v>45223.365277777782</v>
      </c>
      <c r="C256" s="3">
        <v>45223.365277777782</v>
      </c>
      <c r="D256" s="1" t="s">
        <v>1268</v>
      </c>
      <c r="E256">
        <v>104</v>
      </c>
      <c r="F256" s="1" t="s">
        <v>735</v>
      </c>
    </row>
    <row r="257" spans="1:6" x14ac:dyDescent="0.25">
      <c r="A257" s="1" t="s">
        <v>1361</v>
      </c>
      <c r="B257" s="2">
        <v>45223.3125</v>
      </c>
      <c r="C257" s="3">
        <v>45223.3125</v>
      </c>
      <c r="D257" s="1" t="s">
        <v>1380</v>
      </c>
      <c r="E257">
        <v>62</v>
      </c>
      <c r="F257" s="1" t="s">
        <v>732</v>
      </c>
    </row>
    <row r="258" spans="1:6" x14ac:dyDescent="0.25">
      <c r="A258" s="1" t="s">
        <v>1261</v>
      </c>
      <c r="B258" s="2">
        <v>45223.293749999997</v>
      </c>
      <c r="C258" s="3">
        <v>45223.293749999997</v>
      </c>
      <c r="D258" s="1" t="s">
        <v>1169</v>
      </c>
      <c r="E258">
        <v>42</v>
      </c>
      <c r="F258" s="1" t="s">
        <v>737</v>
      </c>
    </row>
    <row r="259" spans="1:6" x14ac:dyDescent="0.25">
      <c r="A259" s="1" t="s">
        <v>1165</v>
      </c>
      <c r="B259" s="2">
        <v>45223.252083333333</v>
      </c>
      <c r="C259" s="3">
        <v>45223.252083333333</v>
      </c>
      <c r="D259" s="1" t="s">
        <v>977</v>
      </c>
      <c r="E259">
        <v>12</v>
      </c>
      <c r="F259" s="1" t="s">
        <v>735</v>
      </c>
    </row>
    <row r="260" spans="1:6" x14ac:dyDescent="0.25">
      <c r="A260" s="1" t="s">
        <v>939</v>
      </c>
      <c r="B260" s="2">
        <v>45223.18472222222</v>
      </c>
      <c r="C260" s="3">
        <v>45223.18472222222</v>
      </c>
      <c r="D260" s="1" t="s">
        <v>949</v>
      </c>
      <c r="E260">
        <v>42</v>
      </c>
      <c r="F260" s="1" t="s">
        <v>735</v>
      </c>
    </row>
    <row r="261" spans="1:6" x14ac:dyDescent="0.25">
      <c r="A261" s="1" t="s">
        <v>939</v>
      </c>
      <c r="B261" s="2">
        <v>45223.102083333331</v>
      </c>
      <c r="C261" s="3">
        <v>45223.102083333331</v>
      </c>
      <c r="D261" s="1" t="s">
        <v>960</v>
      </c>
      <c r="E261">
        <v>104</v>
      </c>
      <c r="F261" s="1" t="s">
        <v>735</v>
      </c>
    </row>
    <row r="262" spans="1:6" x14ac:dyDescent="0.25">
      <c r="A262" s="1" t="s">
        <v>1308</v>
      </c>
      <c r="B262" s="2">
        <v>45223.030555555553</v>
      </c>
      <c r="C262" s="3">
        <v>45223.030555555553</v>
      </c>
      <c r="D262" s="1" t="s">
        <v>1310</v>
      </c>
      <c r="E262">
        <v>59</v>
      </c>
      <c r="F262" s="1" t="s">
        <v>732</v>
      </c>
    </row>
    <row r="263" spans="1:6" x14ac:dyDescent="0.25">
      <c r="A263" s="1" t="s">
        <v>1086</v>
      </c>
      <c r="B263" s="2">
        <v>45222.944444444453</v>
      </c>
      <c r="C263" s="3">
        <v>45222.944444444453</v>
      </c>
      <c r="D263" s="1" t="s">
        <v>946</v>
      </c>
      <c r="E263">
        <v>87</v>
      </c>
      <c r="F263" s="1" t="s">
        <v>735</v>
      </c>
    </row>
    <row r="264" spans="1:6" x14ac:dyDescent="0.25">
      <c r="A264" s="1" t="s">
        <v>1361</v>
      </c>
      <c r="B264" s="2">
        <v>45222.943749999999</v>
      </c>
      <c r="C264" s="3">
        <v>45222.943749999999</v>
      </c>
      <c r="D264" s="1" t="s">
        <v>1378</v>
      </c>
      <c r="E264">
        <v>114</v>
      </c>
      <c r="F264" s="1" t="s">
        <v>732</v>
      </c>
    </row>
    <row r="265" spans="1:6" x14ac:dyDescent="0.25">
      <c r="A265" s="1" t="s">
        <v>1114</v>
      </c>
      <c r="B265" s="2">
        <v>45222.938194444447</v>
      </c>
      <c r="C265" s="3">
        <v>45222.938194444447</v>
      </c>
      <c r="D265" s="1" t="s">
        <v>1137</v>
      </c>
      <c r="E265">
        <v>36</v>
      </c>
      <c r="F265" s="1" t="s">
        <v>732</v>
      </c>
    </row>
    <row r="266" spans="1:6" x14ac:dyDescent="0.25">
      <c r="A266" s="1" t="s">
        <v>1308</v>
      </c>
      <c r="B266" s="2">
        <v>45222.902777777781</v>
      </c>
      <c r="C266" s="3">
        <v>45222.902777777781</v>
      </c>
      <c r="D266" s="1" t="s">
        <v>967</v>
      </c>
      <c r="E266">
        <v>31</v>
      </c>
      <c r="F266" s="1" t="s">
        <v>737</v>
      </c>
    </row>
    <row r="267" spans="1:6" x14ac:dyDescent="0.25">
      <c r="A267" s="1" t="s">
        <v>1330</v>
      </c>
      <c r="B267" s="2">
        <v>45222.879166666673</v>
      </c>
      <c r="C267" s="3">
        <v>45222.879166666673</v>
      </c>
      <c r="D267" s="1" t="s">
        <v>804</v>
      </c>
      <c r="E267">
        <v>103</v>
      </c>
      <c r="F267" s="1" t="s">
        <v>737</v>
      </c>
    </row>
    <row r="268" spans="1:6" x14ac:dyDescent="0.25">
      <c r="A268" s="1" t="s">
        <v>1114</v>
      </c>
      <c r="B268" s="2">
        <v>45222.834027777782</v>
      </c>
      <c r="C268" s="3">
        <v>45222.834027777782</v>
      </c>
      <c r="D268" s="1" t="s">
        <v>795</v>
      </c>
      <c r="E268">
        <v>109</v>
      </c>
      <c r="F268" s="1" t="s">
        <v>735</v>
      </c>
    </row>
    <row r="269" spans="1:6" x14ac:dyDescent="0.25">
      <c r="A269" s="1" t="s">
        <v>1261</v>
      </c>
      <c r="B269" s="2">
        <v>45222.777777777781</v>
      </c>
      <c r="C269" s="3">
        <v>45222.777777777781</v>
      </c>
      <c r="D269" s="1" t="s">
        <v>1271</v>
      </c>
      <c r="E269">
        <v>102</v>
      </c>
      <c r="F269" s="1" t="s">
        <v>737</v>
      </c>
    </row>
    <row r="270" spans="1:6" x14ac:dyDescent="0.25">
      <c r="A270" s="1" t="s">
        <v>1138</v>
      </c>
      <c r="B270" s="2">
        <v>45222.771527777782</v>
      </c>
      <c r="C270" s="3">
        <v>45222.771527777782</v>
      </c>
      <c r="D270" s="1" t="s">
        <v>738</v>
      </c>
      <c r="E270">
        <v>53</v>
      </c>
      <c r="F270" s="1" t="s">
        <v>737</v>
      </c>
    </row>
    <row r="271" spans="1:6" x14ac:dyDescent="0.25">
      <c r="A271" s="1" t="s">
        <v>1114</v>
      </c>
      <c r="B271" s="2">
        <v>45222.763194444437</v>
      </c>
      <c r="C271" s="3">
        <v>45222.763194444437</v>
      </c>
      <c r="D271" s="1" t="s">
        <v>901</v>
      </c>
      <c r="E271">
        <v>91</v>
      </c>
      <c r="F271" s="1" t="s">
        <v>737</v>
      </c>
    </row>
    <row r="272" spans="1:6" x14ac:dyDescent="0.25">
      <c r="A272" s="1" t="s">
        <v>1138</v>
      </c>
      <c r="B272" s="2">
        <v>45222.748611111107</v>
      </c>
      <c r="C272" s="3">
        <v>45222.748611111107</v>
      </c>
      <c r="D272" s="1" t="s">
        <v>1149</v>
      </c>
      <c r="E272">
        <v>28</v>
      </c>
      <c r="F272" s="1" t="s">
        <v>735</v>
      </c>
    </row>
    <row r="273" spans="1:6" x14ac:dyDescent="0.25">
      <c r="A273" s="1" t="s">
        <v>939</v>
      </c>
      <c r="B273" s="2">
        <v>45222.663194444453</v>
      </c>
      <c r="C273" s="3">
        <v>45222.663194444453</v>
      </c>
      <c r="D273" s="1" t="s">
        <v>956</v>
      </c>
      <c r="E273">
        <v>6</v>
      </c>
      <c r="F273" s="1" t="s">
        <v>737</v>
      </c>
    </row>
    <row r="274" spans="1:6" x14ac:dyDescent="0.25">
      <c r="A274" s="1" t="s">
        <v>1059</v>
      </c>
      <c r="B274" s="2">
        <v>45222.652777777781</v>
      </c>
      <c r="C274" s="3">
        <v>45222.652777777781</v>
      </c>
      <c r="D274" s="1" t="s">
        <v>1078</v>
      </c>
      <c r="E274">
        <v>46</v>
      </c>
      <c r="F274" s="1" t="s">
        <v>737</v>
      </c>
    </row>
    <row r="275" spans="1:6" x14ac:dyDescent="0.25">
      <c r="A275" s="1" t="s">
        <v>779</v>
      </c>
      <c r="B275" s="2">
        <v>45222.631249999999</v>
      </c>
      <c r="C275" s="3">
        <v>45222.631249999999</v>
      </c>
      <c r="D275" s="1" t="s">
        <v>801</v>
      </c>
      <c r="E275">
        <v>90</v>
      </c>
      <c r="F275" s="1" t="s">
        <v>732</v>
      </c>
    </row>
    <row r="276" spans="1:6" x14ac:dyDescent="0.25">
      <c r="A276" s="1" t="s">
        <v>1024</v>
      </c>
      <c r="B276" s="2">
        <v>45222.602777777778</v>
      </c>
      <c r="C276" s="3">
        <v>45222.602777777778</v>
      </c>
      <c r="D276" s="1" t="s">
        <v>1036</v>
      </c>
      <c r="E276">
        <v>53</v>
      </c>
      <c r="F276" s="1" t="s">
        <v>735</v>
      </c>
    </row>
    <row r="277" spans="1:6" x14ac:dyDescent="0.25">
      <c r="A277" s="1" t="s">
        <v>1219</v>
      </c>
      <c r="B277" s="2">
        <v>45222.597222222219</v>
      </c>
      <c r="C277" s="3">
        <v>45222.597222222219</v>
      </c>
      <c r="D277" s="1" t="s">
        <v>927</v>
      </c>
      <c r="E277">
        <v>22</v>
      </c>
      <c r="F277" s="1" t="s">
        <v>735</v>
      </c>
    </row>
    <row r="278" spans="1:6" x14ac:dyDescent="0.25">
      <c r="A278" s="1" t="s">
        <v>1059</v>
      </c>
      <c r="B278" s="2">
        <v>45222.584722222222</v>
      </c>
      <c r="C278" s="3">
        <v>45222.584722222222</v>
      </c>
      <c r="D278" s="1" t="s">
        <v>1080</v>
      </c>
      <c r="E278">
        <v>15</v>
      </c>
      <c r="F278" s="1" t="s">
        <v>737</v>
      </c>
    </row>
    <row r="279" spans="1:6" x14ac:dyDescent="0.25">
      <c r="A279" s="1" t="s">
        <v>1165</v>
      </c>
      <c r="B279" s="2">
        <v>45222.55972222222</v>
      </c>
      <c r="C279" s="3">
        <v>45222.55972222222</v>
      </c>
      <c r="D279" s="1" t="s">
        <v>1168</v>
      </c>
      <c r="E279">
        <v>26</v>
      </c>
      <c r="F279" s="1" t="s">
        <v>737</v>
      </c>
    </row>
    <row r="280" spans="1:6" x14ac:dyDescent="0.25">
      <c r="A280" s="1" t="s">
        <v>939</v>
      </c>
      <c r="B280" s="2">
        <v>45222.52847222222</v>
      </c>
      <c r="C280" s="3">
        <v>45222.52847222222</v>
      </c>
      <c r="D280" s="1" t="s">
        <v>953</v>
      </c>
      <c r="E280">
        <v>111</v>
      </c>
      <c r="F280" s="1" t="s">
        <v>732</v>
      </c>
    </row>
    <row r="281" spans="1:6" x14ac:dyDescent="0.25">
      <c r="A281" s="1" t="s">
        <v>939</v>
      </c>
      <c r="B281" s="2">
        <v>45222.51666666667</v>
      </c>
      <c r="C281" s="3">
        <v>45222.51666666667</v>
      </c>
      <c r="D281" s="1" t="s">
        <v>944</v>
      </c>
      <c r="E281">
        <v>66</v>
      </c>
      <c r="F281" s="1" t="s">
        <v>732</v>
      </c>
    </row>
    <row r="282" spans="1:6" x14ac:dyDescent="0.25">
      <c r="A282" s="1" t="s">
        <v>902</v>
      </c>
      <c r="B282" s="2">
        <v>45222.511805555558</v>
      </c>
      <c r="C282" s="3">
        <v>45222.511805555558</v>
      </c>
      <c r="D282" s="1" t="s">
        <v>934</v>
      </c>
      <c r="E282">
        <v>56</v>
      </c>
      <c r="F282" s="1" t="s">
        <v>732</v>
      </c>
    </row>
    <row r="283" spans="1:6" x14ac:dyDescent="0.25">
      <c r="A283" s="1" t="s">
        <v>1330</v>
      </c>
      <c r="B283" s="2">
        <v>45222.501388888893</v>
      </c>
      <c r="C283" s="3">
        <v>45222.501388888893</v>
      </c>
      <c r="D283" s="1" t="s">
        <v>1333</v>
      </c>
      <c r="E283">
        <v>39</v>
      </c>
      <c r="F283" s="1" t="s">
        <v>732</v>
      </c>
    </row>
    <row r="284" spans="1:6" x14ac:dyDescent="0.25">
      <c r="A284" s="1" t="s">
        <v>1288</v>
      </c>
      <c r="B284" s="2">
        <v>45222.479166666657</v>
      </c>
      <c r="C284" s="3">
        <v>45222.479166666657</v>
      </c>
      <c r="D284" s="1" t="s">
        <v>1305</v>
      </c>
      <c r="E284">
        <v>112</v>
      </c>
      <c r="F284" s="1" t="s">
        <v>735</v>
      </c>
    </row>
    <row r="285" spans="1:6" x14ac:dyDescent="0.25">
      <c r="A285" s="1" t="s">
        <v>1241</v>
      </c>
      <c r="B285" s="2">
        <v>45222.478472222218</v>
      </c>
      <c r="C285" s="3">
        <v>45222.478472222218</v>
      </c>
      <c r="D285" s="1" t="s">
        <v>759</v>
      </c>
      <c r="E285">
        <v>72</v>
      </c>
      <c r="F285" s="1" t="s">
        <v>735</v>
      </c>
    </row>
    <row r="286" spans="1:6" x14ac:dyDescent="0.25">
      <c r="A286" s="1" t="s">
        <v>978</v>
      </c>
      <c r="B286" s="2">
        <v>45222.467361111107</v>
      </c>
      <c r="C286" s="3">
        <v>45222.467361111107</v>
      </c>
      <c r="D286" s="1" t="s">
        <v>985</v>
      </c>
      <c r="E286">
        <v>104</v>
      </c>
      <c r="F286" s="1" t="s">
        <v>737</v>
      </c>
    </row>
    <row r="287" spans="1:6" x14ac:dyDescent="0.25">
      <c r="A287" s="1" t="s">
        <v>779</v>
      </c>
      <c r="B287" s="2">
        <v>45222.427083333343</v>
      </c>
      <c r="C287" s="3">
        <v>45222.427083333343</v>
      </c>
      <c r="D287" s="1" t="s">
        <v>817</v>
      </c>
      <c r="E287">
        <v>82</v>
      </c>
      <c r="F287" s="1" t="s">
        <v>732</v>
      </c>
    </row>
    <row r="288" spans="1:6" x14ac:dyDescent="0.25">
      <c r="A288" s="1" t="s">
        <v>730</v>
      </c>
      <c r="B288" s="2">
        <v>45222.425694444442</v>
      </c>
      <c r="C288" s="3">
        <v>45222.425694444442</v>
      </c>
      <c r="D288" s="1" t="s">
        <v>775</v>
      </c>
      <c r="E288">
        <v>48</v>
      </c>
      <c r="F288" s="1" t="s">
        <v>732</v>
      </c>
    </row>
    <row r="289" spans="1:6" x14ac:dyDescent="0.25">
      <c r="A289" s="1" t="s">
        <v>999</v>
      </c>
      <c r="B289" s="2">
        <v>45222.415277777778</v>
      </c>
      <c r="C289" s="3">
        <v>45222.415277777778</v>
      </c>
      <c r="D289" s="1" t="s">
        <v>1009</v>
      </c>
      <c r="E289">
        <v>73</v>
      </c>
      <c r="F289" s="1" t="s">
        <v>732</v>
      </c>
    </row>
    <row r="290" spans="1:6" x14ac:dyDescent="0.25">
      <c r="A290" s="1" t="s">
        <v>861</v>
      </c>
      <c r="B290" s="2">
        <v>45222.367361111108</v>
      </c>
      <c r="C290" s="3">
        <v>45222.367361111108</v>
      </c>
      <c r="D290" s="1" t="s">
        <v>882</v>
      </c>
      <c r="E290">
        <v>117</v>
      </c>
      <c r="F290" s="1" t="s">
        <v>735</v>
      </c>
    </row>
    <row r="291" spans="1:6" x14ac:dyDescent="0.25">
      <c r="A291" s="1" t="s">
        <v>939</v>
      </c>
      <c r="B291" s="2">
        <v>45222.353472222218</v>
      </c>
      <c r="C291" s="3">
        <v>45222.353472222218</v>
      </c>
      <c r="D291" s="1" t="s">
        <v>977</v>
      </c>
      <c r="E291">
        <v>101</v>
      </c>
      <c r="F291" s="1" t="s">
        <v>735</v>
      </c>
    </row>
    <row r="292" spans="1:6" x14ac:dyDescent="0.25">
      <c r="A292" s="1" t="s">
        <v>1219</v>
      </c>
      <c r="B292" s="2">
        <v>45222.188888888893</v>
      </c>
      <c r="C292" s="3">
        <v>45222.188888888893</v>
      </c>
      <c r="D292" s="1" t="s">
        <v>1041</v>
      </c>
      <c r="E292">
        <v>33</v>
      </c>
      <c r="F292" s="1" t="s">
        <v>732</v>
      </c>
    </row>
    <row r="293" spans="1:6" x14ac:dyDescent="0.25">
      <c r="A293" s="1" t="s">
        <v>1059</v>
      </c>
      <c r="B293" s="2">
        <v>45222.179166666669</v>
      </c>
      <c r="C293" s="3">
        <v>45222.179166666669</v>
      </c>
      <c r="D293" s="1" t="s">
        <v>1064</v>
      </c>
      <c r="E293">
        <v>28</v>
      </c>
      <c r="F293" s="1" t="s">
        <v>735</v>
      </c>
    </row>
    <row r="294" spans="1:6" x14ac:dyDescent="0.25">
      <c r="A294" s="1" t="s">
        <v>1219</v>
      </c>
      <c r="B294" s="2">
        <v>45222.10833333333</v>
      </c>
      <c r="C294" s="3">
        <v>45222.10833333333</v>
      </c>
      <c r="D294" s="1" t="s">
        <v>1233</v>
      </c>
      <c r="E294">
        <v>88</v>
      </c>
      <c r="F294" s="1" t="s">
        <v>737</v>
      </c>
    </row>
    <row r="295" spans="1:6" x14ac:dyDescent="0.25">
      <c r="A295" s="1" t="s">
        <v>1086</v>
      </c>
      <c r="B295" s="2">
        <v>45222.107638888891</v>
      </c>
      <c r="C295" s="3">
        <v>45222.107638888891</v>
      </c>
      <c r="D295" s="1" t="s">
        <v>845</v>
      </c>
      <c r="E295">
        <v>85</v>
      </c>
      <c r="F295" s="1" t="s">
        <v>732</v>
      </c>
    </row>
    <row r="296" spans="1:6" x14ac:dyDescent="0.25">
      <c r="A296" s="1" t="s">
        <v>730</v>
      </c>
      <c r="B296" s="2">
        <v>45221.997916666667</v>
      </c>
      <c r="C296" s="3">
        <v>45221.997916666667</v>
      </c>
      <c r="D296" s="1" t="s">
        <v>736</v>
      </c>
      <c r="E296">
        <v>79</v>
      </c>
      <c r="F296" s="1" t="s">
        <v>737</v>
      </c>
    </row>
    <row r="297" spans="1:6" x14ac:dyDescent="0.25">
      <c r="A297" s="1" t="s">
        <v>823</v>
      </c>
      <c r="B297" s="2">
        <v>45221.997916666667</v>
      </c>
      <c r="C297" s="3">
        <v>45221.997916666667</v>
      </c>
      <c r="D297" s="1" t="s">
        <v>845</v>
      </c>
      <c r="E297">
        <v>59</v>
      </c>
      <c r="F297" s="1" t="s">
        <v>732</v>
      </c>
    </row>
    <row r="298" spans="1:6" x14ac:dyDescent="0.25">
      <c r="A298" s="1" t="s">
        <v>978</v>
      </c>
      <c r="B298" s="2">
        <v>45221.988888888889</v>
      </c>
      <c r="C298" s="3">
        <v>45221.988888888889</v>
      </c>
      <c r="D298" s="1" t="s">
        <v>980</v>
      </c>
      <c r="E298">
        <v>72</v>
      </c>
      <c r="F298" s="1" t="s">
        <v>735</v>
      </c>
    </row>
    <row r="299" spans="1:6" x14ac:dyDescent="0.25">
      <c r="A299" s="1" t="s">
        <v>1261</v>
      </c>
      <c r="B299" s="2">
        <v>45221.96597222222</v>
      </c>
      <c r="C299" s="3">
        <v>45221.96597222222</v>
      </c>
      <c r="D299" s="1" t="s">
        <v>1265</v>
      </c>
      <c r="E299">
        <v>84</v>
      </c>
      <c r="F299" s="1" t="s">
        <v>737</v>
      </c>
    </row>
    <row r="300" spans="1:6" x14ac:dyDescent="0.25">
      <c r="A300" s="1" t="s">
        <v>1241</v>
      </c>
      <c r="B300" s="2">
        <v>45221.931944444441</v>
      </c>
      <c r="C300" s="3">
        <v>45221.931944444441</v>
      </c>
      <c r="D300" s="1" t="s">
        <v>1243</v>
      </c>
      <c r="E300">
        <v>26</v>
      </c>
      <c r="F300" s="1" t="s">
        <v>732</v>
      </c>
    </row>
    <row r="301" spans="1:6" x14ac:dyDescent="0.25">
      <c r="A301" s="1" t="s">
        <v>999</v>
      </c>
      <c r="B301" s="2">
        <v>45221.928472222222</v>
      </c>
      <c r="C301" s="3">
        <v>45221.928472222222</v>
      </c>
      <c r="D301" s="1" t="s">
        <v>772</v>
      </c>
      <c r="E301">
        <v>21</v>
      </c>
      <c r="F301" s="1" t="s">
        <v>732</v>
      </c>
    </row>
    <row r="302" spans="1:6" x14ac:dyDescent="0.25">
      <c r="A302" s="1" t="s">
        <v>861</v>
      </c>
      <c r="B302" s="2">
        <v>45221.910416666673</v>
      </c>
      <c r="C302" s="3">
        <v>45221.910416666673</v>
      </c>
      <c r="D302" s="1" t="s">
        <v>863</v>
      </c>
      <c r="E302">
        <v>60</v>
      </c>
      <c r="F302" s="1" t="s">
        <v>735</v>
      </c>
    </row>
    <row r="303" spans="1:6" x14ac:dyDescent="0.25">
      <c r="A303" s="1" t="s">
        <v>779</v>
      </c>
      <c r="B303" s="2">
        <v>45221.861805555563</v>
      </c>
      <c r="C303" s="3">
        <v>45221.861805555563</v>
      </c>
      <c r="D303" s="1" t="s">
        <v>785</v>
      </c>
      <c r="E303">
        <v>21</v>
      </c>
      <c r="F303" s="1" t="s">
        <v>735</v>
      </c>
    </row>
    <row r="304" spans="1:6" x14ac:dyDescent="0.25">
      <c r="A304" s="1" t="s">
        <v>1288</v>
      </c>
      <c r="B304" s="2">
        <v>45221.861805555563</v>
      </c>
      <c r="C304" s="3">
        <v>45221.861805555563</v>
      </c>
      <c r="D304" s="1" t="s">
        <v>1294</v>
      </c>
      <c r="E304">
        <v>65</v>
      </c>
      <c r="F304" s="1" t="s">
        <v>732</v>
      </c>
    </row>
    <row r="305" spans="1:6" x14ac:dyDescent="0.25">
      <c r="A305" s="1" t="s">
        <v>999</v>
      </c>
      <c r="B305" s="2">
        <v>45221.857638888891</v>
      </c>
      <c r="C305" s="3">
        <v>45221.857638888891</v>
      </c>
      <c r="D305" s="1" t="s">
        <v>1006</v>
      </c>
      <c r="E305">
        <v>60</v>
      </c>
      <c r="F305" s="1" t="s">
        <v>737</v>
      </c>
    </row>
    <row r="306" spans="1:6" x14ac:dyDescent="0.25">
      <c r="A306" s="1" t="s">
        <v>779</v>
      </c>
      <c r="B306" s="2">
        <v>45221.84652777778</v>
      </c>
      <c r="C306" s="3">
        <v>45221.84652777778</v>
      </c>
      <c r="D306" s="1" t="s">
        <v>819</v>
      </c>
      <c r="E306">
        <v>96</v>
      </c>
      <c r="F306" s="1" t="s">
        <v>737</v>
      </c>
    </row>
    <row r="307" spans="1:6" x14ac:dyDescent="0.25">
      <c r="A307" s="1" t="s">
        <v>939</v>
      </c>
      <c r="B307" s="2">
        <v>45221.839583333327</v>
      </c>
      <c r="C307" s="3">
        <v>45221.839583333327</v>
      </c>
      <c r="D307" s="1" t="s">
        <v>945</v>
      </c>
      <c r="E307">
        <v>18</v>
      </c>
      <c r="F307" s="1" t="s">
        <v>732</v>
      </c>
    </row>
    <row r="308" spans="1:6" x14ac:dyDescent="0.25">
      <c r="A308" s="1" t="s">
        <v>730</v>
      </c>
      <c r="B308" s="2">
        <v>45221.836111111108</v>
      </c>
      <c r="C308" s="3">
        <v>45221.836111111108</v>
      </c>
      <c r="D308" s="1" t="s">
        <v>765</v>
      </c>
      <c r="E308">
        <v>6</v>
      </c>
      <c r="F308" s="1" t="s">
        <v>737</v>
      </c>
    </row>
    <row r="309" spans="1:6" x14ac:dyDescent="0.25">
      <c r="A309" s="1" t="s">
        <v>1219</v>
      </c>
      <c r="B309" s="2">
        <v>45221.780555555553</v>
      </c>
      <c r="C309" s="3">
        <v>45221.780555555553</v>
      </c>
      <c r="D309" s="1" t="s">
        <v>1143</v>
      </c>
      <c r="E309">
        <v>67</v>
      </c>
      <c r="F309" s="1" t="s">
        <v>732</v>
      </c>
    </row>
    <row r="310" spans="1:6" x14ac:dyDescent="0.25">
      <c r="A310" s="1" t="s">
        <v>779</v>
      </c>
      <c r="B310" s="2">
        <v>45221.775000000001</v>
      </c>
      <c r="C310" s="3">
        <v>45221.775000000001</v>
      </c>
      <c r="D310" s="1" t="s">
        <v>814</v>
      </c>
      <c r="E310">
        <v>24</v>
      </c>
      <c r="F310" s="1" t="s">
        <v>732</v>
      </c>
    </row>
    <row r="311" spans="1:6" x14ac:dyDescent="0.25">
      <c r="A311" s="1" t="s">
        <v>1382</v>
      </c>
      <c r="B311" s="2">
        <v>45221.772222222222</v>
      </c>
      <c r="C311" s="3">
        <v>45221.772222222222</v>
      </c>
      <c r="D311" s="1" t="s">
        <v>909</v>
      </c>
      <c r="E311">
        <v>107</v>
      </c>
      <c r="F311" s="1" t="s">
        <v>732</v>
      </c>
    </row>
    <row r="312" spans="1:6" x14ac:dyDescent="0.25">
      <c r="A312" s="1" t="s">
        <v>939</v>
      </c>
      <c r="B312" s="2">
        <v>45221.724999999999</v>
      </c>
      <c r="C312" s="3">
        <v>45221.724999999999</v>
      </c>
      <c r="D312" s="1" t="s">
        <v>955</v>
      </c>
      <c r="E312">
        <v>55</v>
      </c>
      <c r="F312" s="1" t="s">
        <v>735</v>
      </c>
    </row>
    <row r="313" spans="1:6" x14ac:dyDescent="0.25">
      <c r="A313" s="1" t="s">
        <v>1165</v>
      </c>
      <c r="B313" s="2">
        <v>45221.717361111107</v>
      </c>
      <c r="C313" s="3">
        <v>45221.717361111107</v>
      </c>
      <c r="D313" s="1" t="s">
        <v>762</v>
      </c>
      <c r="E313">
        <v>14</v>
      </c>
      <c r="F313" s="1" t="s">
        <v>732</v>
      </c>
    </row>
    <row r="314" spans="1:6" x14ac:dyDescent="0.25">
      <c r="A314" s="1" t="s">
        <v>1219</v>
      </c>
      <c r="B314" s="2">
        <v>45221.647916666669</v>
      </c>
      <c r="C314" s="3">
        <v>45221.647916666669</v>
      </c>
      <c r="D314" s="1" t="s">
        <v>1236</v>
      </c>
      <c r="E314">
        <v>67</v>
      </c>
      <c r="F314" s="1" t="s">
        <v>732</v>
      </c>
    </row>
    <row r="315" spans="1:6" x14ac:dyDescent="0.25">
      <c r="A315" s="1" t="s">
        <v>1241</v>
      </c>
      <c r="B315" s="2">
        <v>45221.583333333343</v>
      </c>
      <c r="C315" s="3">
        <v>45221.583333333343</v>
      </c>
      <c r="D315" s="1" t="s">
        <v>1256</v>
      </c>
      <c r="E315">
        <v>106</v>
      </c>
      <c r="F315" s="1" t="s">
        <v>737</v>
      </c>
    </row>
    <row r="316" spans="1:6" x14ac:dyDescent="0.25">
      <c r="A316" s="1" t="s">
        <v>1404</v>
      </c>
      <c r="B316" s="2">
        <v>45221.578472222223</v>
      </c>
      <c r="C316" s="3">
        <v>45221.578472222223</v>
      </c>
      <c r="D316" s="1" t="s">
        <v>937</v>
      </c>
      <c r="E316">
        <v>76</v>
      </c>
      <c r="F316" s="1" t="s">
        <v>737</v>
      </c>
    </row>
    <row r="317" spans="1:6" x14ac:dyDescent="0.25">
      <c r="A317" s="1" t="s">
        <v>1165</v>
      </c>
      <c r="B317" s="2">
        <v>45221.565972222219</v>
      </c>
      <c r="C317" s="3">
        <v>45221.565972222219</v>
      </c>
      <c r="D317" s="1" t="s">
        <v>1166</v>
      </c>
      <c r="E317">
        <v>87</v>
      </c>
      <c r="F317" s="1" t="s">
        <v>735</v>
      </c>
    </row>
    <row r="318" spans="1:6" x14ac:dyDescent="0.25">
      <c r="A318" s="1" t="s">
        <v>1219</v>
      </c>
      <c r="B318" s="2">
        <v>45221.559027777781</v>
      </c>
      <c r="C318" s="3">
        <v>45221.559027777781</v>
      </c>
      <c r="D318" s="1" t="s">
        <v>1232</v>
      </c>
      <c r="E318">
        <v>22</v>
      </c>
      <c r="F318" s="1" t="s">
        <v>732</v>
      </c>
    </row>
    <row r="319" spans="1:6" x14ac:dyDescent="0.25">
      <c r="A319" s="1" t="s">
        <v>823</v>
      </c>
      <c r="B319" s="2">
        <v>45221.555555555547</v>
      </c>
      <c r="C319" s="3">
        <v>45221.555555555547</v>
      </c>
      <c r="D319" s="1" t="s">
        <v>841</v>
      </c>
      <c r="E319">
        <v>103</v>
      </c>
      <c r="F319" s="1" t="s">
        <v>735</v>
      </c>
    </row>
    <row r="320" spans="1:6" x14ac:dyDescent="0.25">
      <c r="A320" s="1" t="s">
        <v>1288</v>
      </c>
      <c r="B320" s="2">
        <v>45221.549305555563</v>
      </c>
      <c r="C320" s="3">
        <v>45221.549305555563</v>
      </c>
      <c r="D320" s="1" t="s">
        <v>1299</v>
      </c>
      <c r="E320">
        <v>39</v>
      </c>
      <c r="F320" s="1" t="s">
        <v>735</v>
      </c>
    </row>
    <row r="321" spans="1:6" x14ac:dyDescent="0.25">
      <c r="A321" s="1" t="s">
        <v>861</v>
      </c>
      <c r="B321" s="2">
        <v>45221.517361111109</v>
      </c>
      <c r="C321" s="3">
        <v>45221.517361111109</v>
      </c>
      <c r="D321" s="1" t="s">
        <v>888</v>
      </c>
      <c r="E321">
        <v>83</v>
      </c>
      <c r="F321" s="1" t="s">
        <v>737</v>
      </c>
    </row>
    <row r="322" spans="1:6" x14ac:dyDescent="0.25">
      <c r="A322" s="1" t="s">
        <v>1024</v>
      </c>
      <c r="B322" s="2">
        <v>45221.505555555559</v>
      </c>
      <c r="C322" s="3">
        <v>45221.505555555559</v>
      </c>
      <c r="D322" s="1" t="s">
        <v>1046</v>
      </c>
      <c r="E322">
        <v>51</v>
      </c>
      <c r="F322" s="1" t="s">
        <v>732</v>
      </c>
    </row>
    <row r="323" spans="1:6" x14ac:dyDescent="0.25">
      <c r="A323" s="1" t="s">
        <v>999</v>
      </c>
      <c r="B323" s="2">
        <v>45221.50277777778</v>
      </c>
      <c r="C323" s="3">
        <v>45221.50277777778</v>
      </c>
      <c r="D323" s="1" t="s">
        <v>1011</v>
      </c>
      <c r="E323">
        <v>69</v>
      </c>
      <c r="F323" s="1" t="s">
        <v>732</v>
      </c>
    </row>
    <row r="324" spans="1:6" x14ac:dyDescent="0.25">
      <c r="A324" s="1" t="s">
        <v>1382</v>
      </c>
      <c r="B324" s="2">
        <v>45221.498611111107</v>
      </c>
      <c r="C324" s="3">
        <v>45221.498611111107</v>
      </c>
      <c r="D324" s="1" t="s">
        <v>1393</v>
      </c>
      <c r="E324">
        <v>116</v>
      </c>
      <c r="F324" s="1" t="s">
        <v>735</v>
      </c>
    </row>
    <row r="325" spans="1:6" x14ac:dyDescent="0.25">
      <c r="A325" s="1" t="s">
        <v>978</v>
      </c>
      <c r="B325" s="2">
        <v>45221.481944444437</v>
      </c>
      <c r="C325" s="3">
        <v>45221.481944444437</v>
      </c>
      <c r="D325" s="1" t="s">
        <v>987</v>
      </c>
      <c r="E325">
        <v>80</v>
      </c>
      <c r="F325" s="1" t="s">
        <v>737</v>
      </c>
    </row>
    <row r="326" spans="1:6" x14ac:dyDescent="0.25">
      <c r="A326" s="1" t="s">
        <v>1308</v>
      </c>
      <c r="B326" s="2">
        <v>45221.388194444437</v>
      </c>
      <c r="C326" s="3">
        <v>45221.388194444437</v>
      </c>
      <c r="D326" s="1" t="s">
        <v>1327</v>
      </c>
      <c r="E326">
        <v>64</v>
      </c>
      <c r="F326" s="1" t="s">
        <v>735</v>
      </c>
    </row>
    <row r="327" spans="1:6" x14ac:dyDescent="0.25">
      <c r="A327" s="1" t="s">
        <v>939</v>
      </c>
      <c r="B327" s="2">
        <v>45221.384722222218</v>
      </c>
      <c r="C327" s="3">
        <v>45221.384722222218</v>
      </c>
      <c r="D327" s="1" t="s">
        <v>959</v>
      </c>
      <c r="E327">
        <v>92</v>
      </c>
      <c r="F327" s="1" t="s">
        <v>735</v>
      </c>
    </row>
    <row r="328" spans="1:6" x14ac:dyDescent="0.25">
      <c r="A328" s="1" t="s">
        <v>999</v>
      </c>
      <c r="B328" s="2">
        <v>45221.376388888893</v>
      </c>
      <c r="C328" s="3">
        <v>45221.376388888893</v>
      </c>
      <c r="D328" s="1" t="s">
        <v>1022</v>
      </c>
      <c r="E328">
        <v>59</v>
      </c>
      <c r="F328" s="1" t="s">
        <v>737</v>
      </c>
    </row>
    <row r="329" spans="1:6" x14ac:dyDescent="0.25">
      <c r="A329" s="1" t="s">
        <v>1382</v>
      </c>
      <c r="B329" s="2">
        <v>45221.339583333327</v>
      </c>
      <c r="C329" s="3">
        <v>45221.339583333327</v>
      </c>
      <c r="D329" s="1" t="s">
        <v>1250</v>
      </c>
      <c r="E329">
        <v>97</v>
      </c>
      <c r="F329" s="1" t="s">
        <v>735</v>
      </c>
    </row>
    <row r="330" spans="1:6" x14ac:dyDescent="0.25">
      <c r="A330" s="1" t="s">
        <v>939</v>
      </c>
      <c r="B330" s="2">
        <v>45221.313194444447</v>
      </c>
      <c r="C330" s="3">
        <v>45221.313194444447</v>
      </c>
      <c r="D330" s="1" t="s">
        <v>970</v>
      </c>
      <c r="E330">
        <v>34</v>
      </c>
      <c r="F330" s="1" t="s">
        <v>735</v>
      </c>
    </row>
    <row r="331" spans="1:6" x14ac:dyDescent="0.25">
      <c r="A331" s="1" t="s">
        <v>1138</v>
      </c>
      <c r="B331" s="2">
        <v>45221.283333333333</v>
      </c>
      <c r="C331" s="3">
        <v>45221.283333333333</v>
      </c>
      <c r="D331" s="1" t="s">
        <v>1151</v>
      </c>
      <c r="E331">
        <v>22</v>
      </c>
      <c r="F331" s="1" t="s">
        <v>732</v>
      </c>
    </row>
    <row r="332" spans="1:6" x14ac:dyDescent="0.25">
      <c r="A332" s="1" t="s">
        <v>978</v>
      </c>
      <c r="B332" s="2">
        <v>45221.27847222222</v>
      </c>
      <c r="C332" s="3">
        <v>45221.27847222222</v>
      </c>
      <c r="D332" s="1" t="s">
        <v>991</v>
      </c>
      <c r="E332">
        <v>83</v>
      </c>
      <c r="F332" s="1" t="s">
        <v>737</v>
      </c>
    </row>
    <row r="333" spans="1:6" x14ac:dyDescent="0.25">
      <c r="A333" s="1" t="s">
        <v>902</v>
      </c>
      <c r="B333" s="2">
        <v>45221.268750000003</v>
      </c>
      <c r="C333" s="3">
        <v>45221.268750000003</v>
      </c>
      <c r="D333" s="1" t="s">
        <v>927</v>
      </c>
      <c r="E333">
        <v>18</v>
      </c>
      <c r="F333" s="1" t="s">
        <v>735</v>
      </c>
    </row>
    <row r="334" spans="1:6" x14ac:dyDescent="0.25">
      <c r="A334" s="1" t="s">
        <v>823</v>
      </c>
      <c r="B334" s="2">
        <v>45221.265972222223</v>
      </c>
      <c r="C334" s="3">
        <v>45221.265972222223</v>
      </c>
      <c r="D334" s="1" t="s">
        <v>835</v>
      </c>
      <c r="E334">
        <v>88</v>
      </c>
      <c r="F334" s="1" t="s">
        <v>735</v>
      </c>
    </row>
    <row r="335" spans="1:6" x14ac:dyDescent="0.25">
      <c r="A335" s="1" t="s">
        <v>1382</v>
      </c>
      <c r="B335" s="2">
        <v>45221.197916666657</v>
      </c>
      <c r="C335" s="3">
        <v>45221.197916666657</v>
      </c>
      <c r="D335" s="1" t="s">
        <v>994</v>
      </c>
      <c r="E335">
        <v>61</v>
      </c>
      <c r="F335" s="1" t="s">
        <v>737</v>
      </c>
    </row>
    <row r="336" spans="1:6" x14ac:dyDescent="0.25">
      <c r="A336" s="1" t="s">
        <v>1219</v>
      </c>
      <c r="B336" s="2">
        <v>45221.180555555547</v>
      </c>
      <c r="C336" s="3">
        <v>45221.180555555547</v>
      </c>
      <c r="D336" s="1" t="s">
        <v>740</v>
      </c>
      <c r="E336">
        <v>8</v>
      </c>
      <c r="F336" s="1" t="s">
        <v>732</v>
      </c>
    </row>
    <row r="337" spans="1:6" x14ac:dyDescent="0.25">
      <c r="A337" s="1" t="s">
        <v>1404</v>
      </c>
      <c r="B337" s="2">
        <v>45221.167361111111</v>
      </c>
      <c r="C337" s="3">
        <v>45221.167361111111</v>
      </c>
      <c r="D337" s="1" t="s">
        <v>847</v>
      </c>
      <c r="E337">
        <v>78</v>
      </c>
      <c r="F337" s="1" t="s">
        <v>735</v>
      </c>
    </row>
    <row r="338" spans="1:6" x14ac:dyDescent="0.25">
      <c r="A338" s="1" t="s">
        <v>999</v>
      </c>
      <c r="B338" s="2">
        <v>45221.143055555563</v>
      </c>
      <c r="C338" s="3">
        <v>45221.143055555563</v>
      </c>
      <c r="D338" s="1" t="s">
        <v>938</v>
      </c>
      <c r="E338">
        <v>43</v>
      </c>
      <c r="F338" s="1" t="s">
        <v>732</v>
      </c>
    </row>
    <row r="339" spans="1:6" x14ac:dyDescent="0.25">
      <c r="A339" s="1" t="s">
        <v>1059</v>
      </c>
      <c r="B339" s="2">
        <v>45221.106249999997</v>
      </c>
      <c r="C339" s="3">
        <v>45221.106249999997</v>
      </c>
      <c r="D339" s="1" t="s">
        <v>752</v>
      </c>
      <c r="E339">
        <v>52</v>
      </c>
      <c r="F339" s="1" t="s">
        <v>737</v>
      </c>
    </row>
    <row r="340" spans="1:6" x14ac:dyDescent="0.25">
      <c r="A340" s="1" t="s">
        <v>823</v>
      </c>
      <c r="B340" s="2">
        <v>45221.095833333333</v>
      </c>
      <c r="C340" s="3">
        <v>45221.095833333333</v>
      </c>
      <c r="D340" s="1" t="s">
        <v>853</v>
      </c>
      <c r="E340">
        <v>113</v>
      </c>
      <c r="F340" s="1" t="s">
        <v>737</v>
      </c>
    </row>
    <row r="341" spans="1:6" x14ac:dyDescent="0.25">
      <c r="A341" s="1" t="s">
        <v>1261</v>
      </c>
      <c r="B341" s="2">
        <v>45221.049305555563</v>
      </c>
      <c r="C341" s="3">
        <v>45221.049305555563</v>
      </c>
      <c r="D341" s="1" t="s">
        <v>1066</v>
      </c>
      <c r="E341">
        <v>53</v>
      </c>
      <c r="F341" s="1" t="s">
        <v>735</v>
      </c>
    </row>
    <row r="342" spans="1:6" x14ac:dyDescent="0.25">
      <c r="A342" s="1" t="s">
        <v>939</v>
      </c>
      <c r="B342" s="2">
        <v>45221.039583333331</v>
      </c>
      <c r="C342" s="3">
        <v>45221.039583333331</v>
      </c>
      <c r="D342" s="1" t="s">
        <v>973</v>
      </c>
      <c r="E342">
        <v>33</v>
      </c>
      <c r="F342" s="1" t="s">
        <v>735</v>
      </c>
    </row>
    <row r="343" spans="1:6" x14ac:dyDescent="0.25">
      <c r="A343" s="1" t="s">
        <v>1345</v>
      </c>
      <c r="B343" s="2">
        <v>45220.96875</v>
      </c>
      <c r="C343" s="3">
        <v>45220.96875</v>
      </c>
      <c r="D343" s="1" t="s">
        <v>836</v>
      </c>
      <c r="E343">
        <v>103</v>
      </c>
      <c r="F343" s="1" t="s">
        <v>732</v>
      </c>
    </row>
    <row r="344" spans="1:6" x14ac:dyDescent="0.25">
      <c r="A344" s="1" t="s">
        <v>730</v>
      </c>
      <c r="B344" s="2">
        <v>45220.94027777778</v>
      </c>
      <c r="C344" s="3">
        <v>45220.94027777778</v>
      </c>
      <c r="D344" s="1" t="s">
        <v>743</v>
      </c>
      <c r="E344">
        <v>33</v>
      </c>
      <c r="F344" s="1" t="s">
        <v>737</v>
      </c>
    </row>
    <row r="345" spans="1:6" x14ac:dyDescent="0.25">
      <c r="A345" s="1" t="s">
        <v>1114</v>
      </c>
      <c r="B345" s="2">
        <v>45220.927777777782</v>
      </c>
      <c r="C345" s="3">
        <v>45220.927777777782</v>
      </c>
      <c r="D345" s="1" t="s">
        <v>1035</v>
      </c>
      <c r="E345">
        <v>22</v>
      </c>
      <c r="F345" s="1" t="s">
        <v>735</v>
      </c>
    </row>
    <row r="346" spans="1:6" x14ac:dyDescent="0.25">
      <c r="A346" s="1" t="s">
        <v>1024</v>
      </c>
      <c r="B346" s="2">
        <v>45220.893750000003</v>
      </c>
      <c r="C346" s="3">
        <v>45220.893750000003</v>
      </c>
      <c r="D346" s="1" t="s">
        <v>1053</v>
      </c>
      <c r="E346">
        <v>101</v>
      </c>
      <c r="F346" s="1" t="s">
        <v>737</v>
      </c>
    </row>
    <row r="347" spans="1:6" x14ac:dyDescent="0.25">
      <c r="A347" s="1" t="s">
        <v>902</v>
      </c>
      <c r="B347" s="2">
        <v>45220.877083333333</v>
      </c>
      <c r="C347" s="3">
        <v>45220.877083333333</v>
      </c>
      <c r="D347" s="1" t="s">
        <v>907</v>
      </c>
      <c r="E347">
        <v>78</v>
      </c>
      <c r="F347" s="1" t="s">
        <v>732</v>
      </c>
    </row>
    <row r="348" spans="1:6" x14ac:dyDescent="0.25">
      <c r="A348" s="1" t="s">
        <v>1024</v>
      </c>
      <c r="B348" s="2">
        <v>45220.847916666673</v>
      </c>
      <c r="C348" s="3">
        <v>45220.847916666673</v>
      </c>
      <c r="D348" s="1" t="s">
        <v>1003</v>
      </c>
      <c r="E348">
        <v>103</v>
      </c>
      <c r="F348" s="1" t="s">
        <v>732</v>
      </c>
    </row>
    <row r="349" spans="1:6" x14ac:dyDescent="0.25">
      <c r="A349" s="1" t="s">
        <v>730</v>
      </c>
      <c r="B349" s="2">
        <v>45220.830555555563</v>
      </c>
      <c r="C349" s="3">
        <v>45220.830555555563</v>
      </c>
      <c r="D349" s="1" t="s">
        <v>756</v>
      </c>
      <c r="E349">
        <v>59</v>
      </c>
      <c r="F349" s="1" t="s">
        <v>737</v>
      </c>
    </row>
    <row r="350" spans="1:6" x14ac:dyDescent="0.25">
      <c r="A350" s="1" t="s">
        <v>1059</v>
      </c>
      <c r="B350" s="2">
        <v>45220.811805555553</v>
      </c>
      <c r="C350" s="3">
        <v>45220.811805555553</v>
      </c>
      <c r="D350" s="1" t="s">
        <v>1061</v>
      </c>
      <c r="E350">
        <v>100</v>
      </c>
      <c r="F350" s="1" t="s">
        <v>737</v>
      </c>
    </row>
    <row r="351" spans="1:6" x14ac:dyDescent="0.25">
      <c r="A351" s="1" t="s">
        <v>978</v>
      </c>
      <c r="B351" s="2">
        <v>45220.792361111111</v>
      </c>
      <c r="C351" s="3">
        <v>45220.792361111111</v>
      </c>
      <c r="D351" s="1" t="s">
        <v>838</v>
      </c>
      <c r="E351">
        <v>10</v>
      </c>
      <c r="F351" s="1" t="s">
        <v>737</v>
      </c>
    </row>
    <row r="352" spans="1:6" x14ac:dyDescent="0.25">
      <c r="A352" s="1" t="s">
        <v>1308</v>
      </c>
      <c r="B352" s="2">
        <v>45220.754166666673</v>
      </c>
      <c r="C352" s="3">
        <v>45220.754166666673</v>
      </c>
      <c r="D352" s="1" t="s">
        <v>872</v>
      </c>
      <c r="E352">
        <v>85</v>
      </c>
      <c r="F352" s="1" t="s">
        <v>732</v>
      </c>
    </row>
    <row r="353" spans="1:6" x14ac:dyDescent="0.25">
      <c r="A353" s="1" t="s">
        <v>1288</v>
      </c>
      <c r="B353" s="2">
        <v>45220.743055555547</v>
      </c>
      <c r="C353" s="3">
        <v>45220.743055555547</v>
      </c>
      <c r="D353" s="1" t="s">
        <v>1119</v>
      </c>
      <c r="E353">
        <v>54</v>
      </c>
      <c r="F353" s="1" t="s">
        <v>735</v>
      </c>
    </row>
    <row r="354" spans="1:6" x14ac:dyDescent="0.25">
      <c r="A354" s="1" t="s">
        <v>1382</v>
      </c>
      <c r="B354" s="2">
        <v>45220.724999999999</v>
      </c>
      <c r="C354" s="3">
        <v>45220.724999999999</v>
      </c>
      <c r="D354" s="1" t="s">
        <v>852</v>
      </c>
      <c r="E354">
        <v>28</v>
      </c>
      <c r="F354" s="1" t="s">
        <v>737</v>
      </c>
    </row>
    <row r="355" spans="1:6" x14ac:dyDescent="0.25">
      <c r="A355" s="1" t="s">
        <v>1288</v>
      </c>
      <c r="B355" s="2">
        <v>45220.677083333343</v>
      </c>
      <c r="C355" s="3">
        <v>45220.677083333343</v>
      </c>
      <c r="D355" s="1" t="s">
        <v>1303</v>
      </c>
      <c r="E355">
        <v>107</v>
      </c>
      <c r="F355" s="1" t="s">
        <v>737</v>
      </c>
    </row>
    <row r="356" spans="1:6" x14ac:dyDescent="0.25">
      <c r="A356" s="1" t="s">
        <v>1193</v>
      </c>
      <c r="B356" s="2">
        <v>45220.651388888888</v>
      </c>
      <c r="C356" s="3">
        <v>45220.651388888888</v>
      </c>
      <c r="D356" s="1" t="s">
        <v>903</v>
      </c>
      <c r="E356">
        <v>36</v>
      </c>
      <c r="F356" s="1" t="s">
        <v>732</v>
      </c>
    </row>
    <row r="357" spans="1:6" x14ac:dyDescent="0.25">
      <c r="A357" s="1" t="s">
        <v>730</v>
      </c>
      <c r="B357" s="2">
        <v>45220.642361111109</v>
      </c>
      <c r="C357" s="3">
        <v>45220.642361111109</v>
      </c>
      <c r="D357" s="1" t="s">
        <v>776</v>
      </c>
      <c r="E357">
        <v>19</v>
      </c>
      <c r="F357" s="1" t="s">
        <v>732</v>
      </c>
    </row>
    <row r="358" spans="1:6" x14ac:dyDescent="0.25">
      <c r="A358" s="1" t="s">
        <v>1288</v>
      </c>
      <c r="B358" s="2">
        <v>45220.618750000001</v>
      </c>
      <c r="C358" s="3">
        <v>45220.618750000001</v>
      </c>
      <c r="D358" s="1" t="s">
        <v>1283</v>
      </c>
      <c r="E358">
        <v>79</v>
      </c>
      <c r="F358" s="1" t="s">
        <v>732</v>
      </c>
    </row>
    <row r="359" spans="1:6" x14ac:dyDescent="0.25">
      <c r="A359" s="1" t="s">
        <v>1241</v>
      </c>
      <c r="B359" s="2">
        <v>45220.584027777782</v>
      </c>
      <c r="C359" s="3">
        <v>45220.584027777782</v>
      </c>
      <c r="D359" s="1" t="s">
        <v>1249</v>
      </c>
      <c r="E359">
        <v>92</v>
      </c>
      <c r="F359" s="1" t="s">
        <v>737</v>
      </c>
    </row>
    <row r="360" spans="1:6" x14ac:dyDescent="0.25">
      <c r="A360" s="1" t="s">
        <v>1261</v>
      </c>
      <c r="B360" s="2">
        <v>45220.551388888889</v>
      </c>
      <c r="C360" s="3">
        <v>45220.551388888889</v>
      </c>
      <c r="D360" s="1" t="s">
        <v>1282</v>
      </c>
      <c r="E360">
        <v>6</v>
      </c>
      <c r="F360" s="1" t="s">
        <v>732</v>
      </c>
    </row>
    <row r="361" spans="1:6" x14ac:dyDescent="0.25">
      <c r="A361" s="1" t="s">
        <v>1059</v>
      </c>
      <c r="B361" s="2">
        <v>45220.515972222223</v>
      </c>
      <c r="C361" s="3">
        <v>45220.515972222223</v>
      </c>
      <c r="D361" s="1" t="s">
        <v>1070</v>
      </c>
      <c r="E361">
        <v>15</v>
      </c>
      <c r="F361" s="1" t="s">
        <v>737</v>
      </c>
    </row>
    <row r="362" spans="1:6" x14ac:dyDescent="0.25">
      <c r="A362" s="1" t="s">
        <v>1361</v>
      </c>
      <c r="B362" s="2">
        <v>45220.506249999999</v>
      </c>
      <c r="C362" s="3">
        <v>45220.506249999999</v>
      </c>
      <c r="D362" s="1" t="s">
        <v>1180</v>
      </c>
      <c r="E362">
        <v>20</v>
      </c>
      <c r="F362" s="1" t="s">
        <v>732</v>
      </c>
    </row>
    <row r="363" spans="1:6" x14ac:dyDescent="0.25">
      <c r="A363" s="1" t="s">
        <v>1138</v>
      </c>
      <c r="B363" s="2">
        <v>45220.488888888889</v>
      </c>
      <c r="C363" s="3">
        <v>45220.488888888889</v>
      </c>
      <c r="D363" s="1" t="s">
        <v>820</v>
      </c>
      <c r="E363">
        <v>49</v>
      </c>
      <c r="F363" s="1" t="s">
        <v>737</v>
      </c>
    </row>
    <row r="364" spans="1:6" x14ac:dyDescent="0.25">
      <c r="A364" s="1" t="s">
        <v>1241</v>
      </c>
      <c r="B364" s="2">
        <v>45220.469444444447</v>
      </c>
      <c r="C364" s="3">
        <v>45220.469444444447</v>
      </c>
      <c r="D364" s="1" t="s">
        <v>997</v>
      </c>
      <c r="E364">
        <v>17</v>
      </c>
      <c r="F364" s="1" t="s">
        <v>735</v>
      </c>
    </row>
    <row r="365" spans="1:6" x14ac:dyDescent="0.25">
      <c r="A365" s="1" t="s">
        <v>1024</v>
      </c>
      <c r="B365" s="2">
        <v>45220.452777777777</v>
      </c>
      <c r="C365" s="3">
        <v>45220.452777777777</v>
      </c>
      <c r="D365" s="1" t="s">
        <v>1049</v>
      </c>
      <c r="E365">
        <v>35</v>
      </c>
      <c r="F365" s="1" t="s">
        <v>735</v>
      </c>
    </row>
    <row r="366" spans="1:6" x14ac:dyDescent="0.25">
      <c r="A366" s="1" t="s">
        <v>823</v>
      </c>
      <c r="B366" s="2">
        <v>45220.436805555553</v>
      </c>
      <c r="C366" s="3">
        <v>45220.436805555553</v>
      </c>
      <c r="D366" s="1" t="s">
        <v>792</v>
      </c>
      <c r="E366">
        <v>64</v>
      </c>
      <c r="F366" s="1" t="s">
        <v>735</v>
      </c>
    </row>
    <row r="367" spans="1:6" x14ac:dyDescent="0.25">
      <c r="A367" s="1" t="s">
        <v>1059</v>
      </c>
      <c r="B367" s="2">
        <v>45220.428472222222</v>
      </c>
      <c r="C367" s="3">
        <v>45220.428472222222</v>
      </c>
      <c r="D367" s="1" t="s">
        <v>759</v>
      </c>
      <c r="E367">
        <v>26</v>
      </c>
      <c r="F367" s="1" t="s">
        <v>737</v>
      </c>
    </row>
    <row r="368" spans="1:6" x14ac:dyDescent="0.25">
      <c r="A368" s="1" t="s">
        <v>861</v>
      </c>
      <c r="B368" s="2">
        <v>45220.416666666657</v>
      </c>
      <c r="C368" s="3">
        <v>45220.416666666657</v>
      </c>
      <c r="D368" s="1" t="s">
        <v>897</v>
      </c>
      <c r="E368">
        <v>32</v>
      </c>
      <c r="F368" s="1" t="s">
        <v>735</v>
      </c>
    </row>
    <row r="369" spans="1:6" x14ac:dyDescent="0.25">
      <c r="A369" s="1" t="s">
        <v>1138</v>
      </c>
      <c r="B369" s="2">
        <v>45220.390972222223</v>
      </c>
      <c r="C369" s="3">
        <v>45220.390972222223</v>
      </c>
      <c r="D369" s="1" t="s">
        <v>1109</v>
      </c>
      <c r="E369">
        <v>13</v>
      </c>
      <c r="F369" s="1" t="s">
        <v>735</v>
      </c>
    </row>
    <row r="370" spans="1:6" x14ac:dyDescent="0.25">
      <c r="A370" s="1" t="s">
        <v>1193</v>
      </c>
      <c r="B370" s="2">
        <v>45220.368055555547</v>
      </c>
      <c r="C370" s="3">
        <v>45220.368055555547</v>
      </c>
      <c r="D370" s="1" t="s">
        <v>1199</v>
      </c>
      <c r="E370">
        <v>47</v>
      </c>
      <c r="F370" s="1" t="s">
        <v>737</v>
      </c>
    </row>
    <row r="371" spans="1:6" x14ac:dyDescent="0.25">
      <c r="A371" s="1" t="s">
        <v>1059</v>
      </c>
      <c r="B371" s="2">
        <v>45220.262499999997</v>
      </c>
      <c r="C371" s="3">
        <v>45220.262499999997</v>
      </c>
      <c r="D371" s="1" t="s">
        <v>1083</v>
      </c>
      <c r="E371">
        <v>96</v>
      </c>
      <c r="F371" s="1" t="s">
        <v>732</v>
      </c>
    </row>
    <row r="372" spans="1:6" x14ac:dyDescent="0.25">
      <c r="A372" s="1" t="s">
        <v>1382</v>
      </c>
      <c r="B372" s="2">
        <v>45220.230555555558</v>
      </c>
      <c r="C372" s="3">
        <v>45220.230555555558</v>
      </c>
      <c r="D372" s="1" t="s">
        <v>788</v>
      </c>
      <c r="E372">
        <v>111</v>
      </c>
      <c r="F372" s="1" t="s">
        <v>737</v>
      </c>
    </row>
    <row r="373" spans="1:6" x14ac:dyDescent="0.25">
      <c r="A373" s="1" t="s">
        <v>1361</v>
      </c>
      <c r="B373" s="2">
        <v>45220.222916666673</v>
      </c>
      <c r="C373" s="3">
        <v>45220.222916666673</v>
      </c>
      <c r="D373" s="1" t="s">
        <v>1271</v>
      </c>
      <c r="E373">
        <v>65</v>
      </c>
      <c r="F373" s="1" t="s">
        <v>737</v>
      </c>
    </row>
    <row r="374" spans="1:6" x14ac:dyDescent="0.25">
      <c r="A374" s="1" t="s">
        <v>902</v>
      </c>
      <c r="B374" s="2">
        <v>45220.206944444442</v>
      </c>
      <c r="C374" s="3">
        <v>45220.206944444442</v>
      </c>
      <c r="D374" s="1" t="s">
        <v>929</v>
      </c>
      <c r="E374">
        <v>25</v>
      </c>
      <c r="F374" s="1" t="s">
        <v>732</v>
      </c>
    </row>
    <row r="375" spans="1:6" x14ac:dyDescent="0.25">
      <c r="A375" s="1" t="s">
        <v>1059</v>
      </c>
      <c r="B375" s="2">
        <v>45220.15902777778</v>
      </c>
      <c r="C375" s="3">
        <v>45220.15902777778</v>
      </c>
      <c r="D375" s="1" t="s">
        <v>1073</v>
      </c>
      <c r="E375">
        <v>60</v>
      </c>
      <c r="F375" s="1" t="s">
        <v>737</v>
      </c>
    </row>
    <row r="376" spans="1:6" x14ac:dyDescent="0.25">
      <c r="A376" s="1" t="s">
        <v>1330</v>
      </c>
      <c r="B376" s="2">
        <v>45220.154861111107</v>
      </c>
      <c r="C376" s="3">
        <v>45220.154861111107</v>
      </c>
      <c r="D376" s="1" t="s">
        <v>1133</v>
      </c>
      <c r="E376">
        <v>53</v>
      </c>
      <c r="F376" s="1" t="s">
        <v>732</v>
      </c>
    </row>
    <row r="377" spans="1:6" x14ac:dyDescent="0.25">
      <c r="A377" s="1" t="s">
        <v>861</v>
      </c>
      <c r="B377" s="2">
        <v>45220.117361111108</v>
      </c>
      <c r="C377" s="3">
        <v>45220.117361111108</v>
      </c>
      <c r="D377" s="1" t="s">
        <v>877</v>
      </c>
      <c r="E377">
        <v>39</v>
      </c>
      <c r="F377" s="1" t="s">
        <v>732</v>
      </c>
    </row>
    <row r="378" spans="1:6" x14ac:dyDescent="0.25">
      <c r="A378" s="1" t="s">
        <v>1241</v>
      </c>
      <c r="B378" s="2">
        <v>45220.114583333343</v>
      </c>
      <c r="C378" s="3">
        <v>45220.114583333343</v>
      </c>
      <c r="D378" s="1" t="s">
        <v>776</v>
      </c>
      <c r="E378">
        <v>54</v>
      </c>
      <c r="F378" s="1" t="s">
        <v>735</v>
      </c>
    </row>
    <row r="379" spans="1:6" x14ac:dyDescent="0.25">
      <c r="A379" s="1" t="s">
        <v>1024</v>
      </c>
      <c r="B379" s="2">
        <v>45220.11041666667</v>
      </c>
      <c r="C379" s="3">
        <v>45220.11041666667</v>
      </c>
      <c r="D379" s="1" t="s">
        <v>1027</v>
      </c>
      <c r="E379">
        <v>111</v>
      </c>
      <c r="F379" s="1" t="s">
        <v>737</v>
      </c>
    </row>
    <row r="380" spans="1:6" x14ac:dyDescent="0.25">
      <c r="A380" s="1" t="s">
        <v>1345</v>
      </c>
      <c r="B380" s="2">
        <v>45220.093055555553</v>
      </c>
      <c r="C380" s="3">
        <v>45220.093055555553</v>
      </c>
      <c r="D380" s="1" t="s">
        <v>1306</v>
      </c>
      <c r="E380">
        <v>48</v>
      </c>
      <c r="F380" s="1" t="s">
        <v>732</v>
      </c>
    </row>
    <row r="381" spans="1:6" x14ac:dyDescent="0.25">
      <c r="A381" s="1" t="s">
        <v>1330</v>
      </c>
      <c r="B381" s="2">
        <v>45220.091666666667</v>
      </c>
      <c r="C381" s="3">
        <v>45220.091666666667</v>
      </c>
      <c r="D381" s="1" t="s">
        <v>750</v>
      </c>
      <c r="E381">
        <v>87</v>
      </c>
      <c r="F381" s="1" t="s">
        <v>735</v>
      </c>
    </row>
    <row r="382" spans="1:6" x14ac:dyDescent="0.25">
      <c r="A382" s="1" t="s">
        <v>1086</v>
      </c>
      <c r="B382" s="2">
        <v>45219.997916666667</v>
      </c>
      <c r="C382" s="3">
        <v>45219.997916666667</v>
      </c>
      <c r="D382" s="1" t="s">
        <v>807</v>
      </c>
      <c r="E382">
        <v>102</v>
      </c>
      <c r="F382" s="1" t="s">
        <v>735</v>
      </c>
    </row>
    <row r="383" spans="1:6" x14ac:dyDescent="0.25">
      <c r="A383" s="1" t="s">
        <v>861</v>
      </c>
      <c r="B383" s="2">
        <v>45219.989583333343</v>
      </c>
      <c r="C383" s="3">
        <v>45219.989583333343</v>
      </c>
      <c r="D383" s="1" t="s">
        <v>884</v>
      </c>
      <c r="E383">
        <v>36</v>
      </c>
      <c r="F383" s="1" t="s">
        <v>732</v>
      </c>
    </row>
    <row r="384" spans="1:6" x14ac:dyDescent="0.25">
      <c r="A384" s="1" t="s">
        <v>1382</v>
      </c>
      <c r="B384" s="2">
        <v>45219.95</v>
      </c>
      <c r="C384" s="3">
        <v>45219.95</v>
      </c>
      <c r="D384" s="1" t="s">
        <v>787</v>
      </c>
      <c r="E384">
        <v>45</v>
      </c>
      <c r="F384" s="1" t="s">
        <v>737</v>
      </c>
    </row>
    <row r="385" spans="1:6" x14ac:dyDescent="0.25">
      <c r="A385" s="1" t="s">
        <v>1382</v>
      </c>
      <c r="B385" s="2">
        <v>45219.929166666669</v>
      </c>
      <c r="C385" s="3">
        <v>45219.929166666669</v>
      </c>
      <c r="D385" s="1" t="s">
        <v>1392</v>
      </c>
      <c r="E385">
        <v>115</v>
      </c>
      <c r="F385" s="1" t="s">
        <v>732</v>
      </c>
    </row>
    <row r="386" spans="1:6" x14ac:dyDescent="0.25">
      <c r="A386" s="1" t="s">
        <v>1165</v>
      </c>
      <c r="B386" s="2">
        <v>45219.925694444442</v>
      </c>
      <c r="C386" s="3">
        <v>45219.925694444442</v>
      </c>
      <c r="D386" s="1" t="s">
        <v>1181</v>
      </c>
      <c r="E386">
        <v>22</v>
      </c>
      <c r="F386" s="1" t="s">
        <v>732</v>
      </c>
    </row>
    <row r="387" spans="1:6" x14ac:dyDescent="0.25">
      <c r="A387" s="1" t="s">
        <v>1024</v>
      </c>
      <c r="B387" s="2">
        <v>45219.920138888891</v>
      </c>
      <c r="C387" s="3">
        <v>45219.920138888891</v>
      </c>
      <c r="D387" s="1" t="s">
        <v>1047</v>
      </c>
      <c r="E387">
        <v>91</v>
      </c>
      <c r="F387" s="1" t="s">
        <v>737</v>
      </c>
    </row>
    <row r="388" spans="1:6" x14ac:dyDescent="0.25">
      <c r="A388" s="1" t="s">
        <v>1382</v>
      </c>
      <c r="B388" s="2">
        <v>45219.907638888893</v>
      </c>
      <c r="C388" s="3">
        <v>45219.907638888893</v>
      </c>
      <c r="D388" s="1" t="s">
        <v>1401</v>
      </c>
      <c r="E388">
        <v>92</v>
      </c>
      <c r="F388" s="1" t="s">
        <v>735</v>
      </c>
    </row>
    <row r="389" spans="1:6" x14ac:dyDescent="0.25">
      <c r="A389" s="1" t="s">
        <v>730</v>
      </c>
      <c r="B389" s="2">
        <v>45219.840277777781</v>
      </c>
      <c r="C389" s="3">
        <v>45219.840277777781</v>
      </c>
      <c r="D389" s="1" t="s">
        <v>766</v>
      </c>
      <c r="E389">
        <v>92</v>
      </c>
      <c r="F389" s="1" t="s">
        <v>732</v>
      </c>
    </row>
    <row r="390" spans="1:6" x14ac:dyDescent="0.25">
      <c r="A390" s="1" t="s">
        <v>1086</v>
      </c>
      <c r="B390" s="2">
        <v>45219.834027777782</v>
      </c>
      <c r="C390" s="3">
        <v>45219.834027777782</v>
      </c>
      <c r="D390" s="1" t="s">
        <v>1113</v>
      </c>
      <c r="E390">
        <v>64</v>
      </c>
      <c r="F390" s="1" t="s">
        <v>737</v>
      </c>
    </row>
    <row r="391" spans="1:6" x14ac:dyDescent="0.25">
      <c r="A391" s="1" t="s">
        <v>1193</v>
      </c>
      <c r="B391" s="2">
        <v>45219.826388888891</v>
      </c>
      <c r="C391" s="3">
        <v>45219.826388888891</v>
      </c>
      <c r="D391" s="1" t="s">
        <v>772</v>
      </c>
      <c r="E391">
        <v>93</v>
      </c>
      <c r="F391" s="1" t="s">
        <v>737</v>
      </c>
    </row>
    <row r="392" spans="1:6" x14ac:dyDescent="0.25">
      <c r="A392" s="1" t="s">
        <v>1330</v>
      </c>
      <c r="B392" s="2">
        <v>45219.821527777778</v>
      </c>
      <c r="C392" s="3">
        <v>45219.821527777778</v>
      </c>
      <c r="D392" s="1" t="s">
        <v>1235</v>
      </c>
      <c r="E392">
        <v>31</v>
      </c>
      <c r="F392" s="1" t="s">
        <v>735</v>
      </c>
    </row>
    <row r="393" spans="1:6" x14ac:dyDescent="0.25">
      <c r="A393" s="1" t="s">
        <v>1288</v>
      </c>
      <c r="B393" s="2">
        <v>45219.818749999999</v>
      </c>
      <c r="C393" s="3">
        <v>45219.818749999999</v>
      </c>
      <c r="D393" s="1" t="s">
        <v>914</v>
      </c>
      <c r="E393">
        <v>99</v>
      </c>
      <c r="F393" s="1" t="s">
        <v>737</v>
      </c>
    </row>
    <row r="394" spans="1:6" x14ac:dyDescent="0.25">
      <c r="A394" s="1" t="s">
        <v>902</v>
      </c>
      <c r="B394" s="2">
        <v>45219.801388888889</v>
      </c>
      <c r="C394" s="3">
        <v>45219.801388888889</v>
      </c>
      <c r="D394" s="1" t="s">
        <v>912</v>
      </c>
      <c r="E394">
        <v>65</v>
      </c>
      <c r="F394" s="1" t="s">
        <v>735</v>
      </c>
    </row>
    <row r="395" spans="1:6" x14ac:dyDescent="0.25">
      <c r="A395" s="1" t="s">
        <v>1261</v>
      </c>
      <c r="B395" s="2">
        <v>45219.793749999997</v>
      </c>
      <c r="C395" s="3">
        <v>45219.793749999997</v>
      </c>
      <c r="D395" s="1" t="s">
        <v>1263</v>
      </c>
      <c r="E395">
        <v>43</v>
      </c>
      <c r="F395" s="1" t="s">
        <v>735</v>
      </c>
    </row>
    <row r="396" spans="1:6" x14ac:dyDescent="0.25">
      <c r="A396" s="1" t="s">
        <v>1165</v>
      </c>
      <c r="B396" s="2">
        <v>45219.793055555558</v>
      </c>
      <c r="C396" s="3">
        <v>45219.793055555558</v>
      </c>
      <c r="D396" s="1" t="s">
        <v>957</v>
      </c>
      <c r="E396">
        <v>9</v>
      </c>
      <c r="F396" s="1" t="s">
        <v>735</v>
      </c>
    </row>
    <row r="397" spans="1:6" x14ac:dyDescent="0.25">
      <c r="A397" s="1" t="s">
        <v>1219</v>
      </c>
      <c r="B397" s="2">
        <v>45219.753472222219</v>
      </c>
      <c r="C397" s="3">
        <v>45219.753472222219</v>
      </c>
      <c r="D397" s="1" t="s">
        <v>845</v>
      </c>
      <c r="E397">
        <v>77</v>
      </c>
      <c r="F397" s="1" t="s">
        <v>732</v>
      </c>
    </row>
    <row r="398" spans="1:6" x14ac:dyDescent="0.25">
      <c r="A398" s="1" t="s">
        <v>1024</v>
      </c>
      <c r="B398" s="2">
        <v>45219.683333333327</v>
      </c>
      <c r="C398" s="3">
        <v>45219.683333333327</v>
      </c>
      <c r="D398" s="1" t="s">
        <v>1028</v>
      </c>
      <c r="E398">
        <v>99</v>
      </c>
      <c r="F398" s="1" t="s">
        <v>735</v>
      </c>
    </row>
    <row r="399" spans="1:6" x14ac:dyDescent="0.25">
      <c r="A399" s="1" t="s">
        <v>1308</v>
      </c>
      <c r="B399" s="2">
        <v>45219.65625</v>
      </c>
      <c r="C399" s="3">
        <v>45219.65625</v>
      </c>
      <c r="D399" s="1" t="s">
        <v>1017</v>
      </c>
      <c r="E399">
        <v>118</v>
      </c>
      <c r="F399" s="1" t="s">
        <v>735</v>
      </c>
    </row>
    <row r="400" spans="1:6" x14ac:dyDescent="0.25">
      <c r="A400" s="1" t="s">
        <v>1114</v>
      </c>
      <c r="B400" s="2">
        <v>45219.636111111111</v>
      </c>
      <c r="C400" s="3">
        <v>45219.636111111111</v>
      </c>
      <c r="D400" s="1" t="s">
        <v>944</v>
      </c>
      <c r="E400">
        <v>49</v>
      </c>
      <c r="F400" s="1" t="s">
        <v>732</v>
      </c>
    </row>
    <row r="401" spans="1:6" x14ac:dyDescent="0.25">
      <c r="A401" s="1" t="s">
        <v>1114</v>
      </c>
      <c r="B401" s="2">
        <v>45219.633333333331</v>
      </c>
      <c r="C401" s="3">
        <v>45219.633333333331</v>
      </c>
      <c r="D401" s="1" t="s">
        <v>1132</v>
      </c>
      <c r="E401">
        <v>18</v>
      </c>
      <c r="F401" s="1" t="s">
        <v>737</v>
      </c>
    </row>
    <row r="402" spans="1:6" x14ac:dyDescent="0.25">
      <c r="A402" s="1" t="s">
        <v>1345</v>
      </c>
      <c r="B402" s="2">
        <v>45219.569444444453</v>
      </c>
      <c r="C402" s="3">
        <v>45219.569444444453</v>
      </c>
      <c r="D402" s="1" t="s">
        <v>1285</v>
      </c>
      <c r="E402">
        <v>96</v>
      </c>
      <c r="F402" s="1" t="s">
        <v>732</v>
      </c>
    </row>
    <row r="403" spans="1:6" x14ac:dyDescent="0.25">
      <c r="A403" s="1" t="s">
        <v>1219</v>
      </c>
      <c r="B403" s="2">
        <v>45219.527083333327</v>
      </c>
      <c r="C403" s="3">
        <v>45219.527083333327</v>
      </c>
      <c r="D403" s="1" t="s">
        <v>1139</v>
      </c>
      <c r="E403">
        <v>95</v>
      </c>
      <c r="F403" s="1" t="s">
        <v>732</v>
      </c>
    </row>
    <row r="404" spans="1:6" x14ac:dyDescent="0.25">
      <c r="A404" s="1" t="s">
        <v>1114</v>
      </c>
      <c r="B404" s="2">
        <v>45219.506249999999</v>
      </c>
      <c r="C404" s="3">
        <v>45219.506249999999</v>
      </c>
      <c r="D404" s="1" t="s">
        <v>875</v>
      </c>
      <c r="E404">
        <v>41</v>
      </c>
      <c r="F404" s="1" t="s">
        <v>735</v>
      </c>
    </row>
    <row r="405" spans="1:6" x14ac:dyDescent="0.25">
      <c r="A405" s="1" t="s">
        <v>1138</v>
      </c>
      <c r="B405" s="2">
        <v>45219.476388888892</v>
      </c>
      <c r="C405" s="3">
        <v>45219.476388888892</v>
      </c>
      <c r="D405" s="1" t="s">
        <v>739</v>
      </c>
      <c r="E405">
        <v>57</v>
      </c>
      <c r="F405" s="1" t="s">
        <v>732</v>
      </c>
    </row>
    <row r="406" spans="1:6" x14ac:dyDescent="0.25">
      <c r="A406" s="1" t="s">
        <v>1086</v>
      </c>
      <c r="B406" s="2">
        <v>45219.453472222223</v>
      </c>
      <c r="C406" s="3">
        <v>45219.453472222223</v>
      </c>
      <c r="D406" s="1" t="s">
        <v>1110</v>
      </c>
      <c r="E406">
        <v>52</v>
      </c>
      <c r="F406" s="1" t="s">
        <v>735</v>
      </c>
    </row>
    <row r="407" spans="1:6" x14ac:dyDescent="0.25">
      <c r="A407" s="1" t="s">
        <v>1382</v>
      </c>
      <c r="B407" s="2">
        <v>45219.438888888893</v>
      </c>
      <c r="C407" s="3">
        <v>45219.438888888893</v>
      </c>
      <c r="D407" s="1" t="s">
        <v>1388</v>
      </c>
      <c r="E407">
        <v>105</v>
      </c>
      <c r="F407" s="1" t="s">
        <v>735</v>
      </c>
    </row>
    <row r="408" spans="1:6" x14ac:dyDescent="0.25">
      <c r="A408" s="1" t="s">
        <v>823</v>
      </c>
      <c r="B408" s="2">
        <v>45219.420138888891</v>
      </c>
      <c r="C408" s="3">
        <v>45219.420138888891</v>
      </c>
      <c r="D408" s="1" t="s">
        <v>855</v>
      </c>
      <c r="E408">
        <v>63</v>
      </c>
      <c r="F408" s="1" t="s">
        <v>737</v>
      </c>
    </row>
    <row r="409" spans="1:6" x14ac:dyDescent="0.25">
      <c r="A409" s="1" t="s">
        <v>1138</v>
      </c>
      <c r="B409" s="2">
        <v>45219.301388888889</v>
      </c>
      <c r="C409" s="3">
        <v>45219.301388888889</v>
      </c>
      <c r="D409" s="1" t="s">
        <v>750</v>
      </c>
      <c r="E409">
        <v>65</v>
      </c>
      <c r="F409" s="1" t="s">
        <v>732</v>
      </c>
    </row>
    <row r="410" spans="1:6" x14ac:dyDescent="0.25">
      <c r="A410" s="1" t="s">
        <v>1024</v>
      </c>
      <c r="B410" s="2">
        <v>45219.181250000001</v>
      </c>
      <c r="C410" s="3">
        <v>45219.181250000001</v>
      </c>
      <c r="D410" s="1" t="s">
        <v>995</v>
      </c>
      <c r="E410">
        <v>97</v>
      </c>
      <c r="F410" s="1" t="s">
        <v>735</v>
      </c>
    </row>
    <row r="411" spans="1:6" x14ac:dyDescent="0.25">
      <c r="A411" s="1" t="s">
        <v>779</v>
      </c>
      <c r="B411" s="2">
        <v>45219.113194444442</v>
      </c>
      <c r="C411" s="3">
        <v>45219.113194444442</v>
      </c>
      <c r="D411" s="1" t="s">
        <v>809</v>
      </c>
      <c r="E411">
        <v>19</v>
      </c>
      <c r="F411" s="1" t="s">
        <v>732</v>
      </c>
    </row>
    <row r="412" spans="1:6" x14ac:dyDescent="0.25">
      <c r="A412" s="1" t="s">
        <v>1138</v>
      </c>
      <c r="B412" s="2">
        <v>45219.106249999997</v>
      </c>
      <c r="C412" s="3">
        <v>45219.106249999997</v>
      </c>
      <c r="D412" s="1" t="s">
        <v>1153</v>
      </c>
      <c r="E412">
        <v>87</v>
      </c>
      <c r="F412" s="1" t="s">
        <v>735</v>
      </c>
    </row>
    <row r="413" spans="1:6" x14ac:dyDescent="0.25">
      <c r="A413" s="1" t="s">
        <v>823</v>
      </c>
      <c r="B413" s="2">
        <v>45219.103472222218</v>
      </c>
      <c r="C413" s="3">
        <v>45219.103472222218</v>
      </c>
      <c r="D413" s="1" t="s">
        <v>860</v>
      </c>
      <c r="E413">
        <v>72</v>
      </c>
      <c r="F413" s="1" t="s">
        <v>735</v>
      </c>
    </row>
    <row r="414" spans="1:6" x14ac:dyDescent="0.25">
      <c r="A414" s="1" t="s">
        <v>779</v>
      </c>
      <c r="B414" s="2">
        <v>45219.101388888892</v>
      </c>
      <c r="C414" s="3">
        <v>45219.101388888892</v>
      </c>
      <c r="D414" s="1" t="s">
        <v>813</v>
      </c>
      <c r="E414">
        <v>75</v>
      </c>
      <c r="F414" s="1" t="s">
        <v>732</v>
      </c>
    </row>
    <row r="415" spans="1:6" x14ac:dyDescent="0.25">
      <c r="A415" s="1" t="s">
        <v>1404</v>
      </c>
      <c r="B415" s="2">
        <v>45219.095833333333</v>
      </c>
      <c r="C415" s="3">
        <v>45219.095833333333</v>
      </c>
      <c r="D415" s="1" t="s">
        <v>901</v>
      </c>
      <c r="E415">
        <v>113</v>
      </c>
      <c r="F415" s="1" t="s">
        <v>737</v>
      </c>
    </row>
    <row r="416" spans="1:6" x14ac:dyDescent="0.25">
      <c r="A416" s="1" t="s">
        <v>1024</v>
      </c>
      <c r="B416" s="2">
        <v>45219.076388888891</v>
      </c>
      <c r="C416" s="3">
        <v>45219.076388888891</v>
      </c>
      <c r="D416" s="1" t="s">
        <v>1040</v>
      </c>
      <c r="E416">
        <v>93</v>
      </c>
      <c r="F416" s="1" t="s">
        <v>737</v>
      </c>
    </row>
    <row r="417" spans="1:6" x14ac:dyDescent="0.25">
      <c r="A417" s="1" t="s">
        <v>1361</v>
      </c>
      <c r="B417" s="2">
        <v>45219.041666666657</v>
      </c>
      <c r="C417" s="3">
        <v>45219.041666666657</v>
      </c>
      <c r="D417" s="1" t="s">
        <v>895</v>
      </c>
      <c r="E417">
        <v>100</v>
      </c>
      <c r="F417" s="1" t="s">
        <v>737</v>
      </c>
    </row>
    <row r="418" spans="1:6" x14ac:dyDescent="0.25">
      <c r="A418" s="1" t="s">
        <v>1059</v>
      </c>
      <c r="B418" s="2">
        <v>45218.991666666669</v>
      </c>
      <c r="C418" s="3">
        <v>45218.991666666669</v>
      </c>
      <c r="D418" s="1" t="s">
        <v>1005</v>
      </c>
      <c r="E418">
        <v>82</v>
      </c>
      <c r="F418" s="1" t="s">
        <v>732</v>
      </c>
    </row>
    <row r="419" spans="1:6" x14ac:dyDescent="0.25">
      <c r="A419" s="1" t="s">
        <v>978</v>
      </c>
      <c r="B419" s="2">
        <v>45218.990277777782</v>
      </c>
      <c r="C419" s="3">
        <v>45218.990277777782</v>
      </c>
      <c r="D419" s="1" t="s">
        <v>981</v>
      </c>
      <c r="E419">
        <v>100</v>
      </c>
      <c r="F419" s="1" t="s">
        <v>732</v>
      </c>
    </row>
    <row r="420" spans="1:6" x14ac:dyDescent="0.25">
      <c r="A420" s="1" t="s">
        <v>1261</v>
      </c>
      <c r="B420" s="2">
        <v>45218.906944444447</v>
      </c>
      <c r="C420" s="3">
        <v>45218.906944444447</v>
      </c>
      <c r="D420" s="1" t="s">
        <v>960</v>
      </c>
      <c r="E420">
        <v>8</v>
      </c>
      <c r="F420" s="1" t="s">
        <v>737</v>
      </c>
    </row>
    <row r="421" spans="1:6" x14ac:dyDescent="0.25">
      <c r="A421" s="1" t="s">
        <v>1193</v>
      </c>
      <c r="B421" s="2">
        <v>45218.89166666667</v>
      </c>
      <c r="C421" s="3">
        <v>45218.89166666667</v>
      </c>
      <c r="D421" s="1" t="s">
        <v>812</v>
      </c>
      <c r="E421">
        <v>107</v>
      </c>
      <c r="F421" s="1" t="s">
        <v>735</v>
      </c>
    </row>
    <row r="422" spans="1:6" x14ac:dyDescent="0.25">
      <c r="A422" s="1" t="s">
        <v>861</v>
      </c>
      <c r="B422" s="2">
        <v>45218.875694444447</v>
      </c>
      <c r="C422" s="3">
        <v>45218.875694444447</v>
      </c>
      <c r="D422" s="1" t="s">
        <v>867</v>
      </c>
      <c r="E422">
        <v>39</v>
      </c>
      <c r="F422" s="1" t="s">
        <v>732</v>
      </c>
    </row>
    <row r="423" spans="1:6" x14ac:dyDescent="0.25">
      <c r="A423" s="1" t="s">
        <v>1345</v>
      </c>
      <c r="B423" s="2">
        <v>45218.794444444437</v>
      </c>
      <c r="C423" s="3">
        <v>45218.794444444437</v>
      </c>
      <c r="D423" s="1" t="s">
        <v>1349</v>
      </c>
      <c r="E423">
        <v>108</v>
      </c>
      <c r="F423" s="1" t="s">
        <v>732</v>
      </c>
    </row>
    <row r="424" spans="1:6" x14ac:dyDescent="0.25">
      <c r="A424" s="1" t="s">
        <v>779</v>
      </c>
      <c r="B424" s="2">
        <v>45218.793055555558</v>
      </c>
      <c r="C424" s="3">
        <v>45218.793055555558</v>
      </c>
      <c r="D424" s="1" t="s">
        <v>812</v>
      </c>
      <c r="E424">
        <v>100</v>
      </c>
      <c r="F424" s="1" t="s">
        <v>737</v>
      </c>
    </row>
    <row r="425" spans="1:6" x14ac:dyDescent="0.25">
      <c r="A425" s="1" t="s">
        <v>999</v>
      </c>
      <c r="B425" s="2">
        <v>45218.675694444442</v>
      </c>
      <c r="C425" s="3">
        <v>45218.675694444442</v>
      </c>
      <c r="D425" s="1" t="s">
        <v>888</v>
      </c>
      <c r="E425">
        <v>37</v>
      </c>
      <c r="F425" s="1" t="s">
        <v>737</v>
      </c>
    </row>
    <row r="426" spans="1:6" x14ac:dyDescent="0.25">
      <c r="A426" s="1" t="s">
        <v>1382</v>
      </c>
      <c r="B426" s="2">
        <v>45218.665972222218</v>
      </c>
      <c r="C426" s="3">
        <v>45218.665972222218</v>
      </c>
      <c r="D426" s="1" t="s">
        <v>1387</v>
      </c>
      <c r="E426">
        <v>90</v>
      </c>
      <c r="F426" s="1" t="s">
        <v>737</v>
      </c>
    </row>
    <row r="427" spans="1:6" x14ac:dyDescent="0.25">
      <c r="A427" s="1" t="s">
        <v>1241</v>
      </c>
      <c r="B427" s="2">
        <v>45218.659722222219</v>
      </c>
      <c r="C427" s="3">
        <v>45218.659722222219</v>
      </c>
      <c r="D427" s="1" t="s">
        <v>1248</v>
      </c>
      <c r="E427">
        <v>24</v>
      </c>
      <c r="F427" s="1" t="s">
        <v>732</v>
      </c>
    </row>
    <row r="428" spans="1:6" x14ac:dyDescent="0.25">
      <c r="A428" s="1" t="s">
        <v>999</v>
      </c>
      <c r="B428" s="2">
        <v>45218.647916666669</v>
      </c>
      <c r="C428" s="3">
        <v>45218.647916666669</v>
      </c>
      <c r="D428" s="1" t="s">
        <v>1021</v>
      </c>
      <c r="E428">
        <v>78</v>
      </c>
      <c r="F428" s="1" t="s">
        <v>732</v>
      </c>
    </row>
    <row r="429" spans="1:6" x14ac:dyDescent="0.25">
      <c r="A429" s="1" t="s">
        <v>779</v>
      </c>
      <c r="B429" s="2">
        <v>45218.635416666657</v>
      </c>
      <c r="C429" s="3">
        <v>45218.635416666657</v>
      </c>
      <c r="D429" s="1" t="s">
        <v>780</v>
      </c>
      <c r="E429">
        <v>17</v>
      </c>
      <c r="F429" s="1" t="s">
        <v>737</v>
      </c>
    </row>
    <row r="430" spans="1:6" x14ac:dyDescent="0.25">
      <c r="A430" s="1" t="s">
        <v>1114</v>
      </c>
      <c r="B430" s="2">
        <v>45218.631944444453</v>
      </c>
      <c r="C430" s="3">
        <v>45218.631944444453</v>
      </c>
      <c r="D430" s="1" t="s">
        <v>769</v>
      </c>
      <c r="E430">
        <v>42</v>
      </c>
      <c r="F430" s="1" t="s">
        <v>735</v>
      </c>
    </row>
    <row r="431" spans="1:6" x14ac:dyDescent="0.25">
      <c r="A431" s="1" t="s">
        <v>1345</v>
      </c>
      <c r="B431" s="2">
        <v>45218.589583333327</v>
      </c>
      <c r="C431" s="3">
        <v>45218.589583333327</v>
      </c>
      <c r="D431" s="1" t="s">
        <v>1246</v>
      </c>
      <c r="E431">
        <v>21</v>
      </c>
      <c r="F431" s="1" t="s">
        <v>732</v>
      </c>
    </row>
    <row r="432" spans="1:6" x14ac:dyDescent="0.25">
      <c r="A432" s="1" t="s">
        <v>1219</v>
      </c>
      <c r="B432" s="2">
        <v>45218.558333333327</v>
      </c>
      <c r="C432" s="3">
        <v>45218.558333333327</v>
      </c>
      <c r="D432" s="1" t="s">
        <v>924</v>
      </c>
      <c r="E432">
        <v>54</v>
      </c>
      <c r="F432" s="1" t="s">
        <v>737</v>
      </c>
    </row>
    <row r="433" spans="1:6" x14ac:dyDescent="0.25">
      <c r="A433" s="1" t="s">
        <v>1345</v>
      </c>
      <c r="B433" s="2">
        <v>45218.381944444453</v>
      </c>
      <c r="C433" s="3">
        <v>45218.381944444453</v>
      </c>
      <c r="D433" s="1" t="s">
        <v>739</v>
      </c>
      <c r="E433">
        <v>81</v>
      </c>
      <c r="F433" s="1" t="s">
        <v>735</v>
      </c>
    </row>
    <row r="434" spans="1:6" x14ac:dyDescent="0.25">
      <c r="A434" s="1" t="s">
        <v>902</v>
      </c>
      <c r="B434" s="2">
        <v>45218.378472222219</v>
      </c>
      <c r="C434" s="3">
        <v>45218.378472222219</v>
      </c>
      <c r="D434" s="1" t="s">
        <v>909</v>
      </c>
      <c r="E434">
        <v>102</v>
      </c>
      <c r="F434" s="1" t="s">
        <v>732</v>
      </c>
    </row>
    <row r="435" spans="1:6" x14ac:dyDescent="0.25">
      <c r="A435" s="1" t="s">
        <v>730</v>
      </c>
      <c r="B435" s="2">
        <v>45218.368750000001</v>
      </c>
      <c r="C435" s="3">
        <v>45218.368750000001</v>
      </c>
      <c r="D435" s="1" t="s">
        <v>745</v>
      </c>
      <c r="E435">
        <v>70</v>
      </c>
      <c r="F435" s="1" t="s">
        <v>732</v>
      </c>
    </row>
    <row r="436" spans="1:6" x14ac:dyDescent="0.25">
      <c r="A436" s="1" t="s">
        <v>1086</v>
      </c>
      <c r="B436" s="2">
        <v>45218.361805555563</v>
      </c>
      <c r="C436" s="3">
        <v>45218.361805555563</v>
      </c>
      <c r="D436" s="1" t="s">
        <v>776</v>
      </c>
      <c r="E436">
        <v>45</v>
      </c>
      <c r="F436" s="1" t="s">
        <v>737</v>
      </c>
    </row>
    <row r="437" spans="1:6" x14ac:dyDescent="0.25">
      <c r="A437" s="1" t="s">
        <v>823</v>
      </c>
      <c r="B437" s="2">
        <v>45218.334722222222</v>
      </c>
      <c r="C437" s="3">
        <v>45218.334722222222</v>
      </c>
      <c r="D437" s="1" t="s">
        <v>826</v>
      </c>
      <c r="E437">
        <v>85</v>
      </c>
      <c r="F437" s="1" t="s">
        <v>737</v>
      </c>
    </row>
    <row r="438" spans="1:6" x14ac:dyDescent="0.25">
      <c r="A438" s="1" t="s">
        <v>1404</v>
      </c>
      <c r="B438" s="2">
        <v>45218.331944444442</v>
      </c>
      <c r="C438" s="3">
        <v>45218.331944444442</v>
      </c>
      <c r="D438" s="1" t="s">
        <v>927</v>
      </c>
      <c r="E438">
        <v>15</v>
      </c>
      <c r="F438" s="1" t="s">
        <v>737</v>
      </c>
    </row>
    <row r="439" spans="1:6" x14ac:dyDescent="0.25">
      <c r="A439" s="1" t="s">
        <v>1241</v>
      </c>
      <c r="B439" s="2">
        <v>45218.314583333333</v>
      </c>
      <c r="C439" s="3">
        <v>45218.314583333333</v>
      </c>
      <c r="D439" s="1" t="s">
        <v>1255</v>
      </c>
      <c r="E439">
        <v>45</v>
      </c>
      <c r="F439" s="1" t="s">
        <v>732</v>
      </c>
    </row>
    <row r="440" spans="1:6" x14ac:dyDescent="0.25">
      <c r="A440" s="1" t="s">
        <v>1330</v>
      </c>
      <c r="B440" s="2">
        <v>45218.287499999999</v>
      </c>
      <c r="C440" s="3">
        <v>45218.287499999999</v>
      </c>
      <c r="D440" s="1" t="s">
        <v>1344</v>
      </c>
      <c r="E440">
        <v>71</v>
      </c>
      <c r="F440" s="1" t="s">
        <v>737</v>
      </c>
    </row>
    <row r="441" spans="1:6" x14ac:dyDescent="0.25">
      <c r="A441" s="1" t="s">
        <v>978</v>
      </c>
      <c r="B441" s="2">
        <v>45218.286111111112</v>
      </c>
      <c r="C441" s="3">
        <v>45218.286111111112</v>
      </c>
      <c r="D441" s="1" t="s">
        <v>994</v>
      </c>
      <c r="E441">
        <v>89</v>
      </c>
      <c r="F441" s="1" t="s">
        <v>732</v>
      </c>
    </row>
    <row r="442" spans="1:6" x14ac:dyDescent="0.25">
      <c r="A442" s="1" t="s">
        <v>861</v>
      </c>
      <c r="B442" s="2">
        <v>45218.270138888889</v>
      </c>
      <c r="C442" s="3">
        <v>45218.270138888889</v>
      </c>
      <c r="D442" s="1" t="s">
        <v>881</v>
      </c>
      <c r="E442">
        <v>40</v>
      </c>
      <c r="F442" s="1" t="s">
        <v>735</v>
      </c>
    </row>
    <row r="443" spans="1:6" x14ac:dyDescent="0.25">
      <c r="A443" s="1" t="s">
        <v>1086</v>
      </c>
      <c r="B443" s="2">
        <v>45218.242361111108</v>
      </c>
      <c r="C443" s="3">
        <v>45218.242361111108</v>
      </c>
      <c r="D443" s="1" t="s">
        <v>940</v>
      </c>
      <c r="E443">
        <v>64</v>
      </c>
      <c r="F443" s="1" t="s">
        <v>732</v>
      </c>
    </row>
    <row r="444" spans="1:6" x14ac:dyDescent="0.25">
      <c r="A444" s="1" t="s">
        <v>1382</v>
      </c>
      <c r="B444" s="2">
        <v>45218.240277777782</v>
      </c>
      <c r="C444" s="3">
        <v>45218.240277777782</v>
      </c>
      <c r="D444" s="1" t="s">
        <v>867</v>
      </c>
      <c r="E444">
        <v>53</v>
      </c>
      <c r="F444" s="1" t="s">
        <v>737</v>
      </c>
    </row>
    <row r="445" spans="1:6" x14ac:dyDescent="0.25">
      <c r="A445" s="1" t="s">
        <v>1138</v>
      </c>
      <c r="B445" s="2">
        <v>45218.127083333333</v>
      </c>
      <c r="C445" s="3">
        <v>45218.127083333333</v>
      </c>
      <c r="D445" s="1" t="s">
        <v>1007</v>
      </c>
      <c r="E445">
        <v>58</v>
      </c>
      <c r="F445" s="1" t="s">
        <v>735</v>
      </c>
    </row>
    <row r="446" spans="1:6" x14ac:dyDescent="0.25">
      <c r="A446" s="1" t="s">
        <v>1086</v>
      </c>
      <c r="B446" s="2">
        <v>45218.088888888888</v>
      </c>
      <c r="C446" s="3">
        <v>45218.088888888888</v>
      </c>
      <c r="D446" s="1" t="s">
        <v>1076</v>
      </c>
      <c r="E446">
        <v>12</v>
      </c>
      <c r="F446" s="1" t="s">
        <v>737</v>
      </c>
    </row>
    <row r="447" spans="1:6" x14ac:dyDescent="0.25">
      <c r="A447" s="1" t="s">
        <v>861</v>
      </c>
      <c r="B447" s="2">
        <v>45218.056944444441</v>
      </c>
      <c r="C447" s="3">
        <v>45218.056944444441</v>
      </c>
      <c r="D447" s="1" t="s">
        <v>895</v>
      </c>
      <c r="E447">
        <v>46</v>
      </c>
      <c r="F447" s="1" t="s">
        <v>737</v>
      </c>
    </row>
    <row r="448" spans="1:6" x14ac:dyDescent="0.25">
      <c r="A448" s="1" t="s">
        <v>1241</v>
      </c>
      <c r="B448" s="2">
        <v>45218.038194444453</v>
      </c>
      <c r="C448" s="3">
        <v>45218.038194444453</v>
      </c>
      <c r="D448" s="1" t="s">
        <v>809</v>
      </c>
      <c r="E448">
        <v>6</v>
      </c>
      <c r="F448" s="1" t="s">
        <v>732</v>
      </c>
    </row>
    <row r="449" spans="1:6" x14ac:dyDescent="0.25">
      <c r="A449" s="1" t="s">
        <v>1138</v>
      </c>
      <c r="B449" s="2">
        <v>45218.011111111111</v>
      </c>
      <c r="C449" s="3">
        <v>45218.011111111111</v>
      </c>
      <c r="D449" s="1" t="s">
        <v>1144</v>
      </c>
      <c r="E449">
        <v>59</v>
      </c>
      <c r="F449" s="1" t="s">
        <v>732</v>
      </c>
    </row>
    <row r="450" spans="1:6" x14ac:dyDescent="0.25">
      <c r="A450" s="1" t="s">
        <v>1330</v>
      </c>
      <c r="B450" s="2">
        <v>45218.007638888892</v>
      </c>
      <c r="C450" s="3">
        <v>45218.007638888892</v>
      </c>
      <c r="D450" s="1" t="s">
        <v>843</v>
      </c>
      <c r="E450">
        <v>44</v>
      </c>
      <c r="F450" s="1" t="s">
        <v>735</v>
      </c>
    </row>
    <row r="451" spans="1:6" x14ac:dyDescent="0.25">
      <c r="A451" s="1" t="s">
        <v>1308</v>
      </c>
      <c r="B451" s="2">
        <v>45217.999305555553</v>
      </c>
      <c r="C451" s="3">
        <v>45217.999305555553</v>
      </c>
      <c r="D451" s="1" t="s">
        <v>1038</v>
      </c>
      <c r="E451">
        <v>38</v>
      </c>
      <c r="F451" s="1" t="s">
        <v>735</v>
      </c>
    </row>
    <row r="452" spans="1:6" x14ac:dyDescent="0.25">
      <c r="A452" s="1" t="s">
        <v>730</v>
      </c>
      <c r="B452" s="2">
        <v>45217.96875</v>
      </c>
      <c r="C452" s="3">
        <v>45217.96875</v>
      </c>
      <c r="D452" s="1" t="s">
        <v>767</v>
      </c>
      <c r="E452">
        <v>97</v>
      </c>
      <c r="F452" s="1" t="s">
        <v>735</v>
      </c>
    </row>
    <row r="453" spans="1:6" x14ac:dyDescent="0.25">
      <c r="A453" s="1" t="s">
        <v>1382</v>
      </c>
      <c r="B453" s="2">
        <v>45217.944444444453</v>
      </c>
      <c r="C453" s="3">
        <v>45217.944444444453</v>
      </c>
      <c r="D453" s="1" t="s">
        <v>1394</v>
      </c>
      <c r="E453">
        <v>33</v>
      </c>
      <c r="F453" s="1" t="s">
        <v>732</v>
      </c>
    </row>
    <row r="454" spans="1:6" x14ac:dyDescent="0.25">
      <c r="A454" s="1" t="s">
        <v>1024</v>
      </c>
      <c r="B454" s="2">
        <v>45217.89166666667</v>
      </c>
      <c r="C454" s="3">
        <v>45217.89166666667</v>
      </c>
      <c r="D454" s="1" t="s">
        <v>1041</v>
      </c>
      <c r="E454">
        <v>108</v>
      </c>
      <c r="F454" s="1" t="s">
        <v>737</v>
      </c>
    </row>
    <row r="455" spans="1:6" x14ac:dyDescent="0.25">
      <c r="A455" s="1" t="s">
        <v>1165</v>
      </c>
      <c r="B455" s="2">
        <v>45217.863194444442</v>
      </c>
      <c r="C455" s="3">
        <v>45217.863194444442</v>
      </c>
      <c r="D455" s="1" t="s">
        <v>1191</v>
      </c>
      <c r="E455">
        <v>89</v>
      </c>
      <c r="F455" s="1" t="s">
        <v>732</v>
      </c>
    </row>
    <row r="456" spans="1:6" x14ac:dyDescent="0.25">
      <c r="A456" s="1" t="s">
        <v>999</v>
      </c>
      <c r="B456" s="2">
        <v>45217.818749999999</v>
      </c>
      <c r="C456" s="3">
        <v>45217.818749999999</v>
      </c>
      <c r="D456" s="1" t="s">
        <v>870</v>
      </c>
      <c r="E456">
        <v>100</v>
      </c>
      <c r="F456" s="1" t="s">
        <v>732</v>
      </c>
    </row>
    <row r="457" spans="1:6" x14ac:dyDescent="0.25">
      <c r="A457" s="1" t="s">
        <v>1165</v>
      </c>
      <c r="B457" s="2">
        <v>45217.775694444441</v>
      </c>
      <c r="C457" s="3">
        <v>45217.775694444441</v>
      </c>
      <c r="D457" s="1" t="s">
        <v>890</v>
      </c>
      <c r="E457">
        <v>84</v>
      </c>
      <c r="F457" s="1" t="s">
        <v>732</v>
      </c>
    </row>
    <row r="458" spans="1:6" x14ac:dyDescent="0.25">
      <c r="A458" s="1" t="s">
        <v>1241</v>
      </c>
      <c r="B458" s="2">
        <v>45217.755555555559</v>
      </c>
      <c r="C458" s="3">
        <v>45217.755555555559</v>
      </c>
      <c r="D458" s="1" t="s">
        <v>1247</v>
      </c>
      <c r="E458">
        <v>100</v>
      </c>
      <c r="F458" s="1" t="s">
        <v>732</v>
      </c>
    </row>
    <row r="459" spans="1:6" x14ac:dyDescent="0.25">
      <c r="A459" s="1" t="s">
        <v>1059</v>
      </c>
      <c r="B459" s="2">
        <v>45217.701388888891</v>
      </c>
      <c r="C459" s="3">
        <v>45217.701388888891</v>
      </c>
      <c r="D459" s="1" t="s">
        <v>870</v>
      </c>
      <c r="E459">
        <v>71</v>
      </c>
      <c r="F459" s="1" t="s">
        <v>735</v>
      </c>
    </row>
    <row r="460" spans="1:6" x14ac:dyDescent="0.25">
      <c r="A460" s="1" t="s">
        <v>1193</v>
      </c>
      <c r="B460" s="2">
        <v>45217.68472222222</v>
      </c>
      <c r="C460" s="3">
        <v>45217.68472222222</v>
      </c>
      <c r="D460" s="1" t="s">
        <v>931</v>
      </c>
      <c r="E460">
        <v>43</v>
      </c>
      <c r="F460" s="1" t="s">
        <v>732</v>
      </c>
    </row>
    <row r="461" spans="1:6" x14ac:dyDescent="0.25">
      <c r="A461" s="1" t="s">
        <v>1288</v>
      </c>
      <c r="B461" s="2">
        <v>45217.640277777777</v>
      </c>
      <c r="C461" s="3">
        <v>45217.640277777777</v>
      </c>
      <c r="D461" s="1" t="s">
        <v>1306</v>
      </c>
      <c r="E461">
        <v>113</v>
      </c>
      <c r="F461" s="1" t="s">
        <v>737</v>
      </c>
    </row>
    <row r="462" spans="1:6" x14ac:dyDescent="0.25">
      <c r="A462" s="1" t="s">
        <v>1288</v>
      </c>
      <c r="B462" s="2">
        <v>45217.627083333333</v>
      </c>
      <c r="C462" s="3">
        <v>45217.627083333333</v>
      </c>
      <c r="D462" s="1" t="s">
        <v>881</v>
      </c>
      <c r="E462">
        <v>33</v>
      </c>
      <c r="F462" s="1" t="s">
        <v>732</v>
      </c>
    </row>
    <row r="463" spans="1:6" x14ac:dyDescent="0.25">
      <c r="A463" s="1" t="s">
        <v>1382</v>
      </c>
      <c r="B463" s="2">
        <v>45217.578472222223</v>
      </c>
      <c r="C463" s="3">
        <v>45217.578472222223</v>
      </c>
      <c r="D463" s="1" t="s">
        <v>1386</v>
      </c>
      <c r="E463">
        <v>93</v>
      </c>
      <c r="F463" s="1" t="s">
        <v>735</v>
      </c>
    </row>
    <row r="464" spans="1:6" x14ac:dyDescent="0.25">
      <c r="A464" s="1" t="s">
        <v>861</v>
      </c>
      <c r="B464" s="2">
        <v>45217.570833333331</v>
      </c>
      <c r="C464" s="3">
        <v>45217.570833333331</v>
      </c>
      <c r="D464" s="1" t="s">
        <v>896</v>
      </c>
      <c r="E464">
        <v>28</v>
      </c>
      <c r="F464" s="1" t="s">
        <v>732</v>
      </c>
    </row>
    <row r="465" spans="1:6" x14ac:dyDescent="0.25">
      <c r="A465" s="1" t="s">
        <v>1241</v>
      </c>
      <c r="B465" s="2">
        <v>45217.509027777778</v>
      </c>
      <c r="C465" s="3">
        <v>45217.509027777778</v>
      </c>
      <c r="D465" s="1" t="s">
        <v>738</v>
      </c>
      <c r="E465">
        <v>49</v>
      </c>
      <c r="F465" s="1" t="s">
        <v>732</v>
      </c>
    </row>
    <row r="466" spans="1:6" x14ac:dyDescent="0.25">
      <c r="A466" s="1" t="s">
        <v>1308</v>
      </c>
      <c r="B466" s="2">
        <v>45217.504166666673</v>
      </c>
      <c r="C466" s="3">
        <v>45217.504166666673</v>
      </c>
      <c r="D466" s="1" t="s">
        <v>1040</v>
      </c>
      <c r="E466">
        <v>55</v>
      </c>
      <c r="F466" s="1" t="s">
        <v>737</v>
      </c>
    </row>
    <row r="467" spans="1:6" x14ac:dyDescent="0.25">
      <c r="A467" s="1" t="s">
        <v>1114</v>
      </c>
      <c r="B467" s="2">
        <v>45217.488194444442</v>
      </c>
      <c r="C467" s="3">
        <v>45217.488194444442</v>
      </c>
      <c r="D467" s="1" t="s">
        <v>1131</v>
      </c>
      <c r="E467">
        <v>94</v>
      </c>
      <c r="F467" s="1" t="s">
        <v>732</v>
      </c>
    </row>
    <row r="468" spans="1:6" x14ac:dyDescent="0.25">
      <c r="A468" s="1" t="s">
        <v>1330</v>
      </c>
      <c r="B468" s="2">
        <v>45217.473611111112</v>
      </c>
      <c r="C468" s="3">
        <v>45217.473611111112</v>
      </c>
      <c r="D468" s="1" t="s">
        <v>869</v>
      </c>
      <c r="E468">
        <v>37</v>
      </c>
      <c r="F468" s="1" t="s">
        <v>737</v>
      </c>
    </row>
    <row r="469" spans="1:6" x14ac:dyDescent="0.25">
      <c r="A469" s="1" t="s">
        <v>1086</v>
      </c>
      <c r="B469" s="2">
        <v>45217.414583333331</v>
      </c>
      <c r="C469" s="3">
        <v>45217.414583333331</v>
      </c>
      <c r="D469" s="1" t="s">
        <v>848</v>
      </c>
      <c r="E469">
        <v>74</v>
      </c>
      <c r="F469" s="1" t="s">
        <v>737</v>
      </c>
    </row>
    <row r="470" spans="1:6" x14ac:dyDescent="0.25">
      <c r="A470" s="1" t="s">
        <v>730</v>
      </c>
      <c r="B470" s="2">
        <v>45217.411805555559</v>
      </c>
      <c r="C470" s="3">
        <v>45217.411805555559</v>
      </c>
      <c r="D470" s="1" t="s">
        <v>755</v>
      </c>
      <c r="E470">
        <v>92</v>
      </c>
      <c r="F470" s="1" t="s">
        <v>737</v>
      </c>
    </row>
    <row r="471" spans="1:6" x14ac:dyDescent="0.25">
      <c r="A471" s="1" t="s">
        <v>1114</v>
      </c>
      <c r="B471" s="2">
        <v>45217.384722222218</v>
      </c>
      <c r="C471" s="3">
        <v>45217.384722222218</v>
      </c>
      <c r="D471" s="1" t="s">
        <v>1134</v>
      </c>
      <c r="E471">
        <v>99</v>
      </c>
      <c r="F471" s="1" t="s">
        <v>735</v>
      </c>
    </row>
    <row r="472" spans="1:6" x14ac:dyDescent="0.25">
      <c r="A472" s="1" t="s">
        <v>978</v>
      </c>
      <c r="B472" s="2">
        <v>45217.368750000001</v>
      </c>
      <c r="C472" s="3">
        <v>45217.368750000001</v>
      </c>
      <c r="D472" s="1" t="s">
        <v>995</v>
      </c>
      <c r="E472">
        <v>8</v>
      </c>
      <c r="F472" s="1" t="s">
        <v>732</v>
      </c>
    </row>
    <row r="473" spans="1:6" x14ac:dyDescent="0.25">
      <c r="A473" s="1" t="s">
        <v>1382</v>
      </c>
      <c r="B473" s="2">
        <v>45217.324305555558</v>
      </c>
      <c r="C473" s="3">
        <v>45217.324305555558</v>
      </c>
      <c r="D473" s="1" t="s">
        <v>1402</v>
      </c>
      <c r="E473">
        <v>14</v>
      </c>
      <c r="F473" s="1" t="s">
        <v>735</v>
      </c>
    </row>
    <row r="474" spans="1:6" x14ac:dyDescent="0.25">
      <c r="A474" s="1" t="s">
        <v>730</v>
      </c>
      <c r="B474" s="2">
        <v>45217.321527777778</v>
      </c>
      <c r="C474" s="3">
        <v>45217.321527777778</v>
      </c>
      <c r="D474" s="1" t="s">
        <v>770</v>
      </c>
      <c r="E474">
        <v>118</v>
      </c>
      <c r="F474" s="1" t="s">
        <v>735</v>
      </c>
    </row>
    <row r="475" spans="1:6" x14ac:dyDescent="0.25">
      <c r="A475" s="1" t="s">
        <v>1288</v>
      </c>
      <c r="B475" s="2">
        <v>45217.29583333333</v>
      </c>
      <c r="C475" s="3">
        <v>45217.29583333333</v>
      </c>
      <c r="D475" s="1" t="s">
        <v>1290</v>
      </c>
      <c r="E475">
        <v>119</v>
      </c>
      <c r="F475" s="1" t="s">
        <v>732</v>
      </c>
    </row>
    <row r="476" spans="1:6" x14ac:dyDescent="0.25">
      <c r="A476" s="1" t="s">
        <v>730</v>
      </c>
      <c r="B476" s="2">
        <v>45217.28125</v>
      </c>
      <c r="C476" s="3">
        <v>45217.28125</v>
      </c>
      <c r="D476" s="1" t="s">
        <v>742</v>
      </c>
      <c r="E476">
        <v>51</v>
      </c>
      <c r="F476" s="1" t="s">
        <v>735</v>
      </c>
    </row>
    <row r="477" spans="1:6" x14ac:dyDescent="0.25">
      <c r="A477" s="1" t="s">
        <v>1086</v>
      </c>
      <c r="B477" s="2">
        <v>45217.193749999999</v>
      </c>
      <c r="C477" s="3">
        <v>45217.193749999999</v>
      </c>
      <c r="D477" s="1" t="s">
        <v>1040</v>
      </c>
      <c r="E477">
        <v>56</v>
      </c>
      <c r="F477" s="1" t="s">
        <v>732</v>
      </c>
    </row>
    <row r="478" spans="1:6" x14ac:dyDescent="0.25">
      <c r="A478" s="1" t="s">
        <v>823</v>
      </c>
      <c r="B478" s="2">
        <v>45217.175000000003</v>
      </c>
      <c r="C478" s="3">
        <v>45217.175000000003</v>
      </c>
      <c r="D478" s="1" t="s">
        <v>843</v>
      </c>
      <c r="E478">
        <v>18</v>
      </c>
      <c r="F478" s="1" t="s">
        <v>737</v>
      </c>
    </row>
    <row r="479" spans="1:6" x14ac:dyDescent="0.25">
      <c r="A479" s="1" t="s">
        <v>1138</v>
      </c>
      <c r="B479" s="2">
        <v>45217.173611111109</v>
      </c>
      <c r="C479" s="3">
        <v>45217.173611111109</v>
      </c>
      <c r="D479" s="1" t="s">
        <v>866</v>
      </c>
      <c r="E479">
        <v>53</v>
      </c>
      <c r="F479" s="1" t="s">
        <v>735</v>
      </c>
    </row>
    <row r="480" spans="1:6" x14ac:dyDescent="0.25">
      <c r="A480" s="1" t="s">
        <v>730</v>
      </c>
      <c r="B480" s="2">
        <v>45217.109027777777</v>
      </c>
      <c r="C480" s="3">
        <v>45217.109027777777</v>
      </c>
      <c r="D480" s="1" t="s">
        <v>738</v>
      </c>
      <c r="E480">
        <v>59</v>
      </c>
      <c r="F480" s="1" t="s">
        <v>732</v>
      </c>
    </row>
    <row r="481" spans="1:6" x14ac:dyDescent="0.25">
      <c r="A481" s="1" t="s">
        <v>939</v>
      </c>
      <c r="B481" s="2">
        <v>45217.068749999999</v>
      </c>
      <c r="C481" s="3">
        <v>45217.068749999999</v>
      </c>
      <c r="D481" s="1" t="s">
        <v>957</v>
      </c>
      <c r="E481">
        <v>77</v>
      </c>
      <c r="F481" s="1" t="s">
        <v>737</v>
      </c>
    </row>
    <row r="482" spans="1:6" x14ac:dyDescent="0.25">
      <c r="A482" s="1" t="s">
        <v>1404</v>
      </c>
      <c r="B482" s="2">
        <v>45217.02847222222</v>
      </c>
      <c r="C482" s="3">
        <v>45217.02847222222</v>
      </c>
      <c r="D482" s="1" t="s">
        <v>1045</v>
      </c>
      <c r="E482">
        <v>120</v>
      </c>
      <c r="F482" s="1" t="s">
        <v>737</v>
      </c>
    </row>
    <row r="483" spans="1:6" x14ac:dyDescent="0.25">
      <c r="A483" s="1" t="s">
        <v>1059</v>
      </c>
      <c r="B483" s="2">
        <v>45217.027777777781</v>
      </c>
      <c r="C483" s="3">
        <v>45217.027777777781</v>
      </c>
      <c r="D483" s="1" t="s">
        <v>913</v>
      </c>
      <c r="E483">
        <v>54</v>
      </c>
      <c r="F483" s="1" t="s">
        <v>735</v>
      </c>
    </row>
    <row r="484" spans="1:6" x14ac:dyDescent="0.25">
      <c r="A484" s="1" t="s">
        <v>1241</v>
      </c>
      <c r="B484" s="2">
        <v>45216.970138888893</v>
      </c>
      <c r="C484" s="3">
        <v>45216.970138888893</v>
      </c>
      <c r="D484" s="1" t="s">
        <v>1057</v>
      </c>
      <c r="E484">
        <v>13</v>
      </c>
      <c r="F484" s="1" t="s">
        <v>737</v>
      </c>
    </row>
    <row r="485" spans="1:6" x14ac:dyDescent="0.25">
      <c r="A485" s="1" t="s">
        <v>1382</v>
      </c>
      <c r="B485" s="2">
        <v>45216.960416666669</v>
      </c>
      <c r="C485" s="3">
        <v>45216.960416666669</v>
      </c>
      <c r="D485" s="1" t="s">
        <v>1385</v>
      </c>
      <c r="E485">
        <v>41</v>
      </c>
      <c r="F485" s="1" t="s">
        <v>735</v>
      </c>
    </row>
    <row r="486" spans="1:6" x14ac:dyDescent="0.25">
      <c r="A486" s="1" t="s">
        <v>1138</v>
      </c>
      <c r="B486" s="2">
        <v>45216.950694444437</v>
      </c>
      <c r="C486" s="3">
        <v>45216.950694444437</v>
      </c>
      <c r="D486" s="1" t="s">
        <v>733</v>
      </c>
      <c r="E486">
        <v>12</v>
      </c>
      <c r="F486" s="1" t="s">
        <v>732</v>
      </c>
    </row>
    <row r="487" spans="1:6" x14ac:dyDescent="0.25">
      <c r="A487" s="1" t="s">
        <v>823</v>
      </c>
      <c r="B487" s="2">
        <v>45216.902777777781</v>
      </c>
      <c r="C487" s="3">
        <v>45216.902777777781</v>
      </c>
      <c r="D487" s="1" t="s">
        <v>854</v>
      </c>
      <c r="E487">
        <v>20</v>
      </c>
      <c r="F487" s="1" t="s">
        <v>737</v>
      </c>
    </row>
    <row r="488" spans="1:6" x14ac:dyDescent="0.25">
      <c r="A488" s="1" t="s">
        <v>1114</v>
      </c>
      <c r="B488" s="2">
        <v>45216.865277777782</v>
      </c>
      <c r="C488" s="3">
        <v>45216.865277777782</v>
      </c>
      <c r="D488" s="1" t="s">
        <v>1125</v>
      </c>
      <c r="E488">
        <v>10</v>
      </c>
      <c r="F488" s="1" t="s">
        <v>735</v>
      </c>
    </row>
    <row r="489" spans="1:6" x14ac:dyDescent="0.25">
      <c r="A489" s="1" t="s">
        <v>730</v>
      </c>
      <c r="B489" s="2">
        <v>45216.792361111111</v>
      </c>
      <c r="C489" s="3">
        <v>45216.792361111111</v>
      </c>
      <c r="D489" s="1" t="s">
        <v>741</v>
      </c>
      <c r="E489">
        <v>56</v>
      </c>
      <c r="F489" s="1" t="s">
        <v>732</v>
      </c>
    </row>
    <row r="490" spans="1:6" x14ac:dyDescent="0.25">
      <c r="A490" s="1" t="s">
        <v>939</v>
      </c>
      <c r="B490" s="2">
        <v>45216.76458333333</v>
      </c>
      <c r="C490" s="3">
        <v>45216.76458333333</v>
      </c>
      <c r="D490" s="1" t="s">
        <v>810</v>
      </c>
      <c r="E490">
        <v>53</v>
      </c>
      <c r="F490" s="1" t="s">
        <v>735</v>
      </c>
    </row>
    <row r="491" spans="1:6" x14ac:dyDescent="0.25">
      <c r="A491" s="1" t="s">
        <v>1059</v>
      </c>
      <c r="B491" s="2">
        <v>45216.760416666657</v>
      </c>
      <c r="C491" s="3">
        <v>45216.760416666657</v>
      </c>
      <c r="D491" s="1" t="s">
        <v>1063</v>
      </c>
      <c r="E491">
        <v>48</v>
      </c>
      <c r="F491" s="1" t="s">
        <v>732</v>
      </c>
    </row>
    <row r="492" spans="1:6" x14ac:dyDescent="0.25">
      <c r="A492" s="1" t="s">
        <v>902</v>
      </c>
      <c r="B492" s="2">
        <v>45216.729861111111</v>
      </c>
      <c r="C492" s="3">
        <v>45216.729861111111</v>
      </c>
      <c r="D492" s="1" t="s">
        <v>935</v>
      </c>
      <c r="E492">
        <v>109</v>
      </c>
      <c r="F492" s="1" t="s">
        <v>737</v>
      </c>
    </row>
    <row r="493" spans="1:6" x14ac:dyDescent="0.25">
      <c r="A493" s="1" t="s">
        <v>1114</v>
      </c>
      <c r="B493" s="2">
        <v>45216.729861111111</v>
      </c>
      <c r="C493" s="3">
        <v>45216.729861111111</v>
      </c>
      <c r="D493" s="1" t="s">
        <v>916</v>
      </c>
      <c r="E493">
        <v>78</v>
      </c>
      <c r="F493" s="1" t="s">
        <v>735</v>
      </c>
    </row>
    <row r="494" spans="1:6" x14ac:dyDescent="0.25">
      <c r="A494" s="1" t="s">
        <v>1059</v>
      </c>
      <c r="B494" s="2">
        <v>45216.709027777782</v>
      </c>
      <c r="C494" s="3">
        <v>45216.709027777782</v>
      </c>
      <c r="D494" s="1" t="s">
        <v>1068</v>
      </c>
      <c r="E494">
        <v>39</v>
      </c>
      <c r="F494" s="1" t="s">
        <v>732</v>
      </c>
    </row>
    <row r="495" spans="1:6" x14ac:dyDescent="0.25">
      <c r="A495" s="1" t="s">
        <v>1261</v>
      </c>
      <c r="B495" s="2">
        <v>45216.701388888891</v>
      </c>
      <c r="C495" s="3">
        <v>45216.701388888891</v>
      </c>
      <c r="D495" s="1" t="s">
        <v>862</v>
      </c>
      <c r="E495">
        <v>80</v>
      </c>
      <c r="F495" s="1" t="s">
        <v>732</v>
      </c>
    </row>
    <row r="496" spans="1:6" x14ac:dyDescent="0.25">
      <c r="A496" s="1" t="s">
        <v>1024</v>
      </c>
      <c r="B496" s="2">
        <v>45216.693749999999</v>
      </c>
      <c r="C496" s="3">
        <v>45216.693749999999</v>
      </c>
      <c r="D496" s="1" t="s">
        <v>851</v>
      </c>
      <c r="E496">
        <v>24</v>
      </c>
      <c r="F496" s="1" t="s">
        <v>737</v>
      </c>
    </row>
    <row r="497" spans="1:6" x14ac:dyDescent="0.25">
      <c r="A497" s="1" t="s">
        <v>779</v>
      </c>
      <c r="B497" s="2">
        <v>45216.673611111109</v>
      </c>
      <c r="C497" s="3">
        <v>45216.673611111109</v>
      </c>
      <c r="D497" s="1" t="s">
        <v>806</v>
      </c>
      <c r="E497">
        <v>117</v>
      </c>
      <c r="F497" s="1" t="s">
        <v>732</v>
      </c>
    </row>
    <row r="498" spans="1:6" x14ac:dyDescent="0.25">
      <c r="A498" s="1" t="s">
        <v>939</v>
      </c>
      <c r="B498" s="2">
        <v>45216.583333333343</v>
      </c>
      <c r="C498" s="3">
        <v>45216.583333333343</v>
      </c>
      <c r="D498" s="1" t="s">
        <v>948</v>
      </c>
      <c r="E498">
        <v>78</v>
      </c>
      <c r="F498" s="1" t="s">
        <v>737</v>
      </c>
    </row>
    <row r="499" spans="1:6" x14ac:dyDescent="0.25">
      <c r="A499" s="1" t="s">
        <v>1114</v>
      </c>
      <c r="B499" s="2">
        <v>45216.513888888891</v>
      </c>
      <c r="C499" s="3">
        <v>45216.513888888891</v>
      </c>
      <c r="D499" s="1" t="s">
        <v>1130</v>
      </c>
      <c r="E499">
        <v>73</v>
      </c>
      <c r="F499" s="1" t="s">
        <v>735</v>
      </c>
    </row>
    <row r="500" spans="1:6" x14ac:dyDescent="0.25">
      <c r="A500" s="1" t="s">
        <v>1086</v>
      </c>
      <c r="B500" s="2">
        <v>45216.463888888888</v>
      </c>
      <c r="C500" s="3">
        <v>45216.463888888888</v>
      </c>
      <c r="D500" s="1" t="s">
        <v>1052</v>
      </c>
      <c r="E500">
        <v>58</v>
      </c>
      <c r="F500" s="1" t="s">
        <v>732</v>
      </c>
    </row>
    <row r="501" spans="1:6" x14ac:dyDescent="0.25">
      <c r="A501" s="1" t="s">
        <v>1261</v>
      </c>
      <c r="B501" s="2">
        <v>45216.460416666669</v>
      </c>
      <c r="C501" s="3">
        <v>45216.460416666669</v>
      </c>
      <c r="D501" s="1" t="s">
        <v>1273</v>
      </c>
      <c r="E501">
        <v>36</v>
      </c>
      <c r="F501" s="1" t="s">
        <v>737</v>
      </c>
    </row>
    <row r="502" spans="1:6" x14ac:dyDescent="0.25">
      <c r="A502" s="1" t="s">
        <v>1024</v>
      </c>
      <c r="B502" s="2">
        <v>45216.459027777782</v>
      </c>
      <c r="C502" s="3">
        <v>45216.459027777782</v>
      </c>
      <c r="D502" s="1" t="s">
        <v>880</v>
      </c>
      <c r="E502">
        <v>100</v>
      </c>
      <c r="F502" s="1" t="s">
        <v>735</v>
      </c>
    </row>
    <row r="503" spans="1:6" x14ac:dyDescent="0.25">
      <c r="A503" s="1" t="s">
        <v>779</v>
      </c>
      <c r="B503" s="2">
        <v>45216.457638888889</v>
      </c>
      <c r="C503" s="3">
        <v>45216.457638888889</v>
      </c>
      <c r="D503" s="1" t="s">
        <v>815</v>
      </c>
      <c r="E503">
        <v>39</v>
      </c>
      <c r="F503" s="1" t="s">
        <v>732</v>
      </c>
    </row>
    <row r="504" spans="1:6" x14ac:dyDescent="0.25">
      <c r="A504" s="1" t="s">
        <v>1345</v>
      </c>
      <c r="B504" s="2">
        <v>45216.435416666667</v>
      </c>
      <c r="C504" s="3">
        <v>45216.435416666667</v>
      </c>
      <c r="D504" s="1" t="s">
        <v>1198</v>
      </c>
      <c r="E504">
        <v>88</v>
      </c>
      <c r="F504" s="1" t="s">
        <v>732</v>
      </c>
    </row>
    <row r="505" spans="1:6" x14ac:dyDescent="0.25">
      <c r="A505" s="1" t="s">
        <v>1345</v>
      </c>
      <c r="B505" s="2">
        <v>45216.393055555563</v>
      </c>
      <c r="C505" s="3">
        <v>45216.393055555563</v>
      </c>
      <c r="D505" s="1" t="s">
        <v>1351</v>
      </c>
      <c r="E505">
        <v>34</v>
      </c>
      <c r="F505" s="1" t="s">
        <v>737</v>
      </c>
    </row>
    <row r="506" spans="1:6" x14ac:dyDescent="0.25">
      <c r="A506" s="1" t="s">
        <v>1138</v>
      </c>
      <c r="B506" s="2">
        <v>45216.275000000001</v>
      </c>
      <c r="C506" s="3">
        <v>45216.275000000001</v>
      </c>
      <c r="D506" s="1" t="s">
        <v>1156</v>
      </c>
      <c r="E506">
        <v>119</v>
      </c>
      <c r="F506" s="1" t="s">
        <v>737</v>
      </c>
    </row>
    <row r="507" spans="1:6" x14ac:dyDescent="0.25">
      <c r="A507" s="1" t="s">
        <v>1114</v>
      </c>
      <c r="B507" s="2">
        <v>45216.274305555547</v>
      </c>
      <c r="C507" s="3">
        <v>45216.274305555547</v>
      </c>
      <c r="D507" s="1" t="s">
        <v>1124</v>
      </c>
      <c r="E507">
        <v>30</v>
      </c>
      <c r="F507" s="1" t="s">
        <v>735</v>
      </c>
    </row>
    <row r="508" spans="1:6" x14ac:dyDescent="0.25">
      <c r="A508" s="1" t="s">
        <v>999</v>
      </c>
      <c r="B508" s="2">
        <v>45216.26666666667</v>
      </c>
      <c r="C508" s="3">
        <v>45216.26666666667</v>
      </c>
      <c r="D508" s="1" t="s">
        <v>890</v>
      </c>
      <c r="E508">
        <v>90</v>
      </c>
      <c r="F508" s="1" t="s">
        <v>737</v>
      </c>
    </row>
    <row r="509" spans="1:6" x14ac:dyDescent="0.25">
      <c r="A509" s="1" t="s">
        <v>1219</v>
      </c>
      <c r="B509" s="2">
        <v>45216.232638888891</v>
      </c>
      <c r="C509" s="3">
        <v>45216.232638888891</v>
      </c>
      <c r="D509" s="1" t="s">
        <v>1229</v>
      </c>
      <c r="E509">
        <v>11</v>
      </c>
      <c r="F509" s="1" t="s">
        <v>737</v>
      </c>
    </row>
    <row r="510" spans="1:6" x14ac:dyDescent="0.25">
      <c r="A510" s="1" t="s">
        <v>1165</v>
      </c>
      <c r="B510" s="2">
        <v>45216.183333333327</v>
      </c>
      <c r="C510" s="3">
        <v>45216.183333333327</v>
      </c>
      <c r="D510" s="1" t="s">
        <v>1038</v>
      </c>
      <c r="E510">
        <v>67</v>
      </c>
      <c r="F510" s="1" t="s">
        <v>735</v>
      </c>
    </row>
    <row r="511" spans="1:6" x14ac:dyDescent="0.25">
      <c r="A511" s="1" t="s">
        <v>1219</v>
      </c>
      <c r="B511" s="2">
        <v>45216.181944444441</v>
      </c>
      <c r="C511" s="3">
        <v>45216.181944444441</v>
      </c>
      <c r="D511" s="1" t="s">
        <v>1221</v>
      </c>
      <c r="E511">
        <v>86</v>
      </c>
      <c r="F511" s="1" t="s">
        <v>735</v>
      </c>
    </row>
    <row r="512" spans="1:6" x14ac:dyDescent="0.25">
      <c r="A512" s="1" t="s">
        <v>823</v>
      </c>
      <c r="B512" s="2">
        <v>45216.14166666667</v>
      </c>
      <c r="C512" s="3">
        <v>45216.14166666667</v>
      </c>
      <c r="D512" s="1" t="s">
        <v>830</v>
      </c>
      <c r="E512">
        <v>94</v>
      </c>
      <c r="F512" s="1" t="s">
        <v>732</v>
      </c>
    </row>
    <row r="513" spans="1:6" x14ac:dyDescent="0.25">
      <c r="A513" s="1" t="s">
        <v>1404</v>
      </c>
      <c r="B513" s="2">
        <v>45216.137499999997</v>
      </c>
      <c r="C513" s="3">
        <v>45216.137499999997</v>
      </c>
      <c r="D513" s="1" t="s">
        <v>1410</v>
      </c>
      <c r="E513">
        <v>120</v>
      </c>
      <c r="F513" s="1" t="s">
        <v>735</v>
      </c>
    </row>
    <row r="514" spans="1:6" x14ac:dyDescent="0.25">
      <c r="A514" s="1" t="s">
        <v>1261</v>
      </c>
      <c r="B514" s="2">
        <v>45216.094444444447</v>
      </c>
      <c r="C514" s="3">
        <v>45216.094444444447</v>
      </c>
      <c r="D514" s="1" t="s">
        <v>1270</v>
      </c>
      <c r="E514">
        <v>74</v>
      </c>
      <c r="F514" s="1" t="s">
        <v>732</v>
      </c>
    </row>
    <row r="515" spans="1:6" x14ac:dyDescent="0.25">
      <c r="A515" s="1" t="s">
        <v>1086</v>
      </c>
      <c r="B515" s="2">
        <v>45216.078472222223</v>
      </c>
      <c r="C515" s="3">
        <v>45216.078472222223</v>
      </c>
      <c r="D515" s="1" t="s">
        <v>1103</v>
      </c>
      <c r="E515">
        <v>48</v>
      </c>
      <c r="F515" s="1" t="s">
        <v>735</v>
      </c>
    </row>
    <row r="516" spans="1:6" x14ac:dyDescent="0.25">
      <c r="A516" s="1" t="s">
        <v>1261</v>
      </c>
      <c r="B516" s="2">
        <v>45216.001388888893</v>
      </c>
      <c r="C516" s="3">
        <v>45216.001388888893</v>
      </c>
      <c r="D516" s="1" t="s">
        <v>1278</v>
      </c>
      <c r="E516">
        <v>74</v>
      </c>
      <c r="F516" s="1" t="s">
        <v>737</v>
      </c>
    </row>
    <row r="517" spans="1:6" x14ac:dyDescent="0.25">
      <c r="A517" s="1" t="s">
        <v>1114</v>
      </c>
      <c r="B517" s="2">
        <v>45215.990277777782</v>
      </c>
      <c r="C517" s="3">
        <v>45215.990277777782</v>
      </c>
      <c r="D517" s="1" t="s">
        <v>1042</v>
      </c>
      <c r="E517">
        <v>66</v>
      </c>
      <c r="F517" s="1" t="s">
        <v>737</v>
      </c>
    </row>
    <row r="518" spans="1:6" x14ac:dyDescent="0.25">
      <c r="A518" s="1" t="s">
        <v>861</v>
      </c>
      <c r="B518" s="2">
        <v>45215.879861111112</v>
      </c>
      <c r="C518" s="3">
        <v>45215.879861111112</v>
      </c>
      <c r="D518" s="1" t="s">
        <v>880</v>
      </c>
      <c r="E518">
        <v>16</v>
      </c>
      <c r="F518" s="1" t="s">
        <v>735</v>
      </c>
    </row>
    <row r="519" spans="1:6" x14ac:dyDescent="0.25">
      <c r="A519" s="1" t="s">
        <v>999</v>
      </c>
      <c r="B519" s="2">
        <v>45215.811111111107</v>
      </c>
      <c r="C519" s="3">
        <v>45215.811111111107</v>
      </c>
      <c r="D519" s="1" t="s">
        <v>899</v>
      </c>
      <c r="E519">
        <v>7</v>
      </c>
      <c r="F519" s="1" t="s">
        <v>737</v>
      </c>
    </row>
    <row r="520" spans="1:6" x14ac:dyDescent="0.25">
      <c r="A520" s="1" t="s">
        <v>1330</v>
      </c>
      <c r="B520" s="2">
        <v>45215.811111111107</v>
      </c>
      <c r="C520" s="3">
        <v>45215.811111111107</v>
      </c>
      <c r="D520" s="1" t="s">
        <v>918</v>
      </c>
      <c r="E520">
        <v>49</v>
      </c>
      <c r="F520" s="1" t="s">
        <v>735</v>
      </c>
    </row>
    <row r="521" spans="1:6" x14ac:dyDescent="0.25">
      <c r="A521" s="1" t="s">
        <v>1330</v>
      </c>
      <c r="B521" s="2">
        <v>45215.776388888888</v>
      </c>
      <c r="C521" s="3">
        <v>45215.776388888888</v>
      </c>
      <c r="D521" s="1" t="s">
        <v>1331</v>
      </c>
      <c r="E521">
        <v>87</v>
      </c>
      <c r="F521" s="1" t="s">
        <v>737</v>
      </c>
    </row>
    <row r="522" spans="1:6" x14ac:dyDescent="0.25">
      <c r="A522" s="1" t="s">
        <v>1382</v>
      </c>
      <c r="B522" s="2">
        <v>45215.775000000001</v>
      </c>
      <c r="C522" s="3">
        <v>45215.775000000001</v>
      </c>
      <c r="D522" s="1" t="s">
        <v>1094</v>
      </c>
      <c r="E522">
        <v>95</v>
      </c>
      <c r="F522" s="1" t="s">
        <v>735</v>
      </c>
    </row>
    <row r="523" spans="1:6" x14ac:dyDescent="0.25">
      <c r="A523" s="1" t="s">
        <v>1261</v>
      </c>
      <c r="B523" s="2">
        <v>45215.756944444453</v>
      </c>
      <c r="C523" s="3">
        <v>45215.756944444453</v>
      </c>
      <c r="D523" s="1" t="s">
        <v>1274</v>
      </c>
      <c r="E523">
        <v>24</v>
      </c>
      <c r="F523" s="1" t="s">
        <v>737</v>
      </c>
    </row>
    <row r="524" spans="1:6" x14ac:dyDescent="0.25">
      <c r="A524" s="1" t="s">
        <v>1138</v>
      </c>
      <c r="B524" s="2">
        <v>45215.743750000001</v>
      </c>
      <c r="C524" s="3">
        <v>45215.743750000001</v>
      </c>
      <c r="D524" s="1" t="s">
        <v>1150</v>
      </c>
      <c r="E524">
        <v>103</v>
      </c>
      <c r="F524" s="1" t="s">
        <v>732</v>
      </c>
    </row>
    <row r="525" spans="1:6" x14ac:dyDescent="0.25">
      <c r="A525" s="1" t="s">
        <v>1330</v>
      </c>
      <c r="B525" s="2">
        <v>45215.704861111109</v>
      </c>
      <c r="C525" s="3">
        <v>45215.704861111109</v>
      </c>
      <c r="D525" s="1" t="s">
        <v>975</v>
      </c>
      <c r="E525">
        <v>107</v>
      </c>
      <c r="F525" s="1" t="s">
        <v>732</v>
      </c>
    </row>
    <row r="526" spans="1:6" x14ac:dyDescent="0.25">
      <c r="A526" s="1" t="s">
        <v>1024</v>
      </c>
      <c r="B526" s="2">
        <v>45215.67291666667</v>
      </c>
      <c r="C526" s="3">
        <v>45215.67291666667</v>
      </c>
      <c r="D526" s="1" t="s">
        <v>778</v>
      </c>
      <c r="E526">
        <v>117</v>
      </c>
      <c r="F526" s="1" t="s">
        <v>737</v>
      </c>
    </row>
    <row r="527" spans="1:6" x14ac:dyDescent="0.25">
      <c r="A527" s="1" t="s">
        <v>902</v>
      </c>
      <c r="B527" s="2">
        <v>45215.597916666673</v>
      </c>
      <c r="C527" s="3">
        <v>45215.597916666673</v>
      </c>
      <c r="D527" s="1" t="s">
        <v>903</v>
      </c>
      <c r="E527">
        <v>7</v>
      </c>
      <c r="F527" s="1" t="s">
        <v>737</v>
      </c>
    </row>
    <row r="528" spans="1:6" x14ac:dyDescent="0.25">
      <c r="A528" s="1" t="s">
        <v>1165</v>
      </c>
      <c r="B528" s="2">
        <v>45215.587500000001</v>
      </c>
      <c r="C528" s="3">
        <v>45215.587500000001</v>
      </c>
      <c r="D528" s="1" t="s">
        <v>1184</v>
      </c>
      <c r="E528">
        <v>24</v>
      </c>
      <c r="F528" s="1" t="s">
        <v>735</v>
      </c>
    </row>
    <row r="529" spans="1:6" x14ac:dyDescent="0.25">
      <c r="A529" s="1" t="s">
        <v>1288</v>
      </c>
      <c r="B529" s="2">
        <v>45215.580555555563</v>
      </c>
      <c r="C529" s="3">
        <v>45215.580555555563</v>
      </c>
      <c r="D529" s="1" t="s">
        <v>962</v>
      </c>
      <c r="E529">
        <v>102</v>
      </c>
      <c r="F529" s="1" t="s">
        <v>737</v>
      </c>
    </row>
    <row r="530" spans="1:6" x14ac:dyDescent="0.25">
      <c r="A530" s="1" t="s">
        <v>1219</v>
      </c>
      <c r="B530" s="2">
        <v>45215.479166666657</v>
      </c>
      <c r="C530" s="3">
        <v>45215.479166666657</v>
      </c>
      <c r="D530" s="1" t="s">
        <v>850</v>
      </c>
      <c r="E530">
        <v>67</v>
      </c>
      <c r="F530" s="1" t="s">
        <v>737</v>
      </c>
    </row>
    <row r="531" spans="1:6" x14ac:dyDescent="0.25">
      <c r="A531" s="1" t="s">
        <v>1138</v>
      </c>
      <c r="B531" s="2">
        <v>45215.457638888889</v>
      </c>
      <c r="C531" s="3">
        <v>45215.457638888889</v>
      </c>
      <c r="D531" s="1" t="s">
        <v>1141</v>
      </c>
      <c r="E531">
        <v>100</v>
      </c>
      <c r="F531" s="1" t="s">
        <v>732</v>
      </c>
    </row>
    <row r="532" spans="1:6" x14ac:dyDescent="0.25">
      <c r="A532" s="1" t="s">
        <v>902</v>
      </c>
      <c r="B532" s="2">
        <v>45215.376388888893</v>
      </c>
      <c r="C532" s="3">
        <v>45215.376388888893</v>
      </c>
      <c r="D532" s="1" t="s">
        <v>749</v>
      </c>
      <c r="E532">
        <v>65</v>
      </c>
      <c r="F532" s="1" t="s">
        <v>737</v>
      </c>
    </row>
    <row r="533" spans="1:6" x14ac:dyDescent="0.25">
      <c r="A533" s="1" t="s">
        <v>1330</v>
      </c>
      <c r="B533" s="2">
        <v>45215.372916666667</v>
      </c>
      <c r="C533" s="3">
        <v>45215.372916666667</v>
      </c>
      <c r="D533" s="1" t="s">
        <v>1003</v>
      </c>
      <c r="E533">
        <v>70</v>
      </c>
      <c r="F533" s="1" t="s">
        <v>735</v>
      </c>
    </row>
    <row r="534" spans="1:6" x14ac:dyDescent="0.25">
      <c r="A534" s="1" t="s">
        <v>1165</v>
      </c>
      <c r="B534" s="2">
        <v>45215.322222222218</v>
      </c>
      <c r="C534" s="3">
        <v>45215.322222222218</v>
      </c>
      <c r="D534" s="1" t="s">
        <v>1180</v>
      </c>
      <c r="E534">
        <v>57</v>
      </c>
      <c r="F534" s="1" t="s">
        <v>737</v>
      </c>
    </row>
    <row r="535" spans="1:6" x14ac:dyDescent="0.25">
      <c r="A535" s="1" t="s">
        <v>1165</v>
      </c>
      <c r="B535" s="2">
        <v>45215.288194444453</v>
      </c>
      <c r="C535" s="3">
        <v>45215.288194444453</v>
      </c>
      <c r="D535" s="1" t="s">
        <v>1178</v>
      </c>
      <c r="E535">
        <v>109</v>
      </c>
      <c r="F535" s="1" t="s">
        <v>732</v>
      </c>
    </row>
    <row r="536" spans="1:6" x14ac:dyDescent="0.25">
      <c r="A536" s="1" t="s">
        <v>1345</v>
      </c>
      <c r="B536" s="2">
        <v>45215.272222222222</v>
      </c>
      <c r="C536" s="3">
        <v>45215.272222222222</v>
      </c>
      <c r="D536" s="1" t="s">
        <v>1350</v>
      </c>
      <c r="E536">
        <v>56</v>
      </c>
      <c r="F536" s="1" t="s">
        <v>737</v>
      </c>
    </row>
    <row r="537" spans="1:6" x14ac:dyDescent="0.25">
      <c r="A537" s="1" t="s">
        <v>1404</v>
      </c>
      <c r="B537" s="2">
        <v>45215.231944444437</v>
      </c>
      <c r="C537" s="3">
        <v>45215.231944444437</v>
      </c>
      <c r="D537" s="1" t="s">
        <v>1070</v>
      </c>
      <c r="E537">
        <v>25</v>
      </c>
      <c r="F537" s="1" t="s">
        <v>735</v>
      </c>
    </row>
    <row r="538" spans="1:6" x14ac:dyDescent="0.25">
      <c r="A538" s="1" t="s">
        <v>1361</v>
      </c>
      <c r="B538" s="2">
        <v>45215.163888888892</v>
      </c>
      <c r="C538" s="3">
        <v>45215.163888888892</v>
      </c>
      <c r="D538" s="1" t="s">
        <v>1375</v>
      </c>
      <c r="E538">
        <v>109</v>
      </c>
      <c r="F538" s="1" t="s">
        <v>735</v>
      </c>
    </row>
    <row r="539" spans="1:6" x14ac:dyDescent="0.25">
      <c r="A539" s="1" t="s">
        <v>861</v>
      </c>
      <c r="B539" s="2">
        <v>45215.143750000003</v>
      </c>
      <c r="C539" s="3">
        <v>45215.143750000003</v>
      </c>
      <c r="D539" s="1" t="s">
        <v>899</v>
      </c>
      <c r="E539">
        <v>107</v>
      </c>
      <c r="F539" s="1" t="s">
        <v>735</v>
      </c>
    </row>
    <row r="540" spans="1:6" x14ac:dyDescent="0.25">
      <c r="A540" s="1" t="s">
        <v>902</v>
      </c>
      <c r="B540" s="2">
        <v>45215.10833333333</v>
      </c>
      <c r="C540" s="3">
        <v>45215.10833333333</v>
      </c>
      <c r="D540" s="1" t="s">
        <v>906</v>
      </c>
      <c r="E540">
        <v>39</v>
      </c>
      <c r="F540" s="1" t="s">
        <v>737</v>
      </c>
    </row>
    <row r="541" spans="1:6" x14ac:dyDescent="0.25">
      <c r="A541" s="1" t="s">
        <v>1241</v>
      </c>
      <c r="B541" s="2">
        <v>45215.093055555553</v>
      </c>
      <c r="C541" s="3">
        <v>45215.093055555553</v>
      </c>
      <c r="D541" s="1" t="s">
        <v>1258</v>
      </c>
      <c r="E541">
        <v>87</v>
      </c>
      <c r="F541" s="1" t="s">
        <v>732</v>
      </c>
    </row>
    <row r="542" spans="1:6" x14ac:dyDescent="0.25">
      <c r="A542" s="1" t="s">
        <v>1241</v>
      </c>
      <c r="B542" s="2">
        <v>45215.088888888888</v>
      </c>
      <c r="C542" s="3">
        <v>45215.088888888888</v>
      </c>
      <c r="D542" s="1" t="s">
        <v>1118</v>
      </c>
      <c r="E542">
        <v>59</v>
      </c>
      <c r="F542" s="1" t="s">
        <v>737</v>
      </c>
    </row>
    <row r="543" spans="1:6" x14ac:dyDescent="0.25">
      <c r="A543" s="1" t="s">
        <v>1165</v>
      </c>
      <c r="B543" s="2">
        <v>45215.056944444441</v>
      </c>
      <c r="C543" s="3">
        <v>45215.056944444441</v>
      </c>
      <c r="D543" s="1" t="s">
        <v>1151</v>
      </c>
      <c r="E543">
        <v>99</v>
      </c>
      <c r="F543" s="1" t="s">
        <v>735</v>
      </c>
    </row>
    <row r="544" spans="1:6" x14ac:dyDescent="0.25">
      <c r="A544" s="1" t="s">
        <v>1330</v>
      </c>
      <c r="B544" s="2">
        <v>45215.049305555563</v>
      </c>
      <c r="C544" s="3">
        <v>45215.049305555563</v>
      </c>
      <c r="D544" s="1" t="s">
        <v>1184</v>
      </c>
      <c r="E544">
        <v>33</v>
      </c>
      <c r="F544" s="1" t="s">
        <v>735</v>
      </c>
    </row>
    <row r="545" spans="1:6" x14ac:dyDescent="0.25">
      <c r="A545" s="1" t="s">
        <v>939</v>
      </c>
      <c r="B545" s="2">
        <v>45215.047222222223</v>
      </c>
      <c r="C545" s="3">
        <v>45215.047222222223</v>
      </c>
      <c r="D545" s="1" t="s">
        <v>946</v>
      </c>
      <c r="E545">
        <v>35</v>
      </c>
      <c r="F545" s="1" t="s">
        <v>732</v>
      </c>
    </row>
    <row r="546" spans="1:6" x14ac:dyDescent="0.25">
      <c r="A546" s="1" t="s">
        <v>1288</v>
      </c>
      <c r="B546" s="2">
        <v>45215.01666666667</v>
      </c>
      <c r="C546" s="3">
        <v>45215.01666666667</v>
      </c>
      <c r="D546" s="1" t="s">
        <v>1298</v>
      </c>
      <c r="E546">
        <v>35</v>
      </c>
      <c r="F546" s="1" t="s">
        <v>735</v>
      </c>
    </row>
    <row r="547" spans="1:6" x14ac:dyDescent="0.25">
      <c r="A547" s="1" t="s">
        <v>1114</v>
      </c>
      <c r="B547" s="2">
        <v>45215.015972222223</v>
      </c>
      <c r="C547" s="3">
        <v>45215.015972222223</v>
      </c>
      <c r="D547" s="1" t="s">
        <v>1121</v>
      </c>
      <c r="E547">
        <v>74</v>
      </c>
      <c r="F547" s="1" t="s">
        <v>732</v>
      </c>
    </row>
    <row r="548" spans="1:6" x14ac:dyDescent="0.25">
      <c r="A548" s="1" t="s">
        <v>779</v>
      </c>
      <c r="B548" s="2">
        <v>45214.960416666669</v>
      </c>
      <c r="C548" s="3">
        <v>45214.960416666669</v>
      </c>
      <c r="D548" s="1" t="s">
        <v>784</v>
      </c>
      <c r="E548">
        <v>38</v>
      </c>
      <c r="F548" s="1" t="s">
        <v>732</v>
      </c>
    </row>
    <row r="549" spans="1:6" x14ac:dyDescent="0.25">
      <c r="A549" s="1" t="s">
        <v>902</v>
      </c>
      <c r="B549" s="2">
        <v>45214.943055555559</v>
      </c>
      <c r="C549" s="3">
        <v>45214.943055555559</v>
      </c>
      <c r="D549" s="1" t="s">
        <v>923</v>
      </c>
      <c r="E549">
        <v>16</v>
      </c>
      <c r="F549" s="1" t="s">
        <v>732</v>
      </c>
    </row>
    <row r="550" spans="1:6" x14ac:dyDescent="0.25">
      <c r="A550" s="1" t="s">
        <v>1404</v>
      </c>
      <c r="B550" s="2">
        <v>45214.931250000001</v>
      </c>
      <c r="C550" s="3">
        <v>45214.931250000001</v>
      </c>
      <c r="D550" s="1" t="s">
        <v>1199</v>
      </c>
      <c r="E550">
        <v>81</v>
      </c>
      <c r="F550" s="1" t="s">
        <v>735</v>
      </c>
    </row>
    <row r="551" spans="1:6" x14ac:dyDescent="0.25">
      <c r="A551" s="1" t="s">
        <v>902</v>
      </c>
      <c r="B551" s="2">
        <v>45214.929861111108</v>
      </c>
      <c r="C551" s="3">
        <v>45214.929861111108</v>
      </c>
      <c r="D551" s="1" t="s">
        <v>933</v>
      </c>
      <c r="E551">
        <v>89</v>
      </c>
      <c r="F551" s="1" t="s">
        <v>737</v>
      </c>
    </row>
    <row r="552" spans="1:6" x14ac:dyDescent="0.25">
      <c r="A552" s="1" t="s">
        <v>999</v>
      </c>
      <c r="B552" s="2">
        <v>45214.893750000003</v>
      </c>
      <c r="C552" s="3">
        <v>45214.893750000003</v>
      </c>
      <c r="D552" s="1" t="s">
        <v>1019</v>
      </c>
      <c r="E552">
        <v>60</v>
      </c>
      <c r="F552" s="1" t="s">
        <v>735</v>
      </c>
    </row>
    <row r="553" spans="1:6" x14ac:dyDescent="0.25">
      <c r="A553" s="1" t="s">
        <v>730</v>
      </c>
      <c r="B553" s="2">
        <v>45214.870138888888</v>
      </c>
      <c r="C553" s="3">
        <v>45214.870138888888</v>
      </c>
      <c r="D553" s="1" t="s">
        <v>761</v>
      </c>
      <c r="E553">
        <v>72</v>
      </c>
      <c r="F553" s="1" t="s">
        <v>732</v>
      </c>
    </row>
    <row r="554" spans="1:6" x14ac:dyDescent="0.25">
      <c r="A554" s="1" t="s">
        <v>1404</v>
      </c>
      <c r="B554" s="2">
        <v>45214.850694444453</v>
      </c>
      <c r="C554" s="3">
        <v>45214.850694444453</v>
      </c>
      <c r="D554" s="1" t="s">
        <v>1090</v>
      </c>
      <c r="E554">
        <v>31</v>
      </c>
      <c r="F554" s="1" t="s">
        <v>737</v>
      </c>
    </row>
    <row r="555" spans="1:6" x14ac:dyDescent="0.25">
      <c r="A555" s="1" t="s">
        <v>779</v>
      </c>
      <c r="B555" s="2">
        <v>45214.816666666673</v>
      </c>
      <c r="C555" s="3">
        <v>45214.816666666673</v>
      </c>
      <c r="D555" s="1" t="s">
        <v>822</v>
      </c>
      <c r="E555">
        <v>92</v>
      </c>
      <c r="F555" s="1" t="s">
        <v>737</v>
      </c>
    </row>
    <row r="556" spans="1:6" x14ac:dyDescent="0.25">
      <c r="A556" s="1" t="s">
        <v>1219</v>
      </c>
      <c r="B556" s="2">
        <v>45214.799305555563</v>
      </c>
      <c r="C556" s="3">
        <v>45214.799305555563</v>
      </c>
      <c r="D556" s="1" t="s">
        <v>1237</v>
      </c>
      <c r="E556">
        <v>67</v>
      </c>
      <c r="F556" s="1" t="s">
        <v>732</v>
      </c>
    </row>
    <row r="557" spans="1:6" x14ac:dyDescent="0.25">
      <c r="A557" s="1" t="s">
        <v>1024</v>
      </c>
      <c r="B557" s="2">
        <v>45214.774305555547</v>
      </c>
      <c r="C557" s="3">
        <v>45214.774305555547</v>
      </c>
      <c r="D557" s="1" t="s">
        <v>810</v>
      </c>
      <c r="E557">
        <v>118</v>
      </c>
      <c r="F557" s="1" t="s">
        <v>732</v>
      </c>
    </row>
    <row r="558" spans="1:6" x14ac:dyDescent="0.25">
      <c r="A558" s="1" t="s">
        <v>1138</v>
      </c>
      <c r="B558" s="2">
        <v>45214.752083333333</v>
      </c>
      <c r="C558" s="3">
        <v>45214.752083333333</v>
      </c>
      <c r="D558" s="1" t="s">
        <v>1162</v>
      </c>
      <c r="E558">
        <v>89</v>
      </c>
      <c r="F558" s="1" t="s">
        <v>735</v>
      </c>
    </row>
    <row r="559" spans="1:6" x14ac:dyDescent="0.25">
      <c r="A559" s="1" t="s">
        <v>1288</v>
      </c>
      <c r="B559" s="2">
        <v>45214.740972222222</v>
      </c>
      <c r="C559" s="3">
        <v>45214.740972222222</v>
      </c>
      <c r="D559" s="1" t="s">
        <v>977</v>
      </c>
      <c r="E559">
        <v>8</v>
      </c>
      <c r="F559" s="1" t="s">
        <v>732</v>
      </c>
    </row>
    <row r="560" spans="1:6" x14ac:dyDescent="0.25">
      <c r="A560" s="1" t="s">
        <v>1165</v>
      </c>
      <c r="B560" s="2">
        <v>45214.736805555563</v>
      </c>
      <c r="C560" s="3">
        <v>45214.736805555563</v>
      </c>
      <c r="D560" s="1" t="s">
        <v>1182</v>
      </c>
      <c r="E560">
        <v>34</v>
      </c>
      <c r="F560" s="1" t="s">
        <v>737</v>
      </c>
    </row>
    <row r="561" spans="1:6" x14ac:dyDescent="0.25">
      <c r="A561" s="1" t="s">
        <v>730</v>
      </c>
      <c r="B561" s="2">
        <v>45214.713194444441</v>
      </c>
      <c r="C561" s="3">
        <v>45214.713194444441</v>
      </c>
      <c r="D561" s="1" t="s">
        <v>753</v>
      </c>
      <c r="E561">
        <v>25</v>
      </c>
      <c r="F561" s="1" t="s">
        <v>732</v>
      </c>
    </row>
    <row r="562" spans="1:6" x14ac:dyDescent="0.25">
      <c r="A562" s="1" t="s">
        <v>1138</v>
      </c>
      <c r="B562" s="2">
        <v>45214.697916666657</v>
      </c>
      <c r="C562" s="3">
        <v>45214.697916666657</v>
      </c>
      <c r="D562" s="1" t="s">
        <v>1154</v>
      </c>
      <c r="E562">
        <v>98</v>
      </c>
      <c r="F562" s="1" t="s">
        <v>737</v>
      </c>
    </row>
    <row r="563" spans="1:6" x14ac:dyDescent="0.25">
      <c r="A563" s="1" t="s">
        <v>1330</v>
      </c>
      <c r="B563" s="2">
        <v>45214.684027777781</v>
      </c>
      <c r="C563" s="3">
        <v>45214.684027777781</v>
      </c>
      <c r="D563" s="1" t="s">
        <v>833</v>
      </c>
      <c r="E563">
        <v>119</v>
      </c>
      <c r="F563" s="1" t="s">
        <v>737</v>
      </c>
    </row>
    <row r="564" spans="1:6" x14ac:dyDescent="0.25">
      <c r="A564" s="1" t="s">
        <v>1193</v>
      </c>
      <c r="B564" s="2">
        <v>45214.634722222218</v>
      </c>
      <c r="C564" s="3">
        <v>45214.634722222218</v>
      </c>
      <c r="D564" s="1" t="s">
        <v>1200</v>
      </c>
      <c r="E564">
        <v>112</v>
      </c>
      <c r="F564" s="1" t="s">
        <v>735</v>
      </c>
    </row>
    <row r="565" spans="1:6" x14ac:dyDescent="0.25">
      <c r="A565" s="1" t="s">
        <v>823</v>
      </c>
      <c r="B565" s="2">
        <v>45214.613194444442</v>
      </c>
      <c r="C565" s="3">
        <v>45214.613194444442</v>
      </c>
      <c r="D565" s="1" t="s">
        <v>850</v>
      </c>
      <c r="E565">
        <v>11</v>
      </c>
      <c r="F565" s="1" t="s">
        <v>737</v>
      </c>
    </row>
    <row r="566" spans="1:6" x14ac:dyDescent="0.25">
      <c r="A566" s="1" t="s">
        <v>1086</v>
      </c>
      <c r="B566" s="2">
        <v>45214.613194444442</v>
      </c>
      <c r="C566" s="3">
        <v>45214.613194444442</v>
      </c>
      <c r="D566" s="1" t="s">
        <v>1100</v>
      </c>
      <c r="E566">
        <v>61</v>
      </c>
      <c r="F566" s="1" t="s">
        <v>737</v>
      </c>
    </row>
    <row r="567" spans="1:6" x14ac:dyDescent="0.25">
      <c r="A567" s="1" t="s">
        <v>902</v>
      </c>
      <c r="B567" s="2">
        <v>45214.59652777778</v>
      </c>
      <c r="C567" s="3">
        <v>45214.59652777778</v>
      </c>
      <c r="D567" s="1" t="s">
        <v>914</v>
      </c>
      <c r="E567">
        <v>88</v>
      </c>
      <c r="F567" s="1" t="s">
        <v>737</v>
      </c>
    </row>
    <row r="568" spans="1:6" x14ac:dyDescent="0.25">
      <c r="A568" s="1" t="s">
        <v>978</v>
      </c>
      <c r="B568" s="2">
        <v>45214.59375</v>
      </c>
      <c r="C568" s="3">
        <v>45214.59375</v>
      </c>
      <c r="D568" s="1" t="s">
        <v>986</v>
      </c>
      <c r="E568">
        <v>51</v>
      </c>
      <c r="F568" s="1" t="s">
        <v>737</v>
      </c>
    </row>
    <row r="569" spans="1:6" x14ac:dyDescent="0.25">
      <c r="A569" s="1" t="s">
        <v>779</v>
      </c>
      <c r="B569" s="2">
        <v>45214.457638888889</v>
      </c>
      <c r="C569" s="3">
        <v>45214.457638888889</v>
      </c>
      <c r="D569" s="1" t="s">
        <v>820</v>
      </c>
      <c r="E569">
        <v>48</v>
      </c>
      <c r="F569" s="1" t="s">
        <v>737</v>
      </c>
    </row>
    <row r="570" spans="1:6" x14ac:dyDescent="0.25">
      <c r="A570" s="1" t="s">
        <v>1114</v>
      </c>
      <c r="B570" s="2">
        <v>45214.43472222222</v>
      </c>
      <c r="C570" s="3">
        <v>45214.43472222222</v>
      </c>
      <c r="D570" s="1" t="s">
        <v>771</v>
      </c>
      <c r="E570">
        <v>61</v>
      </c>
      <c r="F570" s="1" t="s">
        <v>737</v>
      </c>
    </row>
    <row r="571" spans="1:6" x14ac:dyDescent="0.25">
      <c r="A571" s="1" t="s">
        <v>1330</v>
      </c>
      <c r="B571" s="2">
        <v>45214.290277777778</v>
      </c>
      <c r="C571" s="3">
        <v>45214.290277777778</v>
      </c>
      <c r="D571" s="1" t="s">
        <v>1190</v>
      </c>
      <c r="E571">
        <v>27</v>
      </c>
      <c r="F571" s="1" t="s">
        <v>735</v>
      </c>
    </row>
    <row r="572" spans="1:6" x14ac:dyDescent="0.25">
      <c r="A572" s="1" t="s">
        <v>1219</v>
      </c>
      <c r="B572" s="2">
        <v>45214.272916666669</v>
      </c>
      <c r="C572" s="3">
        <v>45214.272916666669</v>
      </c>
      <c r="D572" s="1" t="s">
        <v>906</v>
      </c>
      <c r="E572">
        <v>26</v>
      </c>
      <c r="F572" s="1" t="s">
        <v>735</v>
      </c>
    </row>
    <row r="573" spans="1:6" x14ac:dyDescent="0.25">
      <c r="A573" s="1" t="s">
        <v>1361</v>
      </c>
      <c r="B573" s="2">
        <v>45214.23541666667</v>
      </c>
      <c r="C573" s="3">
        <v>45214.23541666667</v>
      </c>
      <c r="D573" s="1" t="s">
        <v>1371</v>
      </c>
      <c r="E573">
        <v>33</v>
      </c>
      <c r="F573" s="1" t="s">
        <v>732</v>
      </c>
    </row>
    <row r="574" spans="1:6" x14ac:dyDescent="0.25">
      <c r="A574" s="1" t="s">
        <v>1114</v>
      </c>
      <c r="B574" s="2">
        <v>45214.193055555559</v>
      </c>
      <c r="C574" s="3">
        <v>45214.193055555559</v>
      </c>
      <c r="D574" s="1" t="s">
        <v>761</v>
      </c>
      <c r="E574">
        <v>76</v>
      </c>
      <c r="F574" s="1" t="s">
        <v>737</v>
      </c>
    </row>
    <row r="575" spans="1:6" x14ac:dyDescent="0.25">
      <c r="A575" s="1" t="s">
        <v>779</v>
      </c>
      <c r="B575" s="2">
        <v>45214.185416666667</v>
      </c>
      <c r="C575" s="3">
        <v>45214.185416666667</v>
      </c>
      <c r="D575" s="1" t="s">
        <v>780</v>
      </c>
      <c r="E575">
        <v>36</v>
      </c>
      <c r="F575" s="1" t="s">
        <v>735</v>
      </c>
    </row>
    <row r="576" spans="1:6" x14ac:dyDescent="0.25">
      <c r="A576" s="1" t="s">
        <v>1382</v>
      </c>
      <c r="B576" s="2">
        <v>45214.172222222223</v>
      </c>
      <c r="C576" s="3">
        <v>45214.172222222223</v>
      </c>
      <c r="D576" s="1" t="s">
        <v>901</v>
      </c>
      <c r="E576">
        <v>6</v>
      </c>
      <c r="F576" s="1" t="s">
        <v>732</v>
      </c>
    </row>
    <row r="577" spans="1:6" x14ac:dyDescent="0.25">
      <c r="A577" s="1" t="s">
        <v>1288</v>
      </c>
      <c r="B577" s="2">
        <v>45214.168055555558</v>
      </c>
      <c r="C577" s="3">
        <v>45214.168055555558</v>
      </c>
      <c r="D577" s="1" t="s">
        <v>1301</v>
      </c>
      <c r="E577">
        <v>106</v>
      </c>
      <c r="F577" s="1" t="s">
        <v>732</v>
      </c>
    </row>
    <row r="578" spans="1:6" x14ac:dyDescent="0.25">
      <c r="A578" s="1" t="s">
        <v>1288</v>
      </c>
      <c r="B578" s="2">
        <v>45214.160416666673</v>
      </c>
      <c r="C578" s="3">
        <v>45214.160416666673</v>
      </c>
      <c r="D578" s="1" t="s">
        <v>1173</v>
      </c>
      <c r="E578">
        <v>108</v>
      </c>
      <c r="F578" s="1" t="s">
        <v>737</v>
      </c>
    </row>
    <row r="579" spans="1:6" x14ac:dyDescent="0.25">
      <c r="A579" s="1" t="s">
        <v>1345</v>
      </c>
      <c r="B579" s="2">
        <v>45214.145833333343</v>
      </c>
      <c r="C579" s="3">
        <v>45214.145833333343</v>
      </c>
      <c r="D579" s="1" t="s">
        <v>981</v>
      </c>
      <c r="E579">
        <v>29</v>
      </c>
      <c r="F579" s="1" t="s">
        <v>737</v>
      </c>
    </row>
    <row r="580" spans="1:6" x14ac:dyDescent="0.25">
      <c r="A580" s="1" t="s">
        <v>1219</v>
      </c>
      <c r="B580" s="2">
        <v>45214.136111111111</v>
      </c>
      <c r="C580" s="3">
        <v>45214.136111111111</v>
      </c>
      <c r="D580" s="1" t="s">
        <v>1235</v>
      </c>
      <c r="E580">
        <v>92</v>
      </c>
      <c r="F580" s="1" t="s">
        <v>732</v>
      </c>
    </row>
    <row r="581" spans="1:6" x14ac:dyDescent="0.25">
      <c r="A581" s="1" t="s">
        <v>902</v>
      </c>
      <c r="B581" s="2">
        <v>45214.113194444442</v>
      </c>
      <c r="C581" s="3">
        <v>45214.113194444442</v>
      </c>
      <c r="D581" s="1" t="s">
        <v>788</v>
      </c>
      <c r="E581">
        <v>47</v>
      </c>
      <c r="F581" s="1" t="s">
        <v>737</v>
      </c>
    </row>
    <row r="582" spans="1:6" x14ac:dyDescent="0.25">
      <c r="A582" s="1" t="s">
        <v>902</v>
      </c>
      <c r="B582" s="2">
        <v>45214.109722222223</v>
      </c>
      <c r="C582" s="3">
        <v>45214.109722222223</v>
      </c>
      <c r="D582" s="1" t="s">
        <v>936</v>
      </c>
      <c r="E582">
        <v>102</v>
      </c>
      <c r="F582" s="1" t="s">
        <v>735</v>
      </c>
    </row>
    <row r="583" spans="1:6" x14ac:dyDescent="0.25">
      <c r="A583" s="1" t="s">
        <v>1330</v>
      </c>
      <c r="B583" s="2">
        <v>45214.081944444442</v>
      </c>
      <c r="C583" s="3">
        <v>45214.081944444442</v>
      </c>
      <c r="D583" s="1" t="s">
        <v>1341</v>
      </c>
      <c r="E583">
        <v>87</v>
      </c>
      <c r="F583" s="1" t="s">
        <v>735</v>
      </c>
    </row>
    <row r="584" spans="1:6" x14ac:dyDescent="0.25">
      <c r="A584" s="1" t="s">
        <v>1241</v>
      </c>
      <c r="B584" s="2">
        <v>45214.018750000003</v>
      </c>
      <c r="C584" s="3">
        <v>45214.018750000003</v>
      </c>
      <c r="D584" s="1" t="s">
        <v>879</v>
      </c>
      <c r="E584">
        <v>115</v>
      </c>
      <c r="F584" s="1" t="s">
        <v>735</v>
      </c>
    </row>
    <row r="585" spans="1:6" x14ac:dyDescent="0.25">
      <c r="A585" s="1" t="s">
        <v>1361</v>
      </c>
      <c r="B585" s="2">
        <v>45213.963194444441</v>
      </c>
      <c r="C585" s="3">
        <v>45213.963194444441</v>
      </c>
      <c r="D585" s="1" t="s">
        <v>1362</v>
      </c>
      <c r="E585">
        <v>25</v>
      </c>
      <c r="F585" s="1" t="s">
        <v>735</v>
      </c>
    </row>
    <row r="586" spans="1:6" x14ac:dyDescent="0.25">
      <c r="A586" s="1" t="s">
        <v>999</v>
      </c>
      <c r="B586" s="2">
        <v>45213.960416666669</v>
      </c>
      <c r="C586" s="3">
        <v>45213.960416666669</v>
      </c>
      <c r="D586" s="1" t="s">
        <v>1001</v>
      </c>
      <c r="E586">
        <v>103</v>
      </c>
      <c r="F586" s="1" t="s">
        <v>735</v>
      </c>
    </row>
    <row r="587" spans="1:6" x14ac:dyDescent="0.25">
      <c r="A587" s="1" t="s">
        <v>779</v>
      </c>
      <c r="B587" s="2">
        <v>45213.948611111111</v>
      </c>
      <c r="C587" s="3">
        <v>45213.948611111111</v>
      </c>
      <c r="D587" s="1" t="s">
        <v>799</v>
      </c>
      <c r="E587">
        <v>72</v>
      </c>
      <c r="F587" s="1" t="s">
        <v>735</v>
      </c>
    </row>
    <row r="588" spans="1:6" x14ac:dyDescent="0.25">
      <c r="A588" s="1" t="s">
        <v>1241</v>
      </c>
      <c r="B588" s="2">
        <v>45213.922222222223</v>
      </c>
      <c r="C588" s="3">
        <v>45213.922222222223</v>
      </c>
      <c r="D588" s="1" t="s">
        <v>1168</v>
      </c>
      <c r="E588">
        <v>40</v>
      </c>
      <c r="F588" s="1" t="s">
        <v>732</v>
      </c>
    </row>
    <row r="589" spans="1:6" x14ac:dyDescent="0.25">
      <c r="A589" s="1" t="s">
        <v>1382</v>
      </c>
      <c r="B589" s="2">
        <v>45213.907638888893</v>
      </c>
      <c r="C589" s="3">
        <v>45213.907638888893</v>
      </c>
      <c r="D589" s="1" t="s">
        <v>1355</v>
      </c>
      <c r="E589">
        <v>52</v>
      </c>
      <c r="F589" s="1" t="s">
        <v>732</v>
      </c>
    </row>
    <row r="590" spans="1:6" x14ac:dyDescent="0.25">
      <c r="A590" s="1" t="s">
        <v>823</v>
      </c>
      <c r="B590" s="2">
        <v>45213.89166666667</v>
      </c>
      <c r="C590" s="3">
        <v>45213.89166666667</v>
      </c>
      <c r="D590" s="1" t="s">
        <v>844</v>
      </c>
      <c r="E590">
        <v>104</v>
      </c>
      <c r="F590" s="1" t="s">
        <v>732</v>
      </c>
    </row>
    <row r="591" spans="1:6" x14ac:dyDescent="0.25">
      <c r="A591" s="1" t="s">
        <v>1361</v>
      </c>
      <c r="B591" s="2">
        <v>45213.87222222222</v>
      </c>
      <c r="C591" s="3">
        <v>45213.87222222222</v>
      </c>
      <c r="D591" s="1" t="s">
        <v>1366</v>
      </c>
      <c r="E591">
        <v>46</v>
      </c>
      <c r="F591" s="1" t="s">
        <v>735</v>
      </c>
    </row>
    <row r="592" spans="1:6" x14ac:dyDescent="0.25">
      <c r="A592" s="1" t="s">
        <v>1382</v>
      </c>
      <c r="B592" s="2">
        <v>45213.822222222218</v>
      </c>
      <c r="C592" s="3">
        <v>45213.822222222218</v>
      </c>
      <c r="D592" s="1" t="s">
        <v>1390</v>
      </c>
      <c r="E592">
        <v>100</v>
      </c>
      <c r="F592" s="1" t="s">
        <v>735</v>
      </c>
    </row>
    <row r="593" spans="1:6" x14ac:dyDescent="0.25">
      <c r="A593" s="1" t="s">
        <v>939</v>
      </c>
      <c r="B593" s="2">
        <v>45213.779861111107</v>
      </c>
      <c r="C593" s="3">
        <v>45213.779861111107</v>
      </c>
      <c r="D593" s="1" t="s">
        <v>967</v>
      </c>
      <c r="E593">
        <v>120</v>
      </c>
      <c r="F593" s="1" t="s">
        <v>732</v>
      </c>
    </row>
    <row r="594" spans="1:6" x14ac:dyDescent="0.25">
      <c r="A594" s="1" t="s">
        <v>1361</v>
      </c>
      <c r="B594" s="2">
        <v>45213.770833333343</v>
      </c>
      <c r="C594" s="3">
        <v>45213.770833333343</v>
      </c>
      <c r="D594" s="1" t="s">
        <v>1369</v>
      </c>
      <c r="E594">
        <v>11</v>
      </c>
      <c r="F594" s="1" t="s">
        <v>737</v>
      </c>
    </row>
    <row r="595" spans="1:6" x14ac:dyDescent="0.25">
      <c r="A595" s="1" t="s">
        <v>1114</v>
      </c>
      <c r="B595" s="2">
        <v>45213.763194444437</v>
      </c>
      <c r="C595" s="3">
        <v>45213.763194444437</v>
      </c>
      <c r="D595" s="1" t="s">
        <v>1120</v>
      </c>
      <c r="E595">
        <v>119</v>
      </c>
      <c r="F595" s="1" t="s">
        <v>737</v>
      </c>
    </row>
    <row r="596" spans="1:6" x14ac:dyDescent="0.25">
      <c r="A596" s="1" t="s">
        <v>779</v>
      </c>
      <c r="B596" s="2">
        <v>45213.645833333343</v>
      </c>
      <c r="C596" s="3">
        <v>45213.645833333343</v>
      </c>
      <c r="D596" s="1" t="s">
        <v>795</v>
      </c>
      <c r="E596">
        <v>95</v>
      </c>
      <c r="F596" s="1" t="s">
        <v>732</v>
      </c>
    </row>
    <row r="597" spans="1:6" x14ac:dyDescent="0.25">
      <c r="A597" s="1" t="s">
        <v>1193</v>
      </c>
      <c r="B597" s="2">
        <v>45213.607638888891</v>
      </c>
      <c r="C597" s="3">
        <v>45213.607638888891</v>
      </c>
      <c r="D597" s="1" t="s">
        <v>1209</v>
      </c>
      <c r="E597">
        <v>22</v>
      </c>
      <c r="F597" s="1" t="s">
        <v>732</v>
      </c>
    </row>
    <row r="598" spans="1:6" x14ac:dyDescent="0.25">
      <c r="A598" s="1" t="s">
        <v>999</v>
      </c>
      <c r="B598" s="2">
        <v>45213.597916666673</v>
      </c>
      <c r="C598" s="3">
        <v>45213.597916666673</v>
      </c>
      <c r="D598" s="1" t="s">
        <v>1013</v>
      </c>
      <c r="E598">
        <v>108</v>
      </c>
      <c r="F598" s="1" t="s">
        <v>735</v>
      </c>
    </row>
    <row r="599" spans="1:6" x14ac:dyDescent="0.25">
      <c r="A599" s="1" t="s">
        <v>1219</v>
      </c>
      <c r="B599" s="2">
        <v>45213.593055555553</v>
      </c>
      <c r="C599" s="3">
        <v>45213.593055555553</v>
      </c>
      <c r="D599" s="1" t="s">
        <v>1153</v>
      </c>
      <c r="E599">
        <v>50</v>
      </c>
      <c r="F599" s="1" t="s">
        <v>737</v>
      </c>
    </row>
    <row r="600" spans="1:6" x14ac:dyDescent="0.25">
      <c r="A600" s="1" t="s">
        <v>1361</v>
      </c>
      <c r="B600" s="2">
        <v>45213.584722222222</v>
      </c>
      <c r="C600" s="3">
        <v>45213.584722222222</v>
      </c>
      <c r="D600" s="1" t="s">
        <v>1376</v>
      </c>
      <c r="E600">
        <v>35</v>
      </c>
      <c r="F600" s="1" t="s">
        <v>735</v>
      </c>
    </row>
    <row r="601" spans="1:6" x14ac:dyDescent="0.25">
      <c r="A601" s="1" t="s">
        <v>1086</v>
      </c>
      <c r="B601" s="2">
        <v>45213.577777777777</v>
      </c>
      <c r="C601" s="3">
        <v>45213.577777777777</v>
      </c>
      <c r="D601" s="1" t="s">
        <v>1098</v>
      </c>
      <c r="E601">
        <v>93</v>
      </c>
      <c r="F601" s="1" t="s">
        <v>735</v>
      </c>
    </row>
    <row r="602" spans="1:6" x14ac:dyDescent="0.25">
      <c r="A602" s="1" t="s">
        <v>1345</v>
      </c>
      <c r="B602" s="2">
        <v>45213.518750000003</v>
      </c>
      <c r="C602" s="3">
        <v>45213.518750000003</v>
      </c>
      <c r="D602" s="1" t="s">
        <v>1270</v>
      </c>
      <c r="E602">
        <v>88</v>
      </c>
      <c r="F602" s="1" t="s">
        <v>735</v>
      </c>
    </row>
    <row r="603" spans="1:6" x14ac:dyDescent="0.25">
      <c r="A603" s="1" t="s">
        <v>1024</v>
      </c>
      <c r="B603" s="2">
        <v>45213.446527777778</v>
      </c>
      <c r="C603" s="3">
        <v>45213.446527777778</v>
      </c>
      <c r="D603" s="1" t="s">
        <v>1039</v>
      </c>
      <c r="E603">
        <v>111</v>
      </c>
      <c r="F603" s="1" t="s">
        <v>732</v>
      </c>
    </row>
    <row r="604" spans="1:6" x14ac:dyDescent="0.25">
      <c r="A604" s="1" t="s">
        <v>730</v>
      </c>
      <c r="B604" s="2">
        <v>45213.428472222222</v>
      </c>
      <c r="C604" s="3">
        <v>45213.428472222222</v>
      </c>
      <c r="D604" s="1" t="s">
        <v>748</v>
      </c>
      <c r="E604">
        <v>101</v>
      </c>
      <c r="F604" s="1" t="s">
        <v>735</v>
      </c>
    </row>
    <row r="605" spans="1:6" x14ac:dyDescent="0.25">
      <c r="A605" s="1" t="s">
        <v>1404</v>
      </c>
      <c r="B605" s="2">
        <v>45213.417361111111</v>
      </c>
      <c r="C605" s="3">
        <v>45213.417361111111</v>
      </c>
      <c r="D605" s="1" t="s">
        <v>1070</v>
      </c>
      <c r="E605">
        <v>100</v>
      </c>
      <c r="F605" s="1" t="s">
        <v>732</v>
      </c>
    </row>
    <row r="606" spans="1:6" x14ac:dyDescent="0.25">
      <c r="A606" s="1" t="s">
        <v>1193</v>
      </c>
      <c r="B606" s="2">
        <v>45213.351388888892</v>
      </c>
      <c r="C606" s="3">
        <v>45213.351388888892</v>
      </c>
      <c r="D606" s="1" t="s">
        <v>1217</v>
      </c>
      <c r="E606">
        <v>86</v>
      </c>
      <c r="F606" s="1" t="s">
        <v>737</v>
      </c>
    </row>
    <row r="607" spans="1:6" x14ac:dyDescent="0.25">
      <c r="A607" s="1" t="s">
        <v>999</v>
      </c>
      <c r="B607" s="2">
        <v>45213.342361111107</v>
      </c>
      <c r="C607" s="3">
        <v>45213.342361111107</v>
      </c>
      <c r="D607" s="1" t="s">
        <v>1020</v>
      </c>
      <c r="E607">
        <v>63</v>
      </c>
      <c r="F607" s="1" t="s">
        <v>735</v>
      </c>
    </row>
    <row r="608" spans="1:6" x14ac:dyDescent="0.25">
      <c r="A608" s="1" t="s">
        <v>978</v>
      </c>
      <c r="B608" s="2">
        <v>45213.334722222222</v>
      </c>
      <c r="C608" s="3">
        <v>45213.334722222222</v>
      </c>
      <c r="D608" s="1" t="s">
        <v>984</v>
      </c>
      <c r="E608">
        <v>62</v>
      </c>
      <c r="F608" s="1" t="s">
        <v>732</v>
      </c>
    </row>
    <row r="609" spans="1:6" x14ac:dyDescent="0.25">
      <c r="A609" s="1" t="s">
        <v>1193</v>
      </c>
      <c r="B609" s="2">
        <v>45213.328472222223</v>
      </c>
      <c r="C609" s="3">
        <v>45213.328472222223</v>
      </c>
      <c r="D609" s="1" t="s">
        <v>1197</v>
      </c>
      <c r="E609">
        <v>22</v>
      </c>
      <c r="F609" s="1" t="s">
        <v>737</v>
      </c>
    </row>
    <row r="610" spans="1:6" x14ac:dyDescent="0.25">
      <c r="A610" s="1" t="s">
        <v>730</v>
      </c>
      <c r="B610" s="2">
        <v>45213.311111111107</v>
      </c>
      <c r="C610" s="3">
        <v>45213.311111111107</v>
      </c>
      <c r="D610" s="1" t="s">
        <v>744</v>
      </c>
      <c r="E610">
        <v>22</v>
      </c>
      <c r="F610" s="1" t="s">
        <v>735</v>
      </c>
    </row>
    <row r="611" spans="1:6" x14ac:dyDescent="0.25">
      <c r="A611" s="1" t="s">
        <v>779</v>
      </c>
      <c r="B611" s="2">
        <v>45213.254166666673</v>
      </c>
      <c r="C611" s="3">
        <v>45213.254166666673</v>
      </c>
      <c r="D611" s="1" t="s">
        <v>782</v>
      </c>
      <c r="E611">
        <v>73</v>
      </c>
      <c r="F611" s="1" t="s">
        <v>737</v>
      </c>
    </row>
    <row r="612" spans="1:6" x14ac:dyDescent="0.25">
      <c r="A612" s="1" t="s">
        <v>1193</v>
      </c>
      <c r="B612" s="2">
        <v>45213.238194444442</v>
      </c>
      <c r="C612" s="3">
        <v>45213.238194444442</v>
      </c>
      <c r="D612" s="1" t="s">
        <v>1201</v>
      </c>
      <c r="E612">
        <v>53</v>
      </c>
      <c r="F612" s="1" t="s">
        <v>735</v>
      </c>
    </row>
    <row r="613" spans="1:6" x14ac:dyDescent="0.25">
      <c r="A613" s="1" t="s">
        <v>1059</v>
      </c>
      <c r="B613" s="2">
        <v>45213.237500000003</v>
      </c>
      <c r="C613" s="3">
        <v>45213.237500000003</v>
      </c>
      <c r="D613" s="1" t="s">
        <v>856</v>
      </c>
      <c r="E613">
        <v>68</v>
      </c>
      <c r="F613" s="1" t="s">
        <v>737</v>
      </c>
    </row>
    <row r="614" spans="1:6" x14ac:dyDescent="0.25">
      <c r="A614" s="1" t="s">
        <v>1308</v>
      </c>
      <c r="B614" s="2">
        <v>45213.210416666669</v>
      </c>
      <c r="C614" s="3">
        <v>45213.210416666669</v>
      </c>
      <c r="D614" s="1" t="s">
        <v>1325</v>
      </c>
      <c r="E614">
        <v>28</v>
      </c>
      <c r="F614" s="1" t="s">
        <v>737</v>
      </c>
    </row>
    <row r="615" spans="1:6" x14ac:dyDescent="0.25">
      <c r="A615" s="1" t="s">
        <v>1261</v>
      </c>
      <c r="B615" s="2">
        <v>45213.145138888889</v>
      </c>
      <c r="C615" s="3">
        <v>45213.145138888889</v>
      </c>
      <c r="D615" s="1" t="s">
        <v>1164</v>
      </c>
      <c r="E615">
        <v>105</v>
      </c>
      <c r="F615" s="1" t="s">
        <v>735</v>
      </c>
    </row>
    <row r="616" spans="1:6" x14ac:dyDescent="0.25">
      <c r="A616" s="1" t="s">
        <v>823</v>
      </c>
      <c r="B616" s="2">
        <v>45213.112500000003</v>
      </c>
      <c r="C616" s="3">
        <v>45213.112500000003</v>
      </c>
      <c r="D616" s="1" t="s">
        <v>836</v>
      </c>
      <c r="E616">
        <v>93</v>
      </c>
      <c r="F616" s="1" t="s">
        <v>732</v>
      </c>
    </row>
    <row r="617" spans="1:6" x14ac:dyDescent="0.25">
      <c r="A617" s="1" t="s">
        <v>1165</v>
      </c>
      <c r="B617" s="2">
        <v>45213.066666666673</v>
      </c>
      <c r="C617" s="3">
        <v>45213.066666666673</v>
      </c>
      <c r="D617" s="1" t="s">
        <v>1071</v>
      </c>
      <c r="E617">
        <v>63</v>
      </c>
      <c r="F617" s="1" t="s">
        <v>732</v>
      </c>
    </row>
    <row r="618" spans="1:6" x14ac:dyDescent="0.25">
      <c r="A618" s="1" t="s">
        <v>730</v>
      </c>
      <c r="B618" s="2">
        <v>45213.042361111111</v>
      </c>
      <c r="C618" s="3">
        <v>45213.042361111111</v>
      </c>
      <c r="D618" s="1" t="s">
        <v>739</v>
      </c>
      <c r="E618">
        <v>119</v>
      </c>
      <c r="F618" s="1" t="s">
        <v>735</v>
      </c>
    </row>
    <row r="619" spans="1:6" x14ac:dyDescent="0.25">
      <c r="A619" s="1" t="s">
        <v>1059</v>
      </c>
      <c r="B619" s="2">
        <v>45213.027083333327</v>
      </c>
      <c r="C619" s="3">
        <v>45213.027083333327</v>
      </c>
      <c r="D619" s="1" t="s">
        <v>1065</v>
      </c>
      <c r="E619">
        <v>68</v>
      </c>
      <c r="F619" s="1" t="s">
        <v>737</v>
      </c>
    </row>
    <row r="620" spans="1:6" x14ac:dyDescent="0.25">
      <c r="A620" s="1" t="s">
        <v>823</v>
      </c>
      <c r="B620" s="2">
        <v>45213.022916666669</v>
      </c>
      <c r="C620" s="3">
        <v>45213.022916666669</v>
      </c>
      <c r="D620" s="1" t="s">
        <v>739</v>
      </c>
      <c r="E620">
        <v>56</v>
      </c>
      <c r="F620" s="1" t="s">
        <v>737</v>
      </c>
    </row>
    <row r="621" spans="1:6" x14ac:dyDescent="0.25">
      <c r="A621" s="1" t="s">
        <v>861</v>
      </c>
      <c r="B621" s="2">
        <v>45212.965277777781</v>
      </c>
      <c r="C621" s="3">
        <v>45212.965277777781</v>
      </c>
      <c r="D621" s="1" t="s">
        <v>864</v>
      </c>
      <c r="E621">
        <v>27</v>
      </c>
      <c r="F621" s="1" t="s">
        <v>737</v>
      </c>
    </row>
    <row r="622" spans="1:6" x14ac:dyDescent="0.25">
      <c r="A622" s="1" t="s">
        <v>823</v>
      </c>
      <c r="B622" s="2">
        <v>45212.929166666669</v>
      </c>
      <c r="C622" s="3">
        <v>45212.929166666669</v>
      </c>
      <c r="D622" s="1" t="s">
        <v>842</v>
      </c>
      <c r="E622">
        <v>118</v>
      </c>
      <c r="F622" s="1" t="s">
        <v>737</v>
      </c>
    </row>
    <row r="623" spans="1:6" x14ac:dyDescent="0.25">
      <c r="A623" s="1" t="s">
        <v>1382</v>
      </c>
      <c r="B623" s="2">
        <v>45212.901388888888</v>
      </c>
      <c r="C623" s="3">
        <v>45212.901388888888</v>
      </c>
      <c r="D623" s="1" t="s">
        <v>796</v>
      </c>
      <c r="E623">
        <v>58</v>
      </c>
      <c r="F623" s="1" t="s">
        <v>732</v>
      </c>
    </row>
    <row r="624" spans="1:6" x14ac:dyDescent="0.25">
      <c r="A624" s="1" t="s">
        <v>1404</v>
      </c>
      <c r="B624" s="2">
        <v>45212.879861111112</v>
      </c>
      <c r="C624" s="3">
        <v>45212.879861111112</v>
      </c>
      <c r="D624" s="1" t="s">
        <v>1083</v>
      </c>
      <c r="E624">
        <v>99</v>
      </c>
      <c r="F624" s="1" t="s">
        <v>732</v>
      </c>
    </row>
    <row r="625" spans="1:6" x14ac:dyDescent="0.25">
      <c r="A625" s="1" t="s">
        <v>1404</v>
      </c>
      <c r="B625" s="2">
        <v>45212.875694444447</v>
      </c>
      <c r="C625" s="3">
        <v>45212.875694444447</v>
      </c>
      <c r="D625" s="1" t="s">
        <v>1413</v>
      </c>
      <c r="E625">
        <v>23</v>
      </c>
      <c r="F625" s="1" t="s">
        <v>732</v>
      </c>
    </row>
    <row r="626" spans="1:6" x14ac:dyDescent="0.25">
      <c r="A626" s="1" t="s">
        <v>1308</v>
      </c>
      <c r="B626" s="2">
        <v>45212.774305555547</v>
      </c>
      <c r="C626" s="3">
        <v>45212.774305555547</v>
      </c>
      <c r="D626" s="1" t="s">
        <v>1328</v>
      </c>
      <c r="E626">
        <v>33</v>
      </c>
      <c r="F626" s="1" t="s">
        <v>732</v>
      </c>
    </row>
    <row r="627" spans="1:6" x14ac:dyDescent="0.25">
      <c r="A627" s="1" t="s">
        <v>1219</v>
      </c>
      <c r="B627" s="2">
        <v>45212.754861111112</v>
      </c>
      <c r="C627" s="3">
        <v>45212.754861111112</v>
      </c>
      <c r="D627" s="1" t="s">
        <v>847</v>
      </c>
      <c r="E627">
        <v>112</v>
      </c>
      <c r="F627" s="1" t="s">
        <v>737</v>
      </c>
    </row>
    <row r="628" spans="1:6" x14ac:dyDescent="0.25">
      <c r="A628" s="1" t="s">
        <v>1404</v>
      </c>
      <c r="B628" s="2">
        <v>45212.720833333333</v>
      </c>
      <c r="C628" s="3">
        <v>45212.720833333333</v>
      </c>
      <c r="D628" s="1" t="s">
        <v>1414</v>
      </c>
      <c r="E628">
        <v>33</v>
      </c>
      <c r="F628" s="1" t="s">
        <v>737</v>
      </c>
    </row>
    <row r="629" spans="1:6" x14ac:dyDescent="0.25">
      <c r="A629" s="1" t="s">
        <v>1165</v>
      </c>
      <c r="B629" s="2">
        <v>45212.680555555547</v>
      </c>
      <c r="C629" s="3">
        <v>45212.680555555547</v>
      </c>
      <c r="D629" s="1" t="s">
        <v>1167</v>
      </c>
      <c r="E629">
        <v>63</v>
      </c>
      <c r="F629" s="1" t="s">
        <v>732</v>
      </c>
    </row>
    <row r="630" spans="1:6" x14ac:dyDescent="0.25">
      <c r="A630" s="1" t="s">
        <v>1059</v>
      </c>
      <c r="B630" s="2">
        <v>45212.626388888893</v>
      </c>
      <c r="C630" s="3">
        <v>45212.626388888893</v>
      </c>
      <c r="D630" s="1" t="s">
        <v>1069</v>
      </c>
      <c r="E630">
        <v>107</v>
      </c>
      <c r="F630" s="1" t="s">
        <v>735</v>
      </c>
    </row>
    <row r="631" spans="1:6" x14ac:dyDescent="0.25">
      <c r="A631" s="1" t="s">
        <v>939</v>
      </c>
      <c r="B631" s="2">
        <v>45212.624305555553</v>
      </c>
      <c r="C631" s="3">
        <v>45212.624305555553</v>
      </c>
      <c r="D631" s="1" t="s">
        <v>940</v>
      </c>
      <c r="E631">
        <v>113</v>
      </c>
      <c r="F631" s="1" t="s">
        <v>737</v>
      </c>
    </row>
    <row r="632" spans="1:6" x14ac:dyDescent="0.25">
      <c r="A632" s="1" t="s">
        <v>1219</v>
      </c>
      <c r="B632" s="2">
        <v>45212.617361111108</v>
      </c>
      <c r="C632" s="3">
        <v>45212.617361111108</v>
      </c>
      <c r="D632" s="1" t="s">
        <v>1220</v>
      </c>
      <c r="E632">
        <v>28</v>
      </c>
      <c r="F632" s="1" t="s">
        <v>732</v>
      </c>
    </row>
    <row r="633" spans="1:6" x14ac:dyDescent="0.25">
      <c r="A633" s="1" t="s">
        <v>978</v>
      </c>
      <c r="B633" s="2">
        <v>45212.599305555559</v>
      </c>
      <c r="C633" s="3">
        <v>45212.599305555559</v>
      </c>
      <c r="D633" s="1" t="s">
        <v>881</v>
      </c>
      <c r="E633">
        <v>58</v>
      </c>
      <c r="F633" s="1" t="s">
        <v>735</v>
      </c>
    </row>
    <row r="634" spans="1:6" x14ac:dyDescent="0.25">
      <c r="A634" s="1" t="s">
        <v>1219</v>
      </c>
      <c r="B634" s="2">
        <v>45212.568055555559</v>
      </c>
      <c r="C634" s="3">
        <v>45212.568055555559</v>
      </c>
      <c r="D634" s="1" t="s">
        <v>1239</v>
      </c>
      <c r="E634">
        <v>42</v>
      </c>
      <c r="F634" s="1" t="s">
        <v>735</v>
      </c>
    </row>
    <row r="635" spans="1:6" x14ac:dyDescent="0.25">
      <c r="A635" s="1" t="s">
        <v>1361</v>
      </c>
      <c r="B635" s="2">
        <v>45212.48541666667</v>
      </c>
      <c r="C635" s="3">
        <v>45212.48541666667</v>
      </c>
      <c r="D635" s="1" t="s">
        <v>1372</v>
      </c>
      <c r="E635">
        <v>75</v>
      </c>
      <c r="F635" s="1" t="s">
        <v>732</v>
      </c>
    </row>
    <row r="636" spans="1:6" x14ac:dyDescent="0.25">
      <c r="A636" s="1" t="s">
        <v>1330</v>
      </c>
      <c r="B636" s="2">
        <v>45212.447222222218</v>
      </c>
      <c r="C636" s="3">
        <v>45212.447222222218</v>
      </c>
      <c r="D636" s="1" t="s">
        <v>1226</v>
      </c>
      <c r="E636">
        <v>88</v>
      </c>
      <c r="F636" s="1" t="s">
        <v>735</v>
      </c>
    </row>
    <row r="637" spans="1:6" x14ac:dyDescent="0.25">
      <c r="A637" s="1" t="s">
        <v>1193</v>
      </c>
      <c r="B637" s="2">
        <v>45212.417361111111</v>
      </c>
      <c r="C637" s="3">
        <v>45212.417361111111</v>
      </c>
      <c r="D637" s="1" t="s">
        <v>1198</v>
      </c>
      <c r="E637">
        <v>55</v>
      </c>
      <c r="F637" s="1" t="s">
        <v>735</v>
      </c>
    </row>
    <row r="638" spans="1:6" x14ac:dyDescent="0.25">
      <c r="A638" s="1" t="s">
        <v>1165</v>
      </c>
      <c r="B638" s="2">
        <v>45212.315972222219</v>
      </c>
      <c r="C638" s="3">
        <v>45212.315972222219</v>
      </c>
      <c r="D638" s="1" t="s">
        <v>903</v>
      </c>
      <c r="E638">
        <v>112</v>
      </c>
      <c r="F638" s="1" t="s">
        <v>732</v>
      </c>
    </row>
    <row r="639" spans="1:6" x14ac:dyDescent="0.25">
      <c r="A639" s="1" t="s">
        <v>1138</v>
      </c>
      <c r="B639" s="2">
        <v>45212.311111111107</v>
      </c>
      <c r="C639" s="3">
        <v>45212.311111111107</v>
      </c>
      <c r="D639" s="1" t="s">
        <v>744</v>
      </c>
      <c r="E639">
        <v>79</v>
      </c>
      <c r="F639" s="1" t="s">
        <v>732</v>
      </c>
    </row>
    <row r="640" spans="1:6" x14ac:dyDescent="0.25">
      <c r="A640" s="1" t="s">
        <v>1308</v>
      </c>
      <c r="B640" s="2">
        <v>45212.240277777782</v>
      </c>
      <c r="C640" s="3">
        <v>45212.240277777782</v>
      </c>
      <c r="D640" s="1" t="s">
        <v>1084</v>
      </c>
      <c r="E640">
        <v>54</v>
      </c>
      <c r="F640" s="1" t="s">
        <v>735</v>
      </c>
    </row>
    <row r="641" spans="1:6" x14ac:dyDescent="0.25">
      <c r="A641" s="1" t="s">
        <v>1330</v>
      </c>
      <c r="B641" s="2">
        <v>45212.200694444437</v>
      </c>
      <c r="C641" s="3">
        <v>45212.200694444437</v>
      </c>
      <c r="D641" s="1" t="s">
        <v>1000</v>
      </c>
      <c r="E641">
        <v>82</v>
      </c>
      <c r="F641" s="1" t="s">
        <v>732</v>
      </c>
    </row>
    <row r="642" spans="1:6" x14ac:dyDescent="0.25">
      <c r="A642" s="1" t="s">
        <v>1261</v>
      </c>
      <c r="B642" s="2">
        <v>45212.174305555563</v>
      </c>
      <c r="C642" s="3">
        <v>45212.174305555563</v>
      </c>
      <c r="D642" s="1" t="s">
        <v>1280</v>
      </c>
      <c r="E642">
        <v>112</v>
      </c>
      <c r="F642" s="1" t="s">
        <v>737</v>
      </c>
    </row>
    <row r="643" spans="1:6" x14ac:dyDescent="0.25">
      <c r="A643" s="1" t="s">
        <v>730</v>
      </c>
      <c r="B643" s="2">
        <v>45212.140277777777</v>
      </c>
      <c r="C643" s="3">
        <v>45212.140277777777</v>
      </c>
      <c r="D643" s="1" t="s">
        <v>751</v>
      </c>
      <c r="E643">
        <v>19</v>
      </c>
      <c r="F643" s="1" t="s">
        <v>735</v>
      </c>
    </row>
    <row r="644" spans="1:6" x14ac:dyDescent="0.25">
      <c r="A644" s="1" t="s">
        <v>1241</v>
      </c>
      <c r="B644" s="2">
        <v>45212.115277777782</v>
      </c>
      <c r="C644" s="3">
        <v>45212.115277777782</v>
      </c>
      <c r="D644" s="1" t="s">
        <v>1052</v>
      </c>
      <c r="E644">
        <v>15</v>
      </c>
      <c r="F644" s="1" t="s">
        <v>735</v>
      </c>
    </row>
    <row r="645" spans="1:6" x14ac:dyDescent="0.25">
      <c r="A645" s="1" t="s">
        <v>823</v>
      </c>
      <c r="B645" s="2">
        <v>45211.993055555547</v>
      </c>
      <c r="C645" s="3">
        <v>45211.993055555547</v>
      </c>
      <c r="D645" s="1" t="s">
        <v>828</v>
      </c>
      <c r="E645">
        <v>29</v>
      </c>
      <c r="F645" s="1" t="s">
        <v>735</v>
      </c>
    </row>
    <row r="646" spans="1:6" x14ac:dyDescent="0.25">
      <c r="A646" s="1" t="s">
        <v>1330</v>
      </c>
      <c r="B646" s="2">
        <v>45211.925000000003</v>
      </c>
      <c r="C646" s="3">
        <v>45211.925000000003</v>
      </c>
      <c r="D646" s="1" t="s">
        <v>880</v>
      </c>
      <c r="E646">
        <v>40</v>
      </c>
      <c r="F646" s="1" t="s">
        <v>737</v>
      </c>
    </row>
    <row r="647" spans="1:6" x14ac:dyDescent="0.25">
      <c r="A647" s="1" t="s">
        <v>999</v>
      </c>
      <c r="B647" s="2">
        <v>45211.908333333333</v>
      </c>
      <c r="C647" s="3">
        <v>45211.908333333333</v>
      </c>
      <c r="D647" s="1" t="s">
        <v>1000</v>
      </c>
      <c r="E647">
        <v>32</v>
      </c>
      <c r="F647" s="1" t="s">
        <v>735</v>
      </c>
    </row>
    <row r="648" spans="1:6" x14ac:dyDescent="0.25">
      <c r="A648" s="1" t="s">
        <v>1361</v>
      </c>
      <c r="B648" s="2">
        <v>45211.904861111107</v>
      </c>
      <c r="C648" s="3">
        <v>45211.904861111107</v>
      </c>
      <c r="D648" s="1" t="s">
        <v>941</v>
      </c>
      <c r="E648">
        <v>45</v>
      </c>
      <c r="F648" s="1" t="s">
        <v>737</v>
      </c>
    </row>
    <row r="649" spans="1:6" x14ac:dyDescent="0.25">
      <c r="A649" s="1" t="s">
        <v>1361</v>
      </c>
      <c r="B649" s="2">
        <v>45211.888888888891</v>
      </c>
      <c r="C649" s="3">
        <v>45211.888888888891</v>
      </c>
      <c r="D649" s="1" t="s">
        <v>1139</v>
      </c>
      <c r="E649">
        <v>87</v>
      </c>
      <c r="F649" s="1" t="s">
        <v>735</v>
      </c>
    </row>
    <row r="650" spans="1:6" x14ac:dyDescent="0.25">
      <c r="A650" s="1" t="s">
        <v>1086</v>
      </c>
      <c r="B650" s="2">
        <v>45211.73333333333</v>
      </c>
      <c r="C650" s="3">
        <v>45211.73333333333</v>
      </c>
      <c r="D650" s="1" t="s">
        <v>1093</v>
      </c>
      <c r="E650">
        <v>108</v>
      </c>
      <c r="F650" s="1" t="s">
        <v>735</v>
      </c>
    </row>
    <row r="651" spans="1:6" x14ac:dyDescent="0.25">
      <c r="A651" s="1" t="s">
        <v>1193</v>
      </c>
      <c r="B651" s="2">
        <v>45211.724999999999</v>
      </c>
      <c r="C651" s="3">
        <v>45211.724999999999</v>
      </c>
      <c r="D651" s="1" t="s">
        <v>1042</v>
      </c>
      <c r="E651">
        <v>84</v>
      </c>
      <c r="F651" s="1" t="s">
        <v>737</v>
      </c>
    </row>
    <row r="652" spans="1:6" x14ac:dyDescent="0.25">
      <c r="A652" s="1" t="s">
        <v>1059</v>
      </c>
      <c r="B652" s="2">
        <v>45211.722916666673</v>
      </c>
      <c r="C652" s="3">
        <v>45211.722916666673</v>
      </c>
      <c r="D652" s="1" t="s">
        <v>1075</v>
      </c>
      <c r="E652">
        <v>28</v>
      </c>
      <c r="F652" s="1" t="s">
        <v>732</v>
      </c>
    </row>
    <row r="653" spans="1:6" x14ac:dyDescent="0.25">
      <c r="A653" s="1" t="s">
        <v>1193</v>
      </c>
      <c r="B653" s="2">
        <v>45211.711805555547</v>
      </c>
      <c r="C653" s="3">
        <v>45211.711805555547</v>
      </c>
      <c r="D653" s="1" t="s">
        <v>1211</v>
      </c>
      <c r="E653">
        <v>82</v>
      </c>
      <c r="F653" s="1" t="s">
        <v>735</v>
      </c>
    </row>
    <row r="654" spans="1:6" x14ac:dyDescent="0.25">
      <c r="A654" s="1" t="s">
        <v>1086</v>
      </c>
      <c r="B654" s="2">
        <v>45211.706250000003</v>
      </c>
      <c r="C654" s="3">
        <v>45211.706250000003</v>
      </c>
      <c r="D654" s="1" t="s">
        <v>1105</v>
      </c>
      <c r="E654">
        <v>115</v>
      </c>
      <c r="F654" s="1" t="s">
        <v>737</v>
      </c>
    </row>
    <row r="655" spans="1:6" x14ac:dyDescent="0.25">
      <c r="A655" s="1" t="s">
        <v>1165</v>
      </c>
      <c r="B655" s="2">
        <v>45211.705555555563</v>
      </c>
      <c r="C655" s="3">
        <v>45211.705555555563</v>
      </c>
      <c r="D655" s="1" t="s">
        <v>1183</v>
      </c>
      <c r="E655">
        <v>95</v>
      </c>
      <c r="F655" s="1" t="s">
        <v>735</v>
      </c>
    </row>
    <row r="656" spans="1:6" x14ac:dyDescent="0.25">
      <c r="A656" s="1" t="s">
        <v>1086</v>
      </c>
      <c r="B656" s="2">
        <v>45211.618750000001</v>
      </c>
      <c r="C656" s="3">
        <v>45211.618750000001</v>
      </c>
      <c r="D656" s="1" t="s">
        <v>1094</v>
      </c>
      <c r="E656">
        <v>92</v>
      </c>
      <c r="F656" s="1" t="s">
        <v>732</v>
      </c>
    </row>
    <row r="657" spans="1:6" x14ac:dyDescent="0.25">
      <c r="A657" s="1" t="s">
        <v>1361</v>
      </c>
      <c r="B657" s="2">
        <v>45211.61041666667</v>
      </c>
      <c r="C657" s="3">
        <v>45211.61041666667</v>
      </c>
      <c r="D657" s="1" t="s">
        <v>813</v>
      </c>
      <c r="E657">
        <v>114</v>
      </c>
      <c r="F657" s="1" t="s">
        <v>732</v>
      </c>
    </row>
    <row r="658" spans="1:6" x14ac:dyDescent="0.25">
      <c r="A658" s="1" t="s">
        <v>1382</v>
      </c>
      <c r="B658" s="2">
        <v>45211.587500000001</v>
      </c>
      <c r="C658" s="3">
        <v>45211.587500000001</v>
      </c>
      <c r="D658" s="1" t="s">
        <v>1400</v>
      </c>
      <c r="E658">
        <v>27</v>
      </c>
      <c r="F658" s="1" t="s">
        <v>737</v>
      </c>
    </row>
    <row r="659" spans="1:6" x14ac:dyDescent="0.25">
      <c r="A659" s="1" t="s">
        <v>779</v>
      </c>
      <c r="B659" s="2">
        <v>45211.55972222222</v>
      </c>
      <c r="C659" s="3">
        <v>45211.55972222222</v>
      </c>
      <c r="D659" s="1" t="s">
        <v>766</v>
      </c>
      <c r="E659">
        <v>69</v>
      </c>
      <c r="F659" s="1" t="s">
        <v>735</v>
      </c>
    </row>
    <row r="660" spans="1:6" x14ac:dyDescent="0.25">
      <c r="A660" s="1" t="s">
        <v>999</v>
      </c>
      <c r="B660" s="2">
        <v>45211.546527777777</v>
      </c>
      <c r="C660" s="3">
        <v>45211.546527777777</v>
      </c>
      <c r="D660" s="1" t="s">
        <v>794</v>
      </c>
      <c r="E660">
        <v>115</v>
      </c>
      <c r="F660" s="1" t="s">
        <v>732</v>
      </c>
    </row>
    <row r="661" spans="1:6" x14ac:dyDescent="0.25">
      <c r="A661" s="1" t="s">
        <v>1219</v>
      </c>
      <c r="B661" s="2">
        <v>45211.495833333327</v>
      </c>
      <c r="C661" s="3">
        <v>45211.495833333327</v>
      </c>
      <c r="D661" s="1" t="s">
        <v>848</v>
      </c>
      <c r="E661">
        <v>61</v>
      </c>
      <c r="F661" s="1" t="s">
        <v>735</v>
      </c>
    </row>
    <row r="662" spans="1:6" x14ac:dyDescent="0.25">
      <c r="A662" s="1" t="s">
        <v>939</v>
      </c>
      <c r="B662" s="2">
        <v>45211.477083333331</v>
      </c>
      <c r="C662" s="3">
        <v>45211.477083333331</v>
      </c>
      <c r="D662" s="1" t="s">
        <v>758</v>
      </c>
      <c r="E662">
        <v>111</v>
      </c>
      <c r="F662" s="1" t="s">
        <v>732</v>
      </c>
    </row>
    <row r="663" spans="1:6" x14ac:dyDescent="0.25">
      <c r="A663" s="1" t="s">
        <v>1219</v>
      </c>
      <c r="B663" s="2">
        <v>45211.425000000003</v>
      </c>
      <c r="C663" s="3">
        <v>45211.425000000003</v>
      </c>
      <c r="D663" s="1" t="s">
        <v>898</v>
      </c>
      <c r="E663">
        <v>57</v>
      </c>
      <c r="F663" s="1" t="s">
        <v>735</v>
      </c>
    </row>
    <row r="664" spans="1:6" x14ac:dyDescent="0.25">
      <c r="A664" s="1" t="s">
        <v>1361</v>
      </c>
      <c r="B664" s="2">
        <v>45211.424305555563</v>
      </c>
      <c r="C664" s="3">
        <v>45211.424305555563</v>
      </c>
      <c r="D664" s="1" t="s">
        <v>927</v>
      </c>
      <c r="E664">
        <v>116</v>
      </c>
      <c r="F664" s="1" t="s">
        <v>735</v>
      </c>
    </row>
    <row r="665" spans="1:6" x14ac:dyDescent="0.25">
      <c r="A665" s="1" t="s">
        <v>1219</v>
      </c>
      <c r="B665" s="2">
        <v>45211.38958333333</v>
      </c>
      <c r="C665" s="3">
        <v>45211.38958333333</v>
      </c>
      <c r="D665" s="1" t="s">
        <v>1224</v>
      </c>
      <c r="E665">
        <v>76</v>
      </c>
      <c r="F665" s="1" t="s">
        <v>735</v>
      </c>
    </row>
    <row r="666" spans="1:6" x14ac:dyDescent="0.25">
      <c r="A666" s="1" t="s">
        <v>1165</v>
      </c>
      <c r="B666" s="2">
        <v>45211.386111111111</v>
      </c>
      <c r="C666" s="3">
        <v>45211.386111111111</v>
      </c>
      <c r="D666" s="1" t="s">
        <v>926</v>
      </c>
      <c r="E666">
        <v>13</v>
      </c>
      <c r="F666" s="1" t="s">
        <v>735</v>
      </c>
    </row>
    <row r="667" spans="1:6" x14ac:dyDescent="0.25">
      <c r="A667" s="1" t="s">
        <v>1024</v>
      </c>
      <c r="B667" s="2">
        <v>45211.382638888892</v>
      </c>
      <c r="C667" s="3">
        <v>45211.382638888892</v>
      </c>
      <c r="D667" s="1" t="s">
        <v>787</v>
      </c>
      <c r="E667">
        <v>105</v>
      </c>
      <c r="F667" s="1" t="s">
        <v>732</v>
      </c>
    </row>
    <row r="668" spans="1:6" x14ac:dyDescent="0.25">
      <c r="A668" s="1" t="s">
        <v>1345</v>
      </c>
      <c r="B668" s="2">
        <v>45211.380555555559</v>
      </c>
      <c r="C668" s="3">
        <v>45211.380555555559</v>
      </c>
      <c r="D668" s="1" t="s">
        <v>1359</v>
      </c>
      <c r="E668">
        <v>84</v>
      </c>
      <c r="F668" s="1" t="s">
        <v>732</v>
      </c>
    </row>
    <row r="669" spans="1:6" x14ac:dyDescent="0.25">
      <c r="A669" s="1" t="s">
        <v>1308</v>
      </c>
      <c r="B669" s="2">
        <v>45211.368055555547</v>
      </c>
      <c r="C669" s="3">
        <v>45211.368055555547</v>
      </c>
      <c r="D669" s="1" t="s">
        <v>896</v>
      </c>
      <c r="E669">
        <v>15</v>
      </c>
      <c r="F669" s="1" t="s">
        <v>735</v>
      </c>
    </row>
    <row r="670" spans="1:6" x14ac:dyDescent="0.25">
      <c r="A670" s="1" t="s">
        <v>1193</v>
      </c>
      <c r="B670" s="2">
        <v>45211.337500000001</v>
      </c>
      <c r="C670" s="3">
        <v>45211.337500000001</v>
      </c>
      <c r="D670" s="1" t="s">
        <v>1207</v>
      </c>
      <c r="E670">
        <v>88</v>
      </c>
      <c r="F670" s="1" t="s">
        <v>735</v>
      </c>
    </row>
    <row r="671" spans="1:6" x14ac:dyDescent="0.25">
      <c r="A671" s="1" t="s">
        <v>1345</v>
      </c>
      <c r="B671" s="2">
        <v>45211.324305555558</v>
      </c>
      <c r="C671" s="3">
        <v>45211.324305555558</v>
      </c>
      <c r="D671" s="1" t="s">
        <v>1346</v>
      </c>
      <c r="E671">
        <v>120</v>
      </c>
      <c r="F671" s="1" t="s">
        <v>737</v>
      </c>
    </row>
    <row r="672" spans="1:6" x14ac:dyDescent="0.25">
      <c r="A672" s="1" t="s">
        <v>1059</v>
      </c>
      <c r="B672" s="2">
        <v>45211.316666666673</v>
      </c>
      <c r="C672" s="3">
        <v>45211.316666666673</v>
      </c>
      <c r="D672" s="1" t="s">
        <v>1066</v>
      </c>
      <c r="E672">
        <v>93</v>
      </c>
      <c r="F672" s="1" t="s">
        <v>737</v>
      </c>
    </row>
    <row r="673" spans="1:6" x14ac:dyDescent="0.25">
      <c r="A673" s="1" t="s">
        <v>1288</v>
      </c>
      <c r="B673" s="2">
        <v>45211.290277777778</v>
      </c>
      <c r="C673" s="3">
        <v>45211.290277777778</v>
      </c>
      <c r="D673" s="1" t="s">
        <v>1300</v>
      </c>
      <c r="E673">
        <v>73</v>
      </c>
      <c r="F673" s="1" t="s">
        <v>737</v>
      </c>
    </row>
    <row r="674" spans="1:6" x14ac:dyDescent="0.25">
      <c r="A674" s="1" t="s">
        <v>730</v>
      </c>
      <c r="B674" s="2">
        <v>45211.279166666667</v>
      </c>
      <c r="C674" s="3">
        <v>45211.279166666667</v>
      </c>
      <c r="D674" s="1" t="s">
        <v>763</v>
      </c>
      <c r="E674">
        <v>75</v>
      </c>
      <c r="F674" s="1" t="s">
        <v>732</v>
      </c>
    </row>
    <row r="675" spans="1:6" x14ac:dyDescent="0.25">
      <c r="A675" s="1" t="s">
        <v>861</v>
      </c>
      <c r="B675" s="2">
        <v>45211.234722222223</v>
      </c>
      <c r="C675" s="3">
        <v>45211.234722222223</v>
      </c>
      <c r="D675" s="1" t="s">
        <v>883</v>
      </c>
      <c r="E675">
        <v>62</v>
      </c>
      <c r="F675" s="1" t="s">
        <v>737</v>
      </c>
    </row>
    <row r="676" spans="1:6" x14ac:dyDescent="0.25">
      <c r="A676" s="1" t="s">
        <v>730</v>
      </c>
      <c r="B676" s="2">
        <v>45211.224305555559</v>
      </c>
      <c r="C676" s="3">
        <v>45211.224305555559</v>
      </c>
      <c r="D676" s="1" t="s">
        <v>762</v>
      </c>
      <c r="E676">
        <v>37</v>
      </c>
      <c r="F676" s="1" t="s">
        <v>732</v>
      </c>
    </row>
    <row r="677" spans="1:6" x14ac:dyDescent="0.25">
      <c r="A677" s="1" t="s">
        <v>1261</v>
      </c>
      <c r="B677" s="2">
        <v>45211.219444444447</v>
      </c>
      <c r="C677" s="3">
        <v>45211.219444444447</v>
      </c>
      <c r="D677" s="1" t="s">
        <v>1275</v>
      </c>
      <c r="E677">
        <v>5</v>
      </c>
      <c r="F677" s="1" t="s">
        <v>732</v>
      </c>
    </row>
    <row r="678" spans="1:6" x14ac:dyDescent="0.25">
      <c r="A678" s="1" t="s">
        <v>1261</v>
      </c>
      <c r="B678" s="2">
        <v>45211.147222222222</v>
      </c>
      <c r="C678" s="3">
        <v>45211.147222222222</v>
      </c>
      <c r="D678" s="1" t="s">
        <v>1284</v>
      </c>
      <c r="E678">
        <v>89</v>
      </c>
      <c r="F678" s="1" t="s">
        <v>735</v>
      </c>
    </row>
    <row r="679" spans="1:6" x14ac:dyDescent="0.25">
      <c r="A679" s="1" t="s">
        <v>1193</v>
      </c>
      <c r="B679" s="2">
        <v>45211.128472222219</v>
      </c>
      <c r="C679" s="3">
        <v>45211.128472222219</v>
      </c>
      <c r="D679" s="1" t="s">
        <v>1206</v>
      </c>
      <c r="E679">
        <v>110</v>
      </c>
      <c r="F679" s="1" t="s">
        <v>735</v>
      </c>
    </row>
    <row r="680" spans="1:6" x14ac:dyDescent="0.25">
      <c r="A680" s="1" t="s">
        <v>1138</v>
      </c>
      <c r="B680" s="2">
        <v>45211.123611111107</v>
      </c>
      <c r="C680" s="3">
        <v>45211.123611111107</v>
      </c>
      <c r="D680" s="1" t="s">
        <v>848</v>
      </c>
      <c r="E680">
        <v>87</v>
      </c>
      <c r="F680" s="1" t="s">
        <v>732</v>
      </c>
    </row>
    <row r="681" spans="1:6" x14ac:dyDescent="0.25">
      <c r="A681" s="1" t="s">
        <v>1165</v>
      </c>
      <c r="B681" s="2">
        <v>45211.106944444437</v>
      </c>
      <c r="C681" s="3">
        <v>45211.106944444437</v>
      </c>
      <c r="D681" s="1" t="s">
        <v>819</v>
      </c>
      <c r="E681">
        <v>87</v>
      </c>
      <c r="F681" s="1" t="s">
        <v>737</v>
      </c>
    </row>
    <row r="682" spans="1:6" x14ac:dyDescent="0.25">
      <c r="A682" s="1" t="s">
        <v>1059</v>
      </c>
      <c r="B682" s="2">
        <v>45211.106249999997</v>
      </c>
      <c r="C682" s="3">
        <v>45211.106249999997</v>
      </c>
      <c r="D682" s="1" t="s">
        <v>1067</v>
      </c>
      <c r="E682">
        <v>107</v>
      </c>
      <c r="F682" s="1" t="s">
        <v>732</v>
      </c>
    </row>
    <row r="683" spans="1:6" x14ac:dyDescent="0.25">
      <c r="A683" s="1" t="s">
        <v>861</v>
      </c>
      <c r="B683" s="2">
        <v>45211.105555555558</v>
      </c>
      <c r="C683" s="3">
        <v>45211.105555555558</v>
      </c>
      <c r="D683" s="1" t="s">
        <v>761</v>
      </c>
      <c r="E683">
        <v>67</v>
      </c>
      <c r="F683" s="1" t="s">
        <v>732</v>
      </c>
    </row>
    <row r="684" spans="1:6" x14ac:dyDescent="0.25">
      <c r="A684" s="1" t="s">
        <v>1059</v>
      </c>
      <c r="B684" s="2">
        <v>45211.098611111112</v>
      </c>
      <c r="C684" s="3">
        <v>45211.098611111112</v>
      </c>
      <c r="D684" s="1" t="s">
        <v>1071</v>
      </c>
      <c r="E684">
        <v>59</v>
      </c>
      <c r="F684" s="1" t="s">
        <v>737</v>
      </c>
    </row>
    <row r="685" spans="1:6" x14ac:dyDescent="0.25">
      <c r="A685" s="1" t="s">
        <v>1059</v>
      </c>
      <c r="B685" s="2">
        <v>45211.079861111109</v>
      </c>
      <c r="C685" s="3">
        <v>45211.079861111109</v>
      </c>
      <c r="D685" s="1" t="s">
        <v>1084</v>
      </c>
      <c r="E685">
        <v>59</v>
      </c>
      <c r="F685" s="1" t="s">
        <v>735</v>
      </c>
    </row>
    <row r="686" spans="1:6" x14ac:dyDescent="0.25">
      <c r="A686" s="1" t="s">
        <v>1330</v>
      </c>
      <c r="B686" s="2">
        <v>45211.063888888893</v>
      </c>
      <c r="C686" s="3">
        <v>45211.063888888893</v>
      </c>
      <c r="D686" s="1" t="s">
        <v>1339</v>
      </c>
      <c r="E686">
        <v>6</v>
      </c>
      <c r="F686" s="1" t="s">
        <v>737</v>
      </c>
    </row>
    <row r="687" spans="1:6" x14ac:dyDescent="0.25">
      <c r="A687" s="1" t="s">
        <v>1193</v>
      </c>
      <c r="B687" s="2">
        <v>45211.04583333333</v>
      </c>
      <c r="C687" s="3">
        <v>45211.04583333333</v>
      </c>
      <c r="D687" s="1" t="s">
        <v>1041</v>
      </c>
      <c r="E687">
        <v>18</v>
      </c>
      <c r="F687" s="1" t="s">
        <v>737</v>
      </c>
    </row>
    <row r="688" spans="1:6" x14ac:dyDescent="0.25">
      <c r="A688" s="1" t="s">
        <v>1330</v>
      </c>
      <c r="B688" s="2">
        <v>45211.01458333333</v>
      </c>
      <c r="C688" s="3">
        <v>45211.01458333333</v>
      </c>
      <c r="D688" s="1" t="s">
        <v>1334</v>
      </c>
      <c r="E688">
        <v>7</v>
      </c>
      <c r="F688" s="1" t="s">
        <v>737</v>
      </c>
    </row>
    <row r="689" spans="1:6" x14ac:dyDescent="0.25">
      <c r="A689" s="1" t="s">
        <v>939</v>
      </c>
      <c r="B689" s="2">
        <v>45210.979166666657</v>
      </c>
      <c r="C689" s="3">
        <v>45210.979166666657</v>
      </c>
      <c r="D689" s="1" t="s">
        <v>943</v>
      </c>
      <c r="E689">
        <v>114</v>
      </c>
      <c r="F689" s="1" t="s">
        <v>737</v>
      </c>
    </row>
    <row r="690" spans="1:6" x14ac:dyDescent="0.25">
      <c r="A690" s="1" t="s">
        <v>1308</v>
      </c>
      <c r="B690" s="2">
        <v>45210.961111111108</v>
      </c>
      <c r="C690" s="3">
        <v>45210.961111111108</v>
      </c>
      <c r="D690" s="1" t="s">
        <v>897</v>
      </c>
      <c r="E690">
        <v>66</v>
      </c>
      <c r="F690" s="1" t="s">
        <v>732</v>
      </c>
    </row>
    <row r="691" spans="1:6" x14ac:dyDescent="0.25">
      <c r="A691" s="1" t="s">
        <v>1086</v>
      </c>
      <c r="B691" s="2">
        <v>45210.926388888889</v>
      </c>
      <c r="C691" s="3">
        <v>45210.926388888889</v>
      </c>
      <c r="D691" s="1" t="s">
        <v>923</v>
      </c>
      <c r="E691">
        <v>45</v>
      </c>
      <c r="F691" s="1" t="s">
        <v>735</v>
      </c>
    </row>
    <row r="692" spans="1:6" x14ac:dyDescent="0.25">
      <c r="A692" s="1" t="s">
        <v>1345</v>
      </c>
      <c r="B692" s="2">
        <v>45210.924305555563</v>
      </c>
      <c r="C692" s="3">
        <v>45210.924305555563</v>
      </c>
      <c r="D692" s="1" t="s">
        <v>1352</v>
      </c>
      <c r="E692">
        <v>32</v>
      </c>
      <c r="F692" s="1" t="s">
        <v>735</v>
      </c>
    </row>
    <row r="693" spans="1:6" x14ac:dyDescent="0.25">
      <c r="A693" s="1" t="s">
        <v>1382</v>
      </c>
      <c r="B693" s="2">
        <v>45210.921527777777</v>
      </c>
      <c r="C693" s="3">
        <v>45210.921527777777</v>
      </c>
      <c r="D693" s="1" t="s">
        <v>1199</v>
      </c>
      <c r="E693">
        <v>86</v>
      </c>
      <c r="F693" s="1" t="s">
        <v>735</v>
      </c>
    </row>
    <row r="694" spans="1:6" x14ac:dyDescent="0.25">
      <c r="A694" s="1" t="s">
        <v>823</v>
      </c>
      <c r="B694" s="2">
        <v>45210.912499999999</v>
      </c>
      <c r="C694" s="3">
        <v>45210.912499999999</v>
      </c>
      <c r="D694" s="1" t="s">
        <v>838</v>
      </c>
      <c r="E694">
        <v>119</v>
      </c>
      <c r="F694" s="1" t="s">
        <v>737</v>
      </c>
    </row>
    <row r="695" spans="1:6" x14ac:dyDescent="0.25">
      <c r="A695" s="1" t="s">
        <v>1241</v>
      </c>
      <c r="B695" s="2">
        <v>45210.908333333333</v>
      </c>
      <c r="C695" s="3">
        <v>45210.908333333333</v>
      </c>
      <c r="D695" s="1" t="s">
        <v>1157</v>
      </c>
      <c r="E695">
        <v>57</v>
      </c>
      <c r="F695" s="1" t="s">
        <v>737</v>
      </c>
    </row>
    <row r="696" spans="1:6" x14ac:dyDescent="0.25">
      <c r="A696" s="1" t="s">
        <v>1114</v>
      </c>
      <c r="B696" s="2">
        <v>45210.895833333343</v>
      </c>
      <c r="C696" s="3">
        <v>45210.895833333343</v>
      </c>
      <c r="D696" s="1" t="s">
        <v>930</v>
      </c>
      <c r="E696">
        <v>110</v>
      </c>
      <c r="F696" s="1" t="s">
        <v>737</v>
      </c>
    </row>
    <row r="697" spans="1:6" x14ac:dyDescent="0.25">
      <c r="A697" s="1" t="s">
        <v>1086</v>
      </c>
      <c r="B697" s="2">
        <v>45210.890277777777</v>
      </c>
      <c r="C697" s="3">
        <v>45210.890277777777</v>
      </c>
      <c r="D697" s="1" t="s">
        <v>926</v>
      </c>
      <c r="E697">
        <v>118</v>
      </c>
      <c r="F697" s="1" t="s">
        <v>732</v>
      </c>
    </row>
    <row r="698" spans="1:6" x14ac:dyDescent="0.25">
      <c r="A698" s="1" t="s">
        <v>1114</v>
      </c>
      <c r="B698" s="2">
        <v>45210.879861111112</v>
      </c>
      <c r="C698" s="3">
        <v>45210.879861111112</v>
      </c>
      <c r="D698" s="1" t="s">
        <v>1122</v>
      </c>
      <c r="E698">
        <v>53</v>
      </c>
      <c r="F698" s="1" t="s">
        <v>732</v>
      </c>
    </row>
    <row r="699" spans="1:6" x14ac:dyDescent="0.25">
      <c r="A699" s="1" t="s">
        <v>1345</v>
      </c>
      <c r="B699" s="2">
        <v>45210.84097222222</v>
      </c>
      <c r="C699" s="3">
        <v>45210.84097222222</v>
      </c>
      <c r="D699" s="1" t="s">
        <v>936</v>
      </c>
      <c r="E699">
        <v>7</v>
      </c>
      <c r="F699" s="1" t="s">
        <v>732</v>
      </c>
    </row>
    <row r="700" spans="1:6" x14ac:dyDescent="0.25">
      <c r="A700" s="1" t="s">
        <v>1165</v>
      </c>
      <c r="B700" s="2">
        <v>45210.836805555547</v>
      </c>
      <c r="C700" s="3">
        <v>45210.836805555547</v>
      </c>
      <c r="D700" s="1" t="s">
        <v>1173</v>
      </c>
      <c r="E700">
        <v>118</v>
      </c>
      <c r="F700" s="1" t="s">
        <v>732</v>
      </c>
    </row>
    <row r="701" spans="1:6" x14ac:dyDescent="0.25">
      <c r="A701" s="1" t="s">
        <v>1086</v>
      </c>
      <c r="B701" s="2">
        <v>45210.836111111108</v>
      </c>
      <c r="C701" s="3">
        <v>45210.836111111108</v>
      </c>
      <c r="D701" s="1" t="s">
        <v>1099</v>
      </c>
      <c r="E701">
        <v>25</v>
      </c>
      <c r="F701" s="1" t="s">
        <v>737</v>
      </c>
    </row>
    <row r="702" spans="1:6" x14ac:dyDescent="0.25">
      <c r="A702" s="1" t="s">
        <v>1345</v>
      </c>
      <c r="B702" s="2">
        <v>45210.835416666669</v>
      </c>
      <c r="C702" s="3">
        <v>45210.835416666669</v>
      </c>
      <c r="D702" s="1" t="s">
        <v>805</v>
      </c>
      <c r="E702">
        <v>80</v>
      </c>
      <c r="F702" s="1" t="s">
        <v>735</v>
      </c>
    </row>
    <row r="703" spans="1:6" x14ac:dyDescent="0.25">
      <c r="A703" s="1" t="s">
        <v>1114</v>
      </c>
      <c r="B703" s="2">
        <v>45210.805555555547</v>
      </c>
      <c r="C703" s="3">
        <v>45210.805555555547</v>
      </c>
      <c r="D703" s="1" t="s">
        <v>1118</v>
      </c>
      <c r="E703">
        <v>97</v>
      </c>
      <c r="F703" s="1" t="s">
        <v>732</v>
      </c>
    </row>
    <row r="704" spans="1:6" x14ac:dyDescent="0.25">
      <c r="A704" s="1" t="s">
        <v>902</v>
      </c>
      <c r="B704" s="2">
        <v>45210.802777777782</v>
      </c>
      <c r="C704" s="3">
        <v>45210.802777777782</v>
      </c>
      <c r="D704" s="1" t="s">
        <v>937</v>
      </c>
      <c r="E704">
        <v>9</v>
      </c>
      <c r="F704" s="1" t="s">
        <v>735</v>
      </c>
    </row>
    <row r="705" spans="1:6" x14ac:dyDescent="0.25">
      <c r="A705" s="1" t="s">
        <v>1114</v>
      </c>
      <c r="B705" s="2">
        <v>45210.703472222223</v>
      </c>
      <c r="C705" s="3">
        <v>45210.703472222223</v>
      </c>
      <c r="D705" s="1" t="s">
        <v>1120</v>
      </c>
      <c r="E705">
        <v>20</v>
      </c>
      <c r="F705" s="1" t="s">
        <v>732</v>
      </c>
    </row>
    <row r="706" spans="1:6" x14ac:dyDescent="0.25">
      <c r="A706" s="1" t="s">
        <v>1361</v>
      </c>
      <c r="B706" s="2">
        <v>45210.689583333333</v>
      </c>
      <c r="C706" s="3">
        <v>45210.689583333333</v>
      </c>
      <c r="D706" s="1" t="s">
        <v>1012</v>
      </c>
      <c r="E706">
        <v>16</v>
      </c>
      <c r="F706" s="1" t="s">
        <v>732</v>
      </c>
    </row>
    <row r="707" spans="1:6" x14ac:dyDescent="0.25">
      <c r="A707" s="1" t="s">
        <v>1138</v>
      </c>
      <c r="B707" s="2">
        <v>45210.686111111107</v>
      </c>
      <c r="C707" s="3">
        <v>45210.686111111107</v>
      </c>
      <c r="D707" s="1" t="s">
        <v>1157</v>
      </c>
      <c r="E707">
        <v>62</v>
      </c>
      <c r="F707" s="1" t="s">
        <v>735</v>
      </c>
    </row>
    <row r="708" spans="1:6" x14ac:dyDescent="0.25">
      <c r="A708" s="1" t="s">
        <v>1345</v>
      </c>
      <c r="B708" s="2">
        <v>45210.675000000003</v>
      </c>
      <c r="C708" s="3">
        <v>45210.675000000003</v>
      </c>
      <c r="D708" s="1" t="s">
        <v>944</v>
      </c>
      <c r="E708">
        <v>86</v>
      </c>
      <c r="F708" s="1" t="s">
        <v>737</v>
      </c>
    </row>
    <row r="709" spans="1:6" x14ac:dyDescent="0.25">
      <c r="A709" s="1" t="s">
        <v>823</v>
      </c>
      <c r="B709" s="2">
        <v>45210.568055555559</v>
      </c>
      <c r="C709" s="3">
        <v>45210.568055555559</v>
      </c>
      <c r="D709" s="1" t="s">
        <v>829</v>
      </c>
      <c r="E709">
        <v>96</v>
      </c>
      <c r="F709" s="1" t="s">
        <v>732</v>
      </c>
    </row>
    <row r="710" spans="1:6" x14ac:dyDescent="0.25">
      <c r="A710" s="1" t="s">
        <v>1288</v>
      </c>
      <c r="B710" s="2">
        <v>45210.511805555558</v>
      </c>
      <c r="C710" s="3">
        <v>45210.511805555558</v>
      </c>
      <c r="D710" s="1" t="s">
        <v>1307</v>
      </c>
      <c r="E710">
        <v>27</v>
      </c>
      <c r="F710" s="1" t="s">
        <v>735</v>
      </c>
    </row>
    <row r="711" spans="1:6" x14ac:dyDescent="0.25">
      <c r="A711" s="1" t="s">
        <v>1193</v>
      </c>
      <c r="B711" s="2">
        <v>45210.5</v>
      </c>
      <c r="C711" s="3">
        <v>45210.5</v>
      </c>
      <c r="D711" s="1" t="s">
        <v>1212</v>
      </c>
      <c r="E711">
        <v>30</v>
      </c>
      <c r="F711" s="1" t="s">
        <v>732</v>
      </c>
    </row>
    <row r="712" spans="1:6" x14ac:dyDescent="0.25">
      <c r="A712" s="1" t="s">
        <v>1241</v>
      </c>
      <c r="B712" s="2">
        <v>45210.49722222222</v>
      </c>
      <c r="C712" s="3">
        <v>45210.49722222222</v>
      </c>
      <c r="D712" s="1" t="s">
        <v>964</v>
      </c>
      <c r="E712">
        <v>75</v>
      </c>
      <c r="F712" s="1" t="s">
        <v>737</v>
      </c>
    </row>
    <row r="713" spans="1:6" x14ac:dyDescent="0.25">
      <c r="A713" s="1" t="s">
        <v>999</v>
      </c>
      <c r="B713" s="2">
        <v>45210.458333333343</v>
      </c>
      <c r="C713" s="3">
        <v>45210.458333333343</v>
      </c>
      <c r="D713" s="1" t="s">
        <v>920</v>
      </c>
      <c r="E713">
        <v>95</v>
      </c>
      <c r="F713" s="1" t="s">
        <v>735</v>
      </c>
    </row>
    <row r="714" spans="1:6" x14ac:dyDescent="0.25">
      <c r="A714" s="1" t="s">
        <v>861</v>
      </c>
      <c r="B714" s="2">
        <v>45210.45</v>
      </c>
      <c r="C714" s="3">
        <v>45210.45</v>
      </c>
      <c r="D714" s="1" t="s">
        <v>872</v>
      </c>
      <c r="E714">
        <v>66</v>
      </c>
      <c r="F714" s="1" t="s">
        <v>732</v>
      </c>
    </row>
    <row r="715" spans="1:6" x14ac:dyDescent="0.25">
      <c r="A715" s="1" t="s">
        <v>1165</v>
      </c>
      <c r="B715" s="2">
        <v>45210.39166666667</v>
      </c>
      <c r="C715" s="3">
        <v>45210.39166666667</v>
      </c>
      <c r="D715" s="1" t="s">
        <v>832</v>
      </c>
      <c r="E715">
        <v>85</v>
      </c>
      <c r="F715" s="1" t="s">
        <v>735</v>
      </c>
    </row>
    <row r="716" spans="1:6" x14ac:dyDescent="0.25">
      <c r="A716" s="1" t="s">
        <v>1241</v>
      </c>
      <c r="B716" s="2">
        <v>45210.38958333333</v>
      </c>
      <c r="C716" s="3">
        <v>45210.38958333333</v>
      </c>
      <c r="D716" s="1" t="s">
        <v>919</v>
      </c>
      <c r="E716">
        <v>85</v>
      </c>
      <c r="F716" s="1" t="s">
        <v>732</v>
      </c>
    </row>
    <row r="717" spans="1:6" x14ac:dyDescent="0.25">
      <c r="A717" s="1" t="s">
        <v>1165</v>
      </c>
      <c r="B717" s="2">
        <v>45210.366666666669</v>
      </c>
      <c r="C717" s="3">
        <v>45210.366666666669</v>
      </c>
      <c r="D717" s="1" t="s">
        <v>1192</v>
      </c>
      <c r="E717">
        <v>67</v>
      </c>
      <c r="F717" s="1" t="s">
        <v>735</v>
      </c>
    </row>
    <row r="718" spans="1:6" x14ac:dyDescent="0.25">
      <c r="A718" s="1" t="s">
        <v>1261</v>
      </c>
      <c r="B718" s="2">
        <v>45210.30972222222</v>
      </c>
      <c r="C718" s="3">
        <v>45210.30972222222</v>
      </c>
      <c r="D718" s="1" t="s">
        <v>1069</v>
      </c>
      <c r="E718">
        <v>47</v>
      </c>
      <c r="F718" s="1" t="s">
        <v>735</v>
      </c>
    </row>
    <row r="719" spans="1:6" x14ac:dyDescent="0.25">
      <c r="A719" s="1" t="s">
        <v>939</v>
      </c>
      <c r="B719" s="2">
        <v>45210.280555555553</v>
      </c>
      <c r="C719" s="3">
        <v>45210.280555555553</v>
      </c>
      <c r="D719" s="1" t="s">
        <v>941</v>
      </c>
      <c r="E719">
        <v>43</v>
      </c>
      <c r="F719" s="1" t="s">
        <v>735</v>
      </c>
    </row>
    <row r="720" spans="1:6" x14ac:dyDescent="0.25">
      <c r="A720" s="1" t="s">
        <v>861</v>
      </c>
      <c r="B720" s="2">
        <v>45210.270138888889</v>
      </c>
      <c r="C720" s="3">
        <v>45210.270138888889</v>
      </c>
      <c r="D720" s="1" t="s">
        <v>871</v>
      </c>
      <c r="E720">
        <v>104</v>
      </c>
      <c r="F720" s="1" t="s">
        <v>737</v>
      </c>
    </row>
    <row r="721" spans="1:6" x14ac:dyDescent="0.25">
      <c r="A721" s="1" t="s">
        <v>1308</v>
      </c>
      <c r="B721" s="2">
        <v>45210.24722222222</v>
      </c>
      <c r="C721" s="3">
        <v>45210.24722222222</v>
      </c>
      <c r="D721" s="1" t="s">
        <v>1300</v>
      </c>
      <c r="E721">
        <v>74</v>
      </c>
      <c r="F721" s="1" t="s">
        <v>732</v>
      </c>
    </row>
    <row r="722" spans="1:6" x14ac:dyDescent="0.25">
      <c r="A722" s="1" t="s">
        <v>1059</v>
      </c>
      <c r="B722" s="2">
        <v>45210.168055555558</v>
      </c>
      <c r="C722" s="3">
        <v>45210.168055555558</v>
      </c>
      <c r="D722" s="1" t="s">
        <v>1074</v>
      </c>
      <c r="E722">
        <v>110</v>
      </c>
      <c r="F722" s="1" t="s">
        <v>732</v>
      </c>
    </row>
    <row r="723" spans="1:6" x14ac:dyDescent="0.25">
      <c r="A723" s="1" t="s">
        <v>730</v>
      </c>
      <c r="B723" s="2">
        <v>45210.128472222219</v>
      </c>
      <c r="C723" s="3">
        <v>45210.128472222219</v>
      </c>
      <c r="D723" s="1" t="s">
        <v>750</v>
      </c>
      <c r="E723">
        <v>115</v>
      </c>
      <c r="F723" s="1" t="s">
        <v>732</v>
      </c>
    </row>
    <row r="724" spans="1:6" x14ac:dyDescent="0.25">
      <c r="A724" s="1" t="s">
        <v>939</v>
      </c>
      <c r="B724" s="2">
        <v>45210.054166666669</v>
      </c>
      <c r="C724" s="3">
        <v>45210.054166666669</v>
      </c>
      <c r="D724" s="1" t="s">
        <v>965</v>
      </c>
      <c r="E724">
        <v>68</v>
      </c>
      <c r="F724" s="1" t="s">
        <v>737</v>
      </c>
    </row>
    <row r="725" spans="1:6" x14ac:dyDescent="0.25">
      <c r="A725" s="1" t="s">
        <v>730</v>
      </c>
      <c r="B725" s="2">
        <v>45210.051388888889</v>
      </c>
      <c r="C725" s="3">
        <v>45210.051388888889</v>
      </c>
      <c r="D725" s="1" t="s">
        <v>771</v>
      </c>
      <c r="E725">
        <v>73</v>
      </c>
      <c r="F725" s="1" t="s">
        <v>732</v>
      </c>
    </row>
    <row r="726" spans="1:6" x14ac:dyDescent="0.25">
      <c r="A726" s="1" t="s">
        <v>1361</v>
      </c>
      <c r="B726" s="2">
        <v>45210.03125</v>
      </c>
      <c r="C726" s="3">
        <v>45210.03125</v>
      </c>
      <c r="D726" s="1" t="s">
        <v>1072</v>
      </c>
      <c r="E726">
        <v>63</v>
      </c>
      <c r="F726" s="1" t="s">
        <v>737</v>
      </c>
    </row>
    <row r="727" spans="1:6" x14ac:dyDescent="0.25">
      <c r="A727" s="1" t="s">
        <v>978</v>
      </c>
      <c r="B727" s="2">
        <v>45210.007638888892</v>
      </c>
      <c r="C727" s="3">
        <v>45210.007638888892</v>
      </c>
      <c r="D727" s="1" t="s">
        <v>998</v>
      </c>
      <c r="E727">
        <v>59</v>
      </c>
      <c r="F727" s="1" t="s">
        <v>735</v>
      </c>
    </row>
    <row r="728" spans="1:6" x14ac:dyDescent="0.25">
      <c r="A728" s="1" t="s">
        <v>1241</v>
      </c>
      <c r="B728" s="2">
        <v>45209.988888888889</v>
      </c>
      <c r="C728" s="3">
        <v>45209.988888888889</v>
      </c>
      <c r="D728" s="1" t="s">
        <v>1254</v>
      </c>
      <c r="E728">
        <v>80</v>
      </c>
      <c r="F728" s="1" t="s">
        <v>735</v>
      </c>
    </row>
    <row r="729" spans="1:6" x14ac:dyDescent="0.25">
      <c r="A729" s="1" t="s">
        <v>1308</v>
      </c>
      <c r="B729" s="2">
        <v>45209.988888888889</v>
      </c>
      <c r="C729" s="3">
        <v>45209.988888888889</v>
      </c>
      <c r="D729" s="1" t="s">
        <v>1200</v>
      </c>
      <c r="E729">
        <v>51</v>
      </c>
      <c r="F729" s="1" t="s">
        <v>735</v>
      </c>
    </row>
    <row r="730" spans="1:6" x14ac:dyDescent="0.25">
      <c r="A730" s="1" t="s">
        <v>1330</v>
      </c>
      <c r="B730" s="2">
        <v>45209.977777777778</v>
      </c>
      <c r="C730" s="3">
        <v>45209.977777777778</v>
      </c>
      <c r="D730" s="1" t="s">
        <v>1255</v>
      </c>
      <c r="E730">
        <v>6</v>
      </c>
      <c r="F730" s="1" t="s">
        <v>737</v>
      </c>
    </row>
    <row r="731" spans="1:6" x14ac:dyDescent="0.25">
      <c r="A731" s="1" t="s">
        <v>902</v>
      </c>
      <c r="B731" s="2">
        <v>45209.954861111109</v>
      </c>
      <c r="C731" s="3">
        <v>45209.954861111109</v>
      </c>
      <c r="D731" s="1" t="s">
        <v>924</v>
      </c>
      <c r="E731">
        <v>57</v>
      </c>
      <c r="F731" s="1" t="s">
        <v>732</v>
      </c>
    </row>
    <row r="732" spans="1:6" x14ac:dyDescent="0.25">
      <c r="A732" s="1" t="s">
        <v>1382</v>
      </c>
      <c r="B732" s="2">
        <v>45209.940972222219</v>
      </c>
      <c r="C732" s="3">
        <v>45209.940972222219</v>
      </c>
      <c r="D732" s="1" t="s">
        <v>1158</v>
      </c>
      <c r="E732">
        <v>30</v>
      </c>
      <c r="F732" s="1" t="s">
        <v>737</v>
      </c>
    </row>
    <row r="733" spans="1:6" x14ac:dyDescent="0.25">
      <c r="A733" s="1" t="s">
        <v>1330</v>
      </c>
      <c r="B733" s="2">
        <v>45209.938888888893</v>
      </c>
      <c r="C733" s="3">
        <v>45209.938888888893</v>
      </c>
      <c r="D733" s="1" t="s">
        <v>792</v>
      </c>
      <c r="E733">
        <v>37</v>
      </c>
      <c r="F733" s="1" t="s">
        <v>735</v>
      </c>
    </row>
    <row r="734" spans="1:6" x14ac:dyDescent="0.25">
      <c r="A734" s="1" t="s">
        <v>1114</v>
      </c>
      <c r="B734" s="2">
        <v>45209.925694444442</v>
      </c>
      <c r="C734" s="3">
        <v>45209.925694444442</v>
      </c>
      <c r="D734" s="1" t="s">
        <v>1136</v>
      </c>
      <c r="E734">
        <v>35</v>
      </c>
      <c r="F734" s="1" t="s">
        <v>732</v>
      </c>
    </row>
    <row r="735" spans="1:6" x14ac:dyDescent="0.25">
      <c r="A735" s="1" t="s">
        <v>1138</v>
      </c>
      <c r="B735" s="2">
        <v>45209.921527777777</v>
      </c>
      <c r="C735" s="3">
        <v>45209.921527777777</v>
      </c>
      <c r="D735" s="1" t="s">
        <v>922</v>
      </c>
      <c r="E735">
        <v>119</v>
      </c>
      <c r="F735" s="1" t="s">
        <v>732</v>
      </c>
    </row>
    <row r="736" spans="1:6" x14ac:dyDescent="0.25">
      <c r="A736" s="1" t="s">
        <v>1404</v>
      </c>
      <c r="B736" s="2">
        <v>45209.913888888892</v>
      </c>
      <c r="C736" s="3">
        <v>45209.913888888892</v>
      </c>
      <c r="D736" s="1" t="s">
        <v>1057</v>
      </c>
      <c r="E736">
        <v>111</v>
      </c>
      <c r="F736" s="1" t="s">
        <v>737</v>
      </c>
    </row>
    <row r="737" spans="1:6" x14ac:dyDescent="0.25">
      <c r="A737" s="1" t="s">
        <v>1261</v>
      </c>
      <c r="B737" s="2">
        <v>45209.907638888893</v>
      </c>
      <c r="C737" s="3">
        <v>45209.907638888893</v>
      </c>
      <c r="D737" s="1" t="s">
        <v>1264</v>
      </c>
      <c r="E737">
        <v>99</v>
      </c>
      <c r="F737" s="1" t="s">
        <v>737</v>
      </c>
    </row>
    <row r="738" spans="1:6" x14ac:dyDescent="0.25">
      <c r="A738" s="1" t="s">
        <v>999</v>
      </c>
      <c r="B738" s="2">
        <v>45209.904861111107</v>
      </c>
      <c r="C738" s="3">
        <v>45209.904861111107</v>
      </c>
      <c r="D738" s="1" t="s">
        <v>759</v>
      </c>
      <c r="E738">
        <v>45</v>
      </c>
      <c r="F738" s="1" t="s">
        <v>737</v>
      </c>
    </row>
    <row r="739" spans="1:6" x14ac:dyDescent="0.25">
      <c r="A739" s="1" t="s">
        <v>861</v>
      </c>
      <c r="B739" s="2">
        <v>45209.901388888888</v>
      </c>
      <c r="C739" s="3">
        <v>45209.901388888888</v>
      </c>
      <c r="D739" s="1" t="s">
        <v>893</v>
      </c>
      <c r="E739">
        <v>68</v>
      </c>
      <c r="F739" s="1" t="s">
        <v>735</v>
      </c>
    </row>
    <row r="740" spans="1:6" x14ac:dyDescent="0.25">
      <c r="A740" s="1" t="s">
        <v>939</v>
      </c>
      <c r="B740" s="2">
        <v>45209.898611111108</v>
      </c>
      <c r="C740" s="3">
        <v>45209.898611111108</v>
      </c>
      <c r="D740" s="1" t="s">
        <v>910</v>
      </c>
      <c r="E740">
        <v>29</v>
      </c>
      <c r="F740" s="1" t="s">
        <v>735</v>
      </c>
    </row>
    <row r="741" spans="1:6" x14ac:dyDescent="0.25">
      <c r="A741" s="1" t="s">
        <v>939</v>
      </c>
      <c r="B741" s="2">
        <v>45209.852083333331</v>
      </c>
      <c r="C741" s="3">
        <v>45209.852083333331</v>
      </c>
      <c r="D741" s="1" t="s">
        <v>976</v>
      </c>
      <c r="E741">
        <v>91</v>
      </c>
      <c r="F741" s="1" t="s">
        <v>737</v>
      </c>
    </row>
    <row r="742" spans="1:6" x14ac:dyDescent="0.25">
      <c r="A742" s="1" t="s">
        <v>902</v>
      </c>
      <c r="B742" s="2">
        <v>45209.824305555558</v>
      </c>
      <c r="C742" s="3">
        <v>45209.824305555558</v>
      </c>
      <c r="D742" s="1" t="s">
        <v>863</v>
      </c>
      <c r="E742">
        <v>93</v>
      </c>
      <c r="F742" s="1" t="s">
        <v>737</v>
      </c>
    </row>
    <row r="743" spans="1:6" x14ac:dyDescent="0.25">
      <c r="A743" s="1" t="s">
        <v>1086</v>
      </c>
      <c r="B743" s="2">
        <v>45209.81527777778</v>
      </c>
      <c r="C743" s="3">
        <v>45209.81527777778</v>
      </c>
      <c r="D743" s="1" t="s">
        <v>822</v>
      </c>
      <c r="E743">
        <v>115</v>
      </c>
      <c r="F743" s="1" t="s">
        <v>737</v>
      </c>
    </row>
    <row r="744" spans="1:6" x14ac:dyDescent="0.25">
      <c r="A744" s="1" t="s">
        <v>1138</v>
      </c>
      <c r="B744" s="2">
        <v>45209.781944444447</v>
      </c>
      <c r="C744" s="3">
        <v>45209.781944444447</v>
      </c>
      <c r="D744" s="1" t="s">
        <v>1110</v>
      </c>
      <c r="E744">
        <v>10</v>
      </c>
      <c r="F744" s="1" t="s">
        <v>735</v>
      </c>
    </row>
    <row r="745" spans="1:6" x14ac:dyDescent="0.25">
      <c r="A745" s="1" t="s">
        <v>902</v>
      </c>
      <c r="B745" s="2">
        <v>45209.777083333327</v>
      </c>
      <c r="C745" s="3">
        <v>45209.777083333327</v>
      </c>
      <c r="D745" s="1" t="s">
        <v>916</v>
      </c>
      <c r="E745">
        <v>40</v>
      </c>
      <c r="F745" s="1" t="s">
        <v>737</v>
      </c>
    </row>
    <row r="746" spans="1:6" x14ac:dyDescent="0.25">
      <c r="A746" s="1" t="s">
        <v>1024</v>
      </c>
      <c r="B746" s="2">
        <v>45209.724999999999</v>
      </c>
      <c r="C746" s="3">
        <v>45209.724999999999</v>
      </c>
      <c r="D746" s="1" t="s">
        <v>1048</v>
      </c>
      <c r="E746">
        <v>97</v>
      </c>
      <c r="F746" s="1" t="s">
        <v>737</v>
      </c>
    </row>
    <row r="747" spans="1:6" x14ac:dyDescent="0.25">
      <c r="A747" s="1" t="s">
        <v>1059</v>
      </c>
      <c r="B747" s="2">
        <v>45209.684027777781</v>
      </c>
      <c r="C747" s="3">
        <v>45209.684027777781</v>
      </c>
      <c r="D747" s="1" t="s">
        <v>931</v>
      </c>
      <c r="E747">
        <v>44</v>
      </c>
      <c r="F747" s="1" t="s">
        <v>737</v>
      </c>
    </row>
    <row r="748" spans="1:6" x14ac:dyDescent="0.25">
      <c r="A748" s="1" t="s">
        <v>823</v>
      </c>
      <c r="B748" s="2">
        <v>45209.679861111108</v>
      </c>
      <c r="C748" s="3">
        <v>45209.679861111108</v>
      </c>
      <c r="D748" s="1" t="s">
        <v>840</v>
      </c>
      <c r="E748">
        <v>115</v>
      </c>
      <c r="F748" s="1" t="s">
        <v>737</v>
      </c>
    </row>
    <row r="749" spans="1:6" x14ac:dyDescent="0.25">
      <c r="A749" s="1" t="s">
        <v>1193</v>
      </c>
      <c r="B749" s="2">
        <v>45209.659722222219</v>
      </c>
      <c r="C749" s="3">
        <v>45209.659722222219</v>
      </c>
      <c r="D749" s="1" t="s">
        <v>990</v>
      </c>
      <c r="E749">
        <v>67</v>
      </c>
      <c r="F749" s="1" t="s">
        <v>737</v>
      </c>
    </row>
    <row r="750" spans="1:6" x14ac:dyDescent="0.25">
      <c r="A750" s="1" t="s">
        <v>902</v>
      </c>
      <c r="B750" s="2">
        <v>45209.588194444441</v>
      </c>
      <c r="C750" s="3">
        <v>45209.588194444441</v>
      </c>
      <c r="D750" s="1" t="s">
        <v>853</v>
      </c>
      <c r="E750">
        <v>41</v>
      </c>
      <c r="F750" s="1" t="s">
        <v>735</v>
      </c>
    </row>
    <row r="751" spans="1:6" x14ac:dyDescent="0.25">
      <c r="A751" s="1" t="s">
        <v>1219</v>
      </c>
      <c r="B751" s="2">
        <v>45209.581944444442</v>
      </c>
      <c r="C751" s="3">
        <v>45209.581944444442</v>
      </c>
      <c r="D751" s="1" t="s">
        <v>1222</v>
      </c>
      <c r="E751">
        <v>93</v>
      </c>
      <c r="F751" s="1" t="s">
        <v>735</v>
      </c>
    </row>
    <row r="752" spans="1:6" x14ac:dyDescent="0.25">
      <c r="A752" s="1" t="s">
        <v>1193</v>
      </c>
      <c r="B752" s="2">
        <v>45209.558333333327</v>
      </c>
      <c r="C752" s="3">
        <v>45209.558333333327</v>
      </c>
      <c r="D752" s="1" t="s">
        <v>1213</v>
      </c>
      <c r="E752">
        <v>66</v>
      </c>
      <c r="F752" s="1" t="s">
        <v>735</v>
      </c>
    </row>
    <row r="753" spans="1:6" x14ac:dyDescent="0.25">
      <c r="A753" s="1" t="s">
        <v>1086</v>
      </c>
      <c r="B753" s="2">
        <v>45209.53125</v>
      </c>
      <c r="C753" s="3">
        <v>45209.53125</v>
      </c>
      <c r="D753" s="1" t="s">
        <v>1096</v>
      </c>
      <c r="E753">
        <v>63</v>
      </c>
      <c r="F753" s="1" t="s">
        <v>732</v>
      </c>
    </row>
    <row r="754" spans="1:6" x14ac:dyDescent="0.25">
      <c r="A754" s="1" t="s">
        <v>823</v>
      </c>
      <c r="B754" s="2">
        <v>45209.524305555547</v>
      </c>
      <c r="C754" s="3">
        <v>45209.524305555547</v>
      </c>
      <c r="D754" s="1" t="s">
        <v>847</v>
      </c>
      <c r="E754">
        <v>27</v>
      </c>
      <c r="F754" s="1" t="s">
        <v>737</v>
      </c>
    </row>
    <row r="755" spans="1:6" x14ac:dyDescent="0.25">
      <c r="A755" s="1" t="s">
        <v>999</v>
      </c>
      <c r="B755" s="2">
        <v>45209.462500000001</v>
      </c>
      <c r="C755" s="3">
        <v>45209.462500000001</v>
      </c>
      <c r="D755" s="1" t="s">
        <v>998</v>
      </c>
      <c r="E755">
        <v>102</v>
      </c>
      <c r="F755" s="1" t="s">
        <v>737</v>
      </c>
    </row>
    <row r="756" spans="1:6" x14ac:dyDescent="0.25">
      <c r="A756" s="1" t="s">
        <v>1261</v>
      </c>
      <c r="B756" s="2">
        <v>45209.388888888891</v>
      </c>
      <c r="C756" s="3">
        <v>45209.388888888891</v>
      </c>
      <c r="D756" s="1" t="s">
        <v>1286</v>
      </c>
      <c r="E756">
        <v>44</v>
      </c>
      <c r="F756" s="1" t="s">
        <v>732</v>
      </c>
    </row>
    <row r="757" spans="1:6" x14ac:dyDescent="0.25">
      <c r="A757" s="1" t="s">
        <v>1024</v>
      </c>
      <c r="B757" s="2">
        <v>45209.365277777782</v>
      </c>
      <c r="C757" s="3">
        <v>45209.365277777782</v>
      </c>
      <c r="D757" s="1" t="s">
        <v>1042</v>
      </c>
      <c r="E757">
        <v>120</v>
      </c>
      <c r="F757" s="1" t="s">
        <v>732</v>
      </c>
    </row>
    <row r="758" spans="1:6" x14ac:dyDescent="0.25">
      <c r="A758" s="1" t="s">
        <v>1193</v>
      </c>
      <c r="B758" s="2">
        <v>45209.354861111111</v>
      </c>
      <c r="C758" s="3">
        <v>45209.354861111111</v>
      </c>
      <c r="D758" s="1" t="s">
        <v>1148</v>
      </c>
      <c r="E758">
        <v>99</v>
      </c>
      <c r="F758" s="1" t="s">
        <v>735</v>
      </c>
    </row>
    <row r="759" spans="1:6" x14ac:dyDescent="0.25">
      <c r="A759" s="1" t="s">
        <v>823</v>
      </c>
      <c r="B759" s="2">
        <v>45209.32708333333</v>
      </c>
      <c r="C759" s="3">
        <v>45209.32708333333</v>
      </c>
      <c r="D759" s="1" t="s">
        <v>857</v>
      </c>
      <c r="E759">
        <v>107</v>
      </c>
      <c r="F759" s="1" t="s">
        <v>735</v>
      </c>
    </row>
    <row r="760" spans="1:6" x14ac:dyDescent="0.25">
      <c r="A760" s="1" t="s">
        <v>823</v>
      </c>
      <c r="B760" s="2">
        <v>45209.268750000003</v>
      </c>
      <c r="C760" s="3">
        <v>45209.268750000003</v>
      </c>
      <c r="D760" s="1" t="s">
        <v>849</v>
      </c>
      <c r="E760">
        <v>94</v>
      </c>
      <c r="F760" s="1" t="s">
        <v>735</v>
      </c>
    </row>
    <row r="761" spans="1:6" x14ac:dyDescent="0.25">
      <c r="A761" s="1" t="s">
        <v>1059</v>
      </c>
      <c r="B761" s="2">
        <v>45209.251388888893</v>
      </c>
      <c r="C761" s="3">
        <v>45209.251388888893</v>
      </c>
      <c r="D761" s="1" t="s">
        <v>986</v>
      </c>
      <c r="E761">
        <v>46</v>
      </c>
      <c r="F761" s="1" t="s">
        <v>735</v>
      </c>
    </row>
    <row r="762" spans="1:6" x14ac:dyDescent="0.25">
      <c r="A762" s="1" t="s">
        <v>1086</v>
      </c>
      <c r="B762" s="2">
        <v>45209.239583333343</v>
      </c>
      <c r="C762" s="3">
        <v>45209.239583333343</v>
      </c>
      <c r="D762" s="1" t="s">
        <v>1088</v>
      </c>
      <c r="E762">
        <v>42</v>
      </c>
      <c r="F762" s="1" t="s">
        <v>737</v>
      </c>
    </row>
    <row r="763" spans="1:6" x14ac:dyDescent="0.25">
      <c r="A763" s="1" t="s">
        <v>1086</v>
      </c>
      <c r="B763" s="2">
        <v>45209.215277777781</v>
      </c>
      <c r="C763" s="3">
        <v>45209.215277777781</v>
      </c>
      <c r="D763" s="1" t="s">
        <v>1076</v>
      </c>
      <c r="E763">
        <v>23</v>
      </c>
      <c r="F763" s="1" t="s">
        <v>737</v>
      </c>
    </row>
    <row r="764" spans="1:6" x14ac:dyDescent="0.25">
      <c r="A764" s="1" t="s">
        <v>1241</v>
      </c>
      <c r="B764" s="2">
        <v>45209.183333333327</v>
      </c>
      <c r="C764" s="3">
        <v>45209.183333333327</v>
      </c>
      <c r="D764" s="1" t="s">
        <v>1259</v>
      </c>
      <c r="E764">
        <v>81</v>
      </c>
      <c r="F764" s="1" t="s">
        <v>735</v>
      </c>
    </row>
    <row r="765" spans="1:6" x14ac:dyDescent="0.25">
      <c r="A765" s="1" t="s">
        <v>1308</v>
      </c>
      <c r="B765" s="2">
        <v>45209.174305555563</v>
      </c>
      <c r="C765" s="3">
        <v>45209.174305555563</v>
      </c>
      <c r="D765" s="1" t="s">
        <v>1284</v>
      </c>
      <c r="E765">
        <v>5</v>
      </c>
      <c r="F765" s="1" t="s">
        <v>732</v>
      </c>
    </row>
    <row r="766" spans="1:6" x14ac:dyDescent="0.25">
      <c r="A766" s="1" t="s">
        <v>1086</v>
      </c>
      <c r="B766" s="2">
        <v>45209.094444444447</v>
      </c>
      <c r="C766" s="3">
        <v>45209.094444444447</v>
      </c>
      <c r="D766" s="1" t="s">
        <v>1106</v>
      </c>
      <c r="E766">
        <v>96</v>
      </c>
      <c r="F766" s="1" t="s">
        <v>732</v>
      </c>
    </row>
    <row r="767" spans="1:6" x14ac:dyDescent="0.25">
      <c r="A767" s="1" t="s">
        <v>1330</v>
      </c>
      <c r="B767" s="2">
        <v>45209.01666666667</v>
      </c>
      <c r="C767" s="3">
        <v>45209.01666666667</v>
      </c>
      <c r="D767" s="1" t="s">
        <v>1343</v>
      </c>
      <c r="E767">
        <v>43</v>
      </c>
      <c r="F767" s="1" t="s">
        <v>732</v>
      </c>
    </row>
    <row r="768" spans="1:6" x14ac:dyDescent="0.25">
      <c r="A768" s="1" t="s">
        <v>1361</v>
      </c>
      <c r="B768" s="2">
        <v>45208.961805555547</v>
      </c>
      <c r="C768" s="3">
        <v>45208.961805555547</v>
      </c>
      <c r="D768" s="1" t="s">
        <v>1363</v>
      </c>
      <c r="E768">
        <v>68</v>
      </c>
      <c r="F768" s="1" t="s">
        <v>732</v>
      </c>
    </row>
    <row r="769" spans="1:6" x14ac:dyDescent="0.25">
      <c r="A769" s="1" t="s">
        <v>1059</v>
      </c>
      <c r="B769" s="2">
        <v>45208.959027777782</v>
      </c>
      <c r="C769" s="3">
        <v>45208.959027777782</v>
      </c>
      <c r="D769" s="1" t="s">
        <v>797</v>
      </c>
      <c r="E769">
        <v>98</v>
      </c>
      <c r="F769" s="1" t="s">
        <v>737</v>
      </c>
    </row>
    <row r="770" spans="1:6" x14ac:dyDescent="0.25">
      <c r="A770" s="1" t="s">
        <v>730</v>
      </c>
      <c r="B770" s="2">
        <v>45208.957638888889</v>
      </c>
      <c r="C770" s="3">
        <v>45208.957638888889</v>
      </c>
      <c r="D770" s="1" t="s">
        <v>764</v>
      </c>
      <c r="E770">
        <v>115</v>
      </c>
      <c r="F770" s="1" t="s">
        <v>732</v>
      </c>
    </row>
    <row r="771" spans="1:6" x14ac:dyDescent="0.25">
      <c r="A771" s="1" t="s">
        <v>730</v>
      </c>
      <c r="B771" s="2">
        <v>45208.863888888889</v>
      </c>
      <c r="C771" s="3">
        <v>45208.863888888889</v>
      </c>
      <c r="D771" s="1" t="s">
        <v>769</v>
      </c>
      <c r="E771">
        <v>92</v>
      </c>
      <c r="F771" s="1" t="s">
        <v>732</v>
      </c>
    </row>
    <row r="772" spans="1:6" x14ac:dyDescent="0.25">
      <c r="A772" s="1" t="s">
        <v>1345</v>
      </c>
      <c r="B772" s="2">
        <v>45208.762499999997</v>
      </c>
      <c r="C772" s="3">
        <v>45208.762499999997</v>
      </c>
      <c r="D772" s="1" t="s">
        <v>1347</v>
      </c>
      <c r="E772">
        <v>101</v>
      </c>
      <c r="F772" s="1" t="s">
        <v>732</v>
      </c>
    </row>
    <row r="773" spans="1:6" x14ac:dyDescent="0.25">
      <c r="A773" s="1" t="s">
        <v>1404</v>
      </c>
      <c r="B773" s="2">
        <v>45208.711111111108</v>
      </c>
      <c r="C773" s="3">
        <v>45208.711111111108</v>
      </c>
      <c r="D773" s="1" t="s">
        <v>1085</v>
      </c>
      <c r="E773">
        <v>75</v>
      </c>
      <c r="F773" s="1" t="s">
        <v>735</v>
      </c>
    </row>
    <row r="774" spans="1:6" x14ac:dyDescent="0.25">
      <c r="A774" s="1" t="s">
        <v>1330</v>
      </c>
      <c r="B774" s="2">
        <v>45208.662499999999</v>
      </c>
      <c r="C774" s="3">
        <v>45208.662499999999</v>
      </c>
      <c r="D774" s="1" t="s">
        <v>1336</v>
      </c>
      <c r="E774">
        <v>104</v>
      </c>
      <c r="F774" s="1" t="s">
        <v>737</v>
      </c>
    </row>
    <row r="775" spans="1:6" x14ac:dyDescent="0.25">
      <c r="A775" s="1" t="s">
        <v>939</v>
      </c>
      <c r="B775" s="2">
        <v>45208.594444444447</v>
      </c>
      <c r="C775" s="3">
        <v>45208.594444444447</v>
      </c>
      <c r="D775" s="1" t="s">
        <v>972</v>
      </c>
      <c r="E775">
        <v>50</v>
      </c>
      <c r="F775" s="1" t="s">
        <v>732</v>
      </c>
    </row>
    <row r="776" spans="1:6" x14ac:dyDescent="0.25">
      <c r="A776" s="1" t="s">
        <v>1404</v>
      </c>
      <c r="B776" s="2">
        <v>45208.558333333327</v>
      </c>
      <c r="C776" s="3">
        <v>45208.558333333327</v>
      </c>
      <c r="D776" s="1" t="s">
        <v>1397</v>
      </c>
      <c r="E776">
        <v>44</v>
      </c>
      <c r="F776" s="1" t="s">
        <v>737</v>
      </c>
    </row>
    <row r="777" spans="1:6" x14ac:dyDescent="0.25">
      <c r="A777" s="1" t="s">
        <v>1165</v>
      </c>
      <c r="B777" s="2">
        <v>45208.529861111107</v>
      </c>
      <c r="C777" s="3">
        <v>45208.529861111107</v>
      </c>
      <c r="D777" s="1" t="s">
        <v>1175</v>
      </c>
      <c r="E777">
        <v>72</v>
      </c>
      <c r="F777" s="1" t="s">
        <v>737</v>
      </c>
    </row>
    <row r="778" spans="1:6" x14ac:dyDescent="0.25">
      <c r="A778" s="1" t="s">
        <v>1330</v>
      </c>
      <c r="B778" s="2">
        <v>45208.52847222222</v>
      </c>
      <c r="C778" s="3">
        <v>45208.52847222222</v>
      </c>
      <c r="D778" s="1" t="s">
        <v>910</v>
      </c>
      <c r="E778">
        <v>33</v>
      </c>
      <c r="F778" s="1" t="s">
        <v>735</v>
      </c>
    </row>
    <row r="779" spans="1:6" x14ac:dyDescent="0.25">
      <c r="A779" s="1" t="s">
        <v>1330</v>
      </c>
      <c r="B779" s="2">
        <v>45208.506249999999</v>
      </c>
      <c r="C779" s="3">
        <v>45208.506249999999</v>
      </c>
      <c r="D779" s="1" t="s">
        <v>1332</v>
      </c>
      <c r="E779">
        <v>91</v>
      </c>
      <c r="F779" s="1" t="s">
        <v>737</v>
      </c>
    </row>
    <row r="780" spans="1:6" x14ac:dyDescent="0.25">
      <c r="A780" s="1" t="s">
        <v>779</v>
      </c>
      <c r="B780" s="2">
        <v>45208.505555555559</v>
      </c>
      <c r="C780" s="3">
        <v>45208.505555555559</v>
      </c>
      <c r="D780" s="1" t="s">
        <v>818</v>
      </c>
      <c r="E780">
        <v>31</v>
      </c>
      <c r="F780" s="1" t="s">
        <v>737</v>
      </c>
    </row>
    <row r="781" spans="1:6" x14ac:dyDescent="0.25">
      <c r="A781" s="1" t="s">
        <v>1330</v>
      </c>
      <c r="B781" s="2">
        <v>45208.494444444441</v>
      </c>
      <c r="C781" s="3">
        <v>45208.494444444441</v>
      </c>
      <c r="D781" s="1" t="s">
        <v>1077</v>
      </c>
      <c r="E781">
        <v>59</v>
      </c>
      <c r="F781" s="1" t="s">
        <v>735</v>
      </c>
    </row>
    <row r="782" spans="1:6" x14ac:dyDescent="0.25">
      <c r="A782" s="1" t="s">
        <v>939</v>
      </c>
      <c r="B782" s="2">
        <v>45208.443749999999</v>
      </c>
      <c r="C782" s="3">
        <v>45208.443749999999</v>
      </c>
      <c r="D782" s="1" t="s">
        <v>952</v>
      </c>
      <c r="E782">
        <v>7</v>
      </c>
      <c r="F782" s="1" t="s">
        <v>737</v>
      </c>
    </row>
    <row r="783" spans="1:6" x14ac:dyDescent="0.25">
      <c r="A783" s="1" t="s">
        <v>730</v>
      </c>
      <c r="B783" s="2">
        <v>45208.301388888889</v>
      </c>
      <c r="C783" s="3">
        <v>45208.301388888889</v>
      </c>
      <c r="D783" s="1" t="s">
        <v>733</v>
      </c>
      <c r="E783">
        <v>38</v>
      </c>
      <c r="F783" s="1" t="s">
        <v>732</v>
      </c>
    </row>
    <row r="784" spans="1:6" x14ac:dyDescent="0.25">
      <c r="A784" s="1" t="s">
        <v>779</v>
      </c>
      <c r="B784" s="2">
        <v>45208.279166666667</v>
      </c>
      <c r="C784" s="3">
        <v>45208.279166666667</v>
      </c>
      <c r="D784" s="1" t="s">
        <v>816</v>
      </c>
      <c r="E784">
        <v>41</v>
      </c>
      <c r="F784" s="1" t="s">
        <v>735</v>
      </c>
    </row>
    <row r="785" spans="1:6" x14ac:dyDescent="0.25">
      <c r="A785" s="1" t="s">
        <v>1086</v>
      </c>
      <c r="B785" s="2">
        <v>45208.194444444453</v>
      </c>
      <c r="C785" s="3">
        <v>45208.194444444453</v>
      </c>
      <c r="D785" s="1" t="s">
        <v>1107</v>
      </c>
      <c r="E785">
        <v>98</v>
      </c>
      <c r="F785" s="1" t="s">
        <v>735</v>
      </c>
    </row>
    <row r="786" spans="1:6" x14ac:dyDescent="0.25">
      <c r="A786" s="1" t="s">
        <v>978</v>
      </c>
      <c r="B786" s="2">
        <v>45208.172222222223</v>
      </c>
      <c r="C786" s="3">
        <v>45208.172222222223</v>
      </c>
      <c r="D786" s="1" t="s">
        <v>783</v>
      </c>
      <c r="E786">
        <v>87</v>
      </c>
      <c r="F786" s="1" t="s">
        <v>732</v>
      </c>
    </row>
    <row r="787" spans="1:6" x14ac:dyDescent="0.25">
      <c r="A787" s="1" t="s">
        <v>902</v>
      </c>
      <c r="B787" s="2">
        <v>45208.169444444437</v>
      </c>
      <c r="C787" s="3">
        <v>45208.169444444437</v>
      </c>
      <c r="D787" s="1" t="s">
        <v>930</v>
      </c>
      <c r="E787">
        <v>47</v>
      </c>
      <c r="F787" s="1" t="s">
        <v>732</v>
      </c>
    </row>
    <row r="788" spans="1:6" x14ac:dyDescent="0.25">
      <c r="A788" s="1" t="s">
        <v>1261</v>
      </c>
      <c r="B788" s="2">
        <v>45208.10833333333</v>
      </c>
      <c r="C788" s="3">
        <v>45208.10833333333</v>
      </c>
      <c r="D788" s="1" t="s">
        <v>1283</v>
      </c>
      <c r="E788">
        <v>102</v>
      </c>
      <c r="F788" s="1" t="s">
        <v>735</v>
      </c>
    </row>
    <row r="789" spans="1:6" x14ac:dyDescent="0.25">
      <c r="A789" s="1" t="s">
        <v>1288</v>
      </c>
      <c r="B789" s="2">
        <v>45208.084027777782</v>
      </c>
      <c r="C789" s="3">
        <v>45208.084027777782</v>
      </c>
      <c r="D789" s="1" t="s">
        <v>1295</v>
      </c>
      <c r="E789">
        <v>50</v>
      </c>
      <c r="F789" s="1" t="s">
        <v>735</v>
      </c>
    </row>
    <row r="790" spans="1:6" x14ac:dyDescent="0.25">
      <c r="A790" s="1" t="s">
        <v>1059</v>
      </c>
      <c r="B790" s="2">
        <v>45208.074999999997</v>
      </c>
      <c r="C790" s="3">
        <v>45208.074999999997</v>
      </c>
      <c r="D790" s="1" t="s">
        <v>988</v>
      </c>
      <c r="E790">
        <v>82</v>
      </c>
      <c r="F790" s="1" t="s">
        <v>737</v>
      </c>
    </row>
    <row r="791" spans="1:6" x14ac:dyDescent="0.25">
      <c r="A791" s="1" t="s">
        <v>730</v>
      </c>
      <c r="B791" s="2">
        <v>45208.073611111111</v>
      </c>
      <c r="C791" s="3">
        <v>45208.073611111111</v>
      </c>
      <c r="D791" s="1" t="s">
        <v>745</v>
      </c>
      <c r="E791">
        <v>85</v>
      </c>
      <c r="F791" s="1" t="s">
        <v>735</v>
      </c>
    </row>
    <row r="792" spans="1:6" x14ac:dyDescent="0.25">
      <c r="A792" s="1" t="s">
        <v>823</v>
      </c>
      <c r="B792" s="2">
        <v>45208.072916666657</v>
      </c>
      <c r="C792" s="3">
        <v>45208.072916666657</v>
      </c>
      <c r="D792" s="1" t="s">
        <v>832</v>
      </c>
      <c r="E792">
        <v>68</v>
      </c>
      <c r="F792" s="1" t="s">
        <v>732</v>
      </c>
    </row>
    <row r="793" spans="1:6" x14ac:dyDescent="0.25">
      <c r="A793" s="1" t="s">
        <v>978</v>
      </c>
      <c r="B793" s="2">
        <v>45208.047222222223</v>
      </c>
      <c r="C793" s="3">
        <v>45208.047222222223</v>
      </c>
      <c r="D793" s="1" t="s">
        <v>781</v>
      </c>
      <c r="E793">
        <v>92</v>
      </c>
      <c r="F793" s="1" t="s">
        <v>737</v>
      </c>
    </row>
    <row r="794" spans="1:6" x14ac:dyDescent="0.25">
      <c r="A794" s="1" t="s">
        <v>1059</v>
      </c>
      <c r="B794" s="2">
        <v>45207.987500000003</v>
      </c>
      <c r="C794" s="3">
        <v>45207.987500000003</v>
      </c>
      <c r="D794" s="1" t="s">
        <v>1072</v>
      </c>
      <c r="E794">
        <v>15</v>
      </c>
      <c r="F794" s="1" t="s">
        <v>735</v>
      </c>
    </row>
    <row r="795" spans="1:6" x14ac:dyDescent="0.25">
      <c r="A795" s="1" t="s">
        <v>730</v>
      </c>
      <c r="B795" s="2">
        <v>45207.982638888891</v>
      </c>
      <c r="C795" s="3">
        <v>45207.982638888891</v>
      </c>
      <c r="D795" s="1" t="s">
        <v>778</v>
      </c>
      <c r="E795">
        <v>25</v>
      </c>
      <c r="F795" s="1" t="s">
        <v>737</v>
      </c>
    </row>
    <row r="796" spans="1:6" x14ac:dyDescent="0.25">
      <c r="A796" s="1" t="s">
        <v>1114</v>
      </c>
      <c r="B796" s="2">
        <v>45207.960416666669</v>
      </c>
      <c r="C796" s="3">
        <v>45207.960416666669</v>
      </c>
      <c r="D796" s="1" t="s">
        <v>900</v>
      </c>
      <c r="E796">
        <v>23</v>
      </c>
      <c r="F796" s="1" t="s">
        <v>737</v>
      </c>
    </row>
    <row r="797" spans="1:6" x14ac:dyDescent="0.25">
      <c r="A797" s="1" t="s">
        <v>1345</v>
      </c>
      <c r="B797" s="2">
        <v>45207.955555555563</v>
      </c>
      <c r="C797" s="3">
        <v>45207.955555555563</v>
      </c>
      <c r="D797" s="1" t="s">
        <v>983</v>
      </c>
      <c r="E797">
        <v>73</v>
      </c>
      <c r="F797" s="1" t="s">
        <v>735</v>
      </c>
    </row>
    <row r="798" spans="1:6" x14ac:dyDescent="0.25">
      <c r="A798" s="1" t="s">
        <v>1308</v>
      </c>
      <c r="B798" s="2">
        <v>45207.919444444437</v>
      </c>
      <c r="C798" s="3">
        <v>45207.919444444437</v>
      </c>
      <c r="D798" s="1" t="s">
        <v>1316</v>
      </c>
      <c r="E798">
        <v>42</v>
      </c>
      <c r="F798" s="1" t="s">
        <v>732</v>
      </c>
    </row>
    <row r="799" spans="1:6" x14ac:dyDescent="0.25">
      <c r="A799" s="1" t="s">
        <v>1138</v>
      </c>
      <c r="B799" s="2">
        <v>45207.908333333333</v>
      </c>
      <c r="C799" s="3">
        <v>45207.908333333333</v>
      </c>
      <c r="D799" s="1" t="s">
        <v>1152</v>
      </c>
      <c r="E799">
        <v>103</v>
      </c>
      <c r="F799" s="1" t="s">
        <v>732</v>
      </c>
    </row>
    <row r="800" spans="1:6" x14ac:dyDescent="0.25">
      <c r="A800" s="1" t="s">
        <v>1288</v>
      </c>
      <c r="B800" s="2">
        <v>45207.845833333333</v>
      </c>
      <c r="C800" s="3">
        <v>45207.845833333333</v>
      </c>
      <c r="D800" s="1" t="s">
        <v>949</v>
      </c>
      <c r="E800">
        <v>12</v>
      </c>
      <c r="F800" s="1" t="s">
        <v>737</v>
      </c>
    </row>
    <row r="801" spans="1:6" x14ac:dyDescent="0.25">
      <c r="A801" s="1" t="s">
        <v>1193</v>
      </c>
      <c r="B801" s="2">
        <v>45207.772916666669</v>
      </c>
      <c r="C801" s="3">
        <v>45207.772916666669</v>
      </c>
      <c r="D801" s="1" t="s">
        <v>1183</v>
      </c>
      <c r="E801">
        <v>55</v>
      </c>
      <c r="F801" s="1" t="s">
        <v>735</v>
      </c>
    </row>
    <row r="802" spans="1:6" x14ac:dyDescent="0.25">
      <c r="A802" s="1" t="s">
        <v>978</v>
      </c>
      <c r="B802" s="2">
        <v>45207.713888888888</v>
      </c>
      <c r="C802" s="3">
        <v>45207.713888888888</v>
      </c>
      <c r="D802" s="1" t="s">
        <v>979</v>
      </c>
      <c r="E802">
        <v>99</v>
      </c>
      <c r="F802" s="1" t="s">
        <v>735</v>
      </c>
    </row>
    <row r="803" spans="1:6" x14ac:dyDescent="0.25">
      <c r="A803" s="1" t="s">
        <v>1382</v>
      </c>
      <c r="B803" s="2">
        <v>45207.701388888891</v>
      </c>
      <c r="C803" s="3">
        <v>45207.701388888891</v>
      </c>
      <c r="D803" s="1" t="s">
        <v>1403</v>
      </c>
      <c r="E803">
        <v>27</v>
      </c>
      <c r="F803" s="1" t="s">
        <v>737</v>
      </c>
    </row>
    <row r="804" spans="1:6" x14ac:dyDescent="0.25">
      <c r="A804" s="1" t="s">
        <v>1261</v>
      </c>
      <c r="B804" s="2">
        <v>45207.668055555558</v>
      </c>
      <c r="C804" s="3">
        <v>45207.668055555558</v>
      </c>
      <c r="D804" s="1" t="s">
        <v>1285</v>
      </c>
      <c r="E804">
        <v>113</v>
      </c>
      <c r="F804" s="1" t="s">
        <v>732</v>
      </c>
    </row>
    <row r="805" spans="1:6" x14ac:dyDescent="0.25">
      <c r="A805" s="1" t="s">
        <v>939</v>
      </c>
      <c r="B805" s="2">
        <v>45207.611111111109</v>
      </c>
      <c r="C805" s="3">
        <v>45207.611111111109</v>
      </c>
      <c r="D805" s="1" t="s">
        <v>836</v>
      </c>
      <c r="E805">
        <v>107</v>
      </c>
      <c r="F805" s="1" t="s">
        <v>735</v>
      </c>
    </row>
    <row r="806" spans="1:6" x14ac:dyDescent="0.25">
      <c r="A806" s="1" t="s">
        <v>1219</v>
      </c>
      <c r="B806" s="2">
        <v>45207.599305555559</v>
      </c>
      <c r="C806" s="3">
        <v>45207.599305555559</v>
      </c>
      <c r="D806" s="1" t="s">
        <v>856</v>
      </c>
      <c r="E806">
        <v>59</v>
      </c>
      <c r="F806" s="1" t="s">
        <v>732</v>
      </c>
    </row>
    <row r="807" spans="1:6" x14ac:dyDescent="0.25">
      <c r="A807" s="1" t="s">
        <v>999</v>
      </c>
      <c r="B807" s="2">
        <v>45207.57916666667</v>
      </c>
      <c r="C807" s="3">
        <v>45207.57916666667</v>
      </c>
      <c r="D807" s="1" t="s">
        <v>1005</v>
      </c>
      <c r="E807">
        <v>68</v>
      </c>
      <c r="F807" s="1" t="s">
        <v>732</v>
      </c>
    </row>
    <row r="808" spans="1:6" x14ac:dyDescent="0.25">
      <c r="A808" s="1" t="s">
        <v>939</v>
      </c>
      <c r="B808" s="2">
        <v>45207.543055555558</v>
      </c>
      <c r="C808" s="3">
        <v>45207.543055555558</v>
      </c>
      <c r="D808" s="1" t="s">
        <v>942</v>
      </c>
      <c r="E808">
        <v>54</v>
      </c>
      <c r="F808" s="1" t="s">
        <v>732</v>
      </c>
    </row>
    <row r="809" spans="1:6" x14ac:dyDescent="0.25">
      <c r="A809" s="1" t="s">
        <v>999</v>
      </c>
      <c r="B809" s="2">
        <v>45207.526388888888</v>
      </c>
      <c r="C809" s="3">
        <v>45207.526388888888</v>
      </c>
      <c r="D809" s="1" t="s">
        <v>1023</v>
      </c>
      <c r="E809">
        <v>78</v>
      </c>
      <c r="F809" s="1" t="s">
        <v>737</v>
      </c>
    </row>
    <row r="810" spans="1:6" x14ac:dyDescent="0.25">
      <c r="A810" s="1" t="s">
        <v>1165</v>
      </c>
      <c r="B810" s="2">
        <v>45207.525000000001</v>
      </c>
      <c r="C810" s="3">
        <v>45207.525000000001</v>
      </c>
      <c r="D810" s="1" t="s">
        <v>1189</v>
      </c>
      <c r="E810">
        <v>83</v>
      </c>
      <c r="F810" s="1" t="s">
        <v>732</v>
      </c>
    </row>
    <row r="811" spans="1:6" x14ac:dyDescent="0.25">
      <c r="A811" s="1" t="s">
        <v>1308</v>
      </c>
      <c r="B811" s="2">
        <v>45207.472222222219</v>
      </c>
      <c r="C811" s="3">
        <v>45207.472222222219</v>
      </c>
      <c r="D811" s="1" t="s">
        <v>1314</v>
      </c>
      <c r="E811">
        <v>30</v>
      </c>
      <c r="F811" s="1" t="s">
        <v>737</v>
      </c>
    </row>
    <row r="812" spans="1:6" x14ac:dyDescent="0.25">
      <c r="A812" s="1" t="s">
        <v>902</v>
      </c>
      <c r="B812" s="2">
        <v>45207.40625</v>
      </c>
      <c r="C812" s="3">
        <v>45207.40625</v>
      </c>
      <c r="D812" s="1" t="s">
        <v>800</v>
      </c>
      <c r="E812">
        <v>49</v>
      </c>
      <c r="F812" s="1" t="s">
        <v>735</v>
      </c>
    </row>
    <row r="813" spans="1:6" x14ac:dyDescent="0.25">
      <c r="A813" s="1" t="s">
        <v>1059</v>
      </c>
      <c r="B813" s="2">
        <v>45207.379861111112</v>
      </c>
      <c r="C813" s="3">
        <v>45207.379861111112</v>
      </c>
      <c r="D813" s="1" t="s">
        <v>981</v>
      </c>
      <c r="E813">
        <v>118</v>
      </c>
      <c r="F813" s="1" t="s">
        <v>737</v>
      </c>
    </row>
    <row r="814" spans="1:6" x14ac:dyDescent="0.25">
      <c r="A814" s="1" t="s">
        <v>902</v>
      </c>
      <c r="B814" s="2">
        <v>45207.368055555547</v>
      </c>
      <c r="C814" s="3">
        <v>45207.368055555547</v>
      </c>
      <c r="D814" s="1" t="s">
        <v>925</v>
      </c>
      <c r="E814">
        <v>46</v>
      </c>
      <c r="F814" s="1" t="s">
        <v>732</v>
      </c>
    </row>
    <row r="815" spans="1:6" x14ac:dyDescent="0.25">
      <c r="A815" s="1" t="s">
        <v>1382</v>
      </c>
      <c r="B815" s="2">
        <v>45207.350694444453</v>
      </c>
      <c r="C815" s="3">
        <v>45207.350694444453</v>
      </c>
      <c r="D815" s="1" t="s">
        <v>1389</v>
      </c>
      <c r="E815">
        <v>75</v>
      </c>
      <c r="F815" s="1" t="s">
        <v>737</v>
      </c>
    </row>
    <row r="816" spans="1:6" x14ac:dyDescent="0.25">
      <c r="A816" s="1" t="s">
        <v>1165</v>
      </c>
      <c r="B816" s="2">
        <v>45207.342361111107</v>
      </c>
      <c r="C816" s="3">
        <v>45207.342361111107</v>
      </c>
      <c r="D816" s="1" t="s">
        <v>1172</v>
      </c>
      <c r="E816">
        <v>28</v>
      </c>
      <c r="F816" s="1" t="s">
        <v>732</v>
      </c>
    </row>
    <row r="817" spans="1:6" x14ac:dyDescent="0.25">
      <c r="A817" s="1" t="s">
        <v>1165</v>
      </c>
      <c r="B817" s="2">
        <v>45207.304861111108</v>
      </c>
      <c r="C817" s="3">
        <v>45207.304861111108</v>
      </c>
      <c r="D817" s="1" t="s">
        <v>736</v>
      </c>
      <c r="E817">
        <v>50</v>
      </c>
      <c r="F817" s="1" t="s">
        <v>735</v>
      </c>
    </row>
    <row r="818" spans="1:6" x14ac:dyDescent="0.25">
      <c r="A818" s="1" t="s">
        <v>1404</v>
      </c>
      <c r="B818" s="2">
        <v>45207.199305555558</v>
      </c>
      <c r="C818" s="3">
        <v>45207.199305555558</v>
      </c>
      <c r="D818" s="1" t="s">
        <v>1341</v>
      </c>
      <c r="E818">
        <v>28</v>
      </c>
      <c r="F818" s="1" t="s">
        <v>735</v>
      </c>
    </row>
    <row r="819" spans="1:6" x14ac:dyDescent="0.25">
      <c r="A819" s="1" t="s">
        <v>1024</v>
      </c>
      <c r="B819" s="2">
        <v>45207.17291666667</v>
      </c>
      <c r="C819" s="3">
        <v>45207.17291666667</v>
      </c>
      <c r="D819" s="1" t="s">
        <v>1056</v>
      </c>
      <c r="E819">
        <v>73</v>
      </c>
      <c r="F819" s="1" t="s">
        <v>737</v>
      </c>
    </row>
    <row r="820" spans="1:6" x14ac:dyDescent="0.25">
      <c r="A820" s="1" t="s">
        <v>902</v>
      </c>
      <c r="B820" s="2">
        <v>45207.149305555547</v>
      </c>
      <c r="C820" s="3">
        <v>45207.149305555547</v>
      </c>
      <c r="D820" s="1" t="s">
        <v>910</v>
      </c>
      <c r="E820">
        <v>101</v>
      </c>
      <c r="F820" s="1" t="s">
        <v>737</v>
      </c>
    </row>
    <row r="821" spans="1:6" x14ac:dyDescent="0.25">
      <c r="A821" s="1" t="s">
        <v>999</v>
      </c>
      <c r="B821" s="2">
        <v>45207.140277777777</v>
      </c>
      <c r="C821" s="3">
        <v>45207.140277777777</v>
      </c>
      <c r="D821" s="1" t="s">
        <v>1003</v>
      </c>
      <c r="E821">
        <v>46</v>
      </c>
      <c r="F821" s="1" t="s">
        <v>735</v>
      </c>
    </row>
    <row r="822" spans="1:6" x14ac:dyDescent="0.25">
      <c r="A822" s="1" t="s">
        <v>1086</v>
      </c>
      <c r="B822" s="2">
        <v>45207.133333333331</v>
      </c>
      <c r="C822" s="3">
        <v>45207.133333333331</v>
      </c>
      <c r="D822" s="1" t="s">
        <v>1090</v>
      </c>
      <c r="E822">
        <v>66</v>
      </c>
      <c r="F822" s="1" t="s">
        <v>735</v>
      </c>
    </row>
    <row r="823" spans="1:6" x14ac:dyDescent="0.25">
      <c r="A823" s="1" t="s">
        <v>1308</v>
      </c>
      <c r="B823" s="2">
        <v>45207.127083333333</v>
      </c>
      <c r="C823" s="3">
        <v>45207.127083333333</v>
      </c>
      <c r="D823" s="1" t="s">
        <v>869</v>
      </c>
      <c r="E823">
        <v>38</v>
      </c>
      <c r="F823" s="1" t="s">
        <v>732</v>
      </c>
    </row>
    <row r="824" spans="1:6" x14ac:dyDescent="0.25">
      <c r="A824" s="1" t="s">
        <v>1261</v>
      </c>
      <c r="B824" s="2">
        <v>45207.124305555553</v>
      </c>
      <c r="C824" s="3">
        <v>45207.124305555553</v>
      </c>
      <c r="D824" s="1" t="s">
        <v>1262</v>
      </c>
      <c r="E824">
        <v>77</v>
      </c>
      <c r="F824" s="1" t="s">
        <v>737</v>
      </c>
    </row>
    <row r="825" spans="1:6" x14ac:dyDescent="0.25">
      <c r="A825" s="1" t="s">
        <v>779</v>
      </c>
      <c r="B825" s="2">
        <v>45207.102777777778</v>
      </c>
      <c r="C825" s="3">
        <v>45207.102777777778</v>
      </c>
      <c r="D825" s="1" t="s">
        <v>791</v>
      </c>
      <c r="E825">
        <v>41</v>
      </c>
      <c r="F825" s="1" t="s">
        <v>732</v>
      </c>
    </row>
    <row r="826" spans="1:6" x14ac:dyDescent="0.25">
      <c r="A826" s="1" t="s">
        <v>1330</v>
      </c>
      <c r="B826" s="2">
        <v>45207.074305555558</v>
      </c>
      <c r="C826" s="3">
        <v>45207.074305555558</v>
      </c>
      <c r="D826" s="1" t="s">
        <v>1285</v>
      </c>
      <c r="E826">
        <v>57</v>
      </c>
      <c r="F826" s="1" t="s">
        <v>732</v>
      </c>
    </row>
    <row r="827" spans="1:6" x14ac:dyDescent="0.25">
      <c r="A827" s="1" t="s">
        <v>1138</v>
      </c>
      <c r="B827" s="2">
        <v>45207.070833333331</v>
      </c>
      <c r="C827" s="3">
        <v>45207.070833333331</v>
      </c>
      <c r="D827" s="1" t="s">
        <v>1145</v>
      </c>
      <c r="E827">
        <v>94</v>
      </c>
      <c r="F827" s="1" t="s">
        <v>735</v>
      </c>
    </row>
    <row r="828" spans="1:6" x14ac:dyDescent="0.25">
      <c r="A828" s="1" t="s">
        <v>1138</v>
      </c>
      <c r="B828" s="2">
        <v>45207.011111111111</v>
      </c>
      <c r="C828" s="3">
        <v>45207.011111111111</v>
      </c>
      <c r="D828" s="1" t="s">
        <v>1142</v>
      </c>
      <c r="E828">
        <v>32</v>
      </c>
      <c r="F828" s="1" t="s">
        <v>732</v>
      </c>
    </row>
    <row r="829" spans="1:6" x14ac:dyDescent="0.25">
      <c r="A829" s="1" t="s">
        <v>1345</v>
      </c>
      <c r="B829" s="2">
        <v>45206.974305555559</v>
      </c>
      <c r="C829" s="3">
        <v>45206.974305555559</v>
      </c>
      <c r="D829" s="1" t="s">
        <v>1358</v>
      </c>
      <c r="E829">
        <v>53</v>
      </c>
      <c r="F829" s="1" t="s">
        <v>735</v>
      </c>
    </row>
    <row r="830" spans="1:6" x14ac:dyDescent="0.25">
      <c r="A830" s="1" t="s">
        <v>1241</v>
      </c>
      <c r="B830" s="2">
        <v>45206.956944444442</v>
      </c>
      <c r="C830" s="3">
        <v>45206.956944444442</v>
      </c>
      <c r="D830" s="1" t="s">
        <v>917</v>
      </c>
      <c r="E830">
        <v>32</v>
      </c>
      <c r="F830" s="1" t="s">
        <v>735</v>
      </c>
    </row>
    <row r="831" spans="1:6" x14ac:dyDescent="0.25">
      <c r="A831" s="1" t="s">
        <v>730</v>
      </c>
      <c r="B831" s="2">
        <v>45206.919444444437</v>
      </c>
      <c r="C831" s="3">
        <v>45206.919444444437</v>
      </c>
      <c r="D831" s="1" t="s">
        <v>757</v>
      </c>
      <c r="E831">
        <v>13</v>
      </c>
      <c r="F831" s="1" t="s">
        <v>735</v>
      </c>
    </row>
    <row r="832" spans="1:6" x14ac:dyDescent="0.25">
      <c r="A832" s="1" t="s">
        <v>1404</v>
      </c>
      <c r="B832" s="2">
        <v>45206.902777777781</v>
      </c>
      <c r="C832" s="3">
        <v>45206.902777777781</v>
      </c>
      <c r="D832" s="1" t="s">
        <v>1405</v>
      </c>
      <c r="E832">
        <v>75</v>
      </c>
      <c r="F832" s="1" t="s">
        <v>737</v>
      </c>
    </row>
    <row r="833" spans="1:6" x14ac:dyDescent="0.25">
      <c r="A833" s="1" t="s">
        <v>1086</v>
      </c>
      <c r="B833" s="2">
        <v>45206.857638888891</v>
      </c>
      <c r="C833" s="3">
        <v>45206.857638888891</v>
      </c>
      <c r="D833" s="1" t="s">
        <v>923</v>
      </c>
      <c r="E833">
        <v>45</v>
      </c>
      <c r="F833" s="1" t="s">
        <v>737</v>
      </c>
    </row>
    <row r="834" spans="1:6" x14ac:dyDescent="0.25">
      <c r="A834" s="1" t="s">
        <v>1086</v>
      </c>
      <c r="B834" s="2">
        <v>45206.768055555563</v>
      </c>
      <c r="C834" s="3">
        <v>45206.768055555563</v>
      </c>
      <c r="D834" s="1" t="s">
        <v>1112</v>
      </c>
      <c r="E834">
        <v>35</v>
      </c>
      <c r="F834" s="1" t="s">
        <v>737</v>
      </c>
    </row>
    <row r="835" spans="1:6" x14ac:dyDescent="0.25">
      <c r="A835" s="1" t="s">
        <v>823</v>
      </c>
      <c r="B835" s="2">
        <v>45206.6875</v>
      </c>
      <c r="C835" s="3">
        <v>45206.6875</v>
      </c>
      <c r="D835" s="1" t="s">
        <v>851</v>
      </c>
      <c r="E835">
        <v>76</v>
      </c>
      <c r="F835" s="1" t="s">
        <v>737</v>
      </c>
    </row>
    <row r="836" spans="1:6" x14ac:dyDescent="0.25">
      <c r="A836" s="1" t="s">
        <v>1241</v>
      </c>
      <c r="B836" s="2">
        <v>45206.636805555558</v>
      </c>
      <c r="C836" s="3">
        <v>45206.636805555558</v>
      </c>
      <c r="D836" s="1" t="s">
        <v>1246</v>
      </c>
      <c r="E836">
        <v>32</v>
      </c>
      <c r="F836" s="1" t="s">
        <v>737</v>
      </c>
    </row>
    <row r="837" spans="1:6" x14ac:dyDescent="0.25">
      <c r="A837" s="1" t="s">
        <v>1308</v>
      </c>
      <c r="B837" s="2">
        <v>45206.572222222218</v>
      </c>
      <c r="C837" s="3">
        <v>45206.572222222218</v>
      </c>
      <c r="D837" s="1" t="s">
        <v>1082</v>
      </c>
      <c r="E837">
        <v>10</v>
      </c>
      <c r="F837" s="1" t="s">
        <v>732</v>
      </c>
    </row>
    <row r="838" spans="1:6" x14ac:dyDescent="0.25">
      <c r="A838" s="1" t="s">
        <v>1114</v>
      </c>
      <c r="B838" s="2">
        <v>45206.563888888893</v>
      </c>
      <c r="C838" s="3">
        <v>45206.563888888893</v>
      </c>
      <c r="D838" s="1" t="s">
        <v>1128</v>
      </c>
      <c r="E838">
        <v>37</v>
      </c>
      <c r="F838" s="1" t="s">
        <v>732</v>
      </c>
    </row>
    <row r="839" spans="1:6" x14ac:dyDescent="0.25">
      <c r="A839" s="1" t="s">
        <v>779</v>
      </c>
      <c r="B839" s="2">
        <v>45206.539583333331</v>
      </c>
      <c r="C839" s="3">
        <v>45206.539583333331</v>
      </c>
      <c r="D839" s="1" t="s">
        <v>796</v>
      </c>
      <c r="E839">
        <v>43</v>
      </c>
      <c r="F839" s="1" t="s">
        <v>732</v>
      </c>
    </row>
    <row r="840" spans="1:6" x14ac:dyDescent="0.25">
      <c r="A840" s="1" t="s">
        <v>1288</v>
      </c>
      <c r="B840" s="2">
        <v>45206.515972222223</v>
      </c>
      <c r="C840" s="3">
        <v>45206.515972222223</v>
      </c>
      <c r="D840" s="1" t="s">
        <v>1293</v>
      </c>
      <c r="E840">
        <v>108</v>
      </c>
      <c r="F840" s="1" t="s">
        <v>732</v>
      </c>
    </row>
    <row r="841" spans="1:6" x14ac:dyDescent="0.25">
      <c r="A841" s="1" t="s">
        <v>1165</v>
      </c>
      <c r="B841" s="2">
        <v>45206.472222222219</v>
      </c>
      <c r="C841" s="3">
        <v>45206.472222222219</v>
      </c>
      <c r="D841" s="1" t="s">
        <v>1185</v>
      </c>
      <c r="E841">
        <v>69</v>
      </c>
      <c r="F841" s="1" t="s">
        <v>737</v>
      </c>
    </row>
    <row r="842" spans="1:6" x14ac:dyDescent="0.25">
      <c r="A842" s="1" t="s">
        <v>1024</v>
      </c>
      <c r="B842" s="2">
        <v>45206.443055555559</v>
      </c>
      <c r="C842" s="3">
        <v>45206.443055555559</v>
      </c>
      <c r="D842" s="1" t="s">
        <v>1032</v>
      </c>
      <c r="E842">
        <v>48</v>
      </c>
      <c r="F842" s="1" t="s">
        <v>737</v>
      </c>
    </row>
    <row r="843" spans="1:6" x14ac:dyDescent="0.25">
      <c r="A843" s="1" t="s">
        <v>1345</v>
      </c>
      <c r="B843" s="2">
        <v>45206.43472222222</v>
      </c>
      <c r="C843" s="3">
        <v>45206.43472222222</v>
      </c>
      <c r="D843" s="1" t="s">
        <v>755</v>
      </c>
      <c r="E843">
        <v>98</v>
      </c>
      <c r="F843" s="1" t="s">
        <v>732</v>
      </c>
    </row>
    <row r="844" spans="1:6" x14ac:dyDescent="0.25">
      <c r="A844" s="1" t="s">
        <v>779</v>
      </c>
      <c r="B844" s="2">
        <v>45206.384027777778</v>
      </c>
      <c r="C844" s="3">
        <v>45206.384027777778</v>
      </c>
      <c r="D844" s="1" t="s">
        <v>802</v>
      </c>
      <c r="E844">
        <v>109</v>
      </c>
      <c r="F844" s="1" t="s">
        <v>737</v>
      </c>
    </row>
    <row r="845" spans="1:6" x14ac:dyDescent="0.25">
      <c r="A845" s="1" t="s">
        <v>1219</v>
      </c>
      <c r="B845" s="2">
        <v>45206.366666666669</v>
      </c>
      <c r="C845" s="3">
        <v>45206.366666666669</v>
      </c>
      <c r="D845" s="1" t="s">
        <v>951</v>
      </c>
      <c r="E845">
        <v>69</v>
      </c>
      <c r="F845" s="1" t="s">
        <v>735</v>
      </c>
    </row>
    <row r="846" spans="1:6" x14ac:dyDescent="0.25">
      <c r="A846" s="1" t="s">
        <v>1382</v>
      </c>
      <c r="B846" s="2">
        <v>45206.366666666669</v>
      </c>
      <c r="C846" s="3">
        <v>45206.366666666669</v>
      </c>
      <c r="D846" s="1" t="s">
        <v>1396</v>
      </c>
      <c r="E846">
        <v>30</v>
      </c>
      <c r="F846" s="1" t="s">
        <v>737</v>
      </c>
    </row>
    <row r="847" spans="1:6" x14ac:dyDescent="0.25">
      <c r="A847" s="1" t="s">
        <v>902</v>
      </c>
      <c r="B847" s="2">
        <v>45206.362500000003</v>
      </c>
      <c r="C847" s="3">
        <v>45206.362500000003</v>
      </c>
      <c r="D847" s="1" t="s">
        <v>919</v>
      </c>
      <c r="E847">
        <v>60</v>
      </c>
      <c r="F847" s="1" t="s">
        <v>737</v>
      </c>
    </row>
    <row r="848" spans="1:6" x14ac:dyDescent="0.25">
      <c r="A848" s="1" t="s">
        <v>1330</v>
      </c>
      <c r="B848" s="2">
        <v>45206.286805555559</v>
      </c>
      <c r="C848" s="3">
        <v>45206.286805555559</v>
      </c>
      <c r="D848" s="1" t="s">
        <v>792</v>
      </c>
      <c r="E848">
        <v>96</v>
      </c>
      <c r="F848" s="1" t="s">
        <v>735</v>
      </c>
    </row>
    <row r="849" spans="1:6" x14ac:dyDescent="0.25">
      <c r="A849" s="1" t="s">
        <v>779</v>
      </c>
      <c r="B849" s="2">
        <v>45206.273611111108</v>
      </c>
      <c r="C849" s="3">
        <v>45206.273611111108</v>
      </c>
      <c r="D849" s="1" t="s">
        <v>789</v>
      </c>
      <c r="E849">
        <v>117</v>
      </c>
      <c r="F849" s="1" t="s">
        <v>737</v>
      </c>
    </row>
    <row r="850" spans="1:6" x14ac:dyDescent="0.25">
      <c r="A850" s="1" t="s">
        <v>1382</v>
      </c>
      <c r="B850" s="2">
        <v>45206.259027777778</v>
      </c>
      <c r="C850" s="3">
        <v>45206.259027777778</v>
      </c>
      <c r="D850" s="1" t="s">
        <v>1391</v>
      </c>
      <c r="E850">
        <v>104</v>
      </c>
      <c r="F850" s="1" t="s">
        <v>732</v>
      </c>
    </row>
    <row r="851" spans="1:6" x14ac:dyDescent="0.25">
      <c r="A851" s="1" t="s">
        <v>1345</v>
      </c>
      <c r="B851" s="2">
        <v>45206.23333333333</v>
      </c>
      <c r="C851" s="3">
        <v>45206.23333333333</v>
      </c>
      <c r="D851" s="1" t="s">
        <v>1354</v>
      </c>
      <c r="E851">
        <v>26</v>
      </c>
      <c r="F851" s="1" t="s">
        <v>737</v>
      </c>
    </row>
    <row r="852" spans="1:6" x14ac:dyDescent="0.25">
      <c r="A852" s="1" t="s">
        <v>823</v>
      </c>
      <c r="B852" s="2">
        <v>45206.167361111111</v>
      </c>
      <c r="C852" s="3">
        <v>45206.167361111111</v>
      </c>
      <c r="D852" s="1" t="s">
        <v>858</v>
      </c>
      <c r="E852">
        <v>64</v>
      </c>
      <c r="F852" s="1" t="s">
        <v>735</v>
      </c>
    </row>
    <row r="853" spans="1:6" x14ac:dyDescent="0.25">
      <c r="A853" s="1" t="s">
        <v>978</v>
      </c>
      <c r="B853" s="2">
        <v>45206.162499999999</v>
      </c>
      <c r="C853" s="3">
        <v>45206.162499999999</v>
      </c>
      <c r="D853" s="1" t="s">
        <v>989</v>
      </c>
      <c r="E853">
        <v>69</v>
      </c>
      <c r="F853" s="1" t="s">
        <v>732</v>
      </c>
    </row>
    <row r="854" spans="1:6" x14ac:dyDescent="0.25">
      <c r="A854" s="1" t="s">
        <v>861</v>
      </c>
      <c r="B854" s="2">
        <v>45206.027083333327</v>
      </c>
      <c r="C854" s="3">
        <v>45206.027083333327</v>
      </c>
      <c r="D854" s="1" t="s">
        <v>878</v>
      </c>
      <c r="E854">
        <v>36</v>
      </c>
      <c r="F854" s="1" t="s">
        <v>737</v>
      </c>
    </row>
    <row r="855" spans="1:6" x14ac:dyDescent="0.25">
      <c r="A855" s="1" t="s">
        <v>1219</v>
      </c>
      <c r="B855" s="2">
        <v>45205.96875</v>
      </c>
      <c r="C855" s="3">
        <v>45205.96875</v>
      </c>
      <c r="D855" s="1" t="s">
        <v>1228</v>
      </c>
      <c r="E855">
        <v>84</v>
      </c>
      <c r="F855" s="1" t="s">
        <v>735</v>
      </c>
    </row>
    <row r="856" spans="1:6" x14ac:dyDescent="0.25">
      <c r="A856" s="1" t="s">
        <v>939</v>
      </c>
      <c r="B856" s="2">
        <v>45205.929861111108</v>
      </c>
      <c r="C856" s="3">
        <v>45205.929861111108</v>
      </c>
      <c r="D856" s="1" t="s">
        <v>963</v>
      </c>
      <c r="E856">
        <v>82</v>
      </c>
      <c r="F856" s="1" t="s">
        <v>737</v>
      </c>
    </row>
    <row r="857" spans="1:6" x14ac:dyDescent="0.25">
      <c r="A857" s="1" t="s">
        <v>1193</v>
      </c>
      <c r="B857" s="2">
        <v>45205.89166666667</v>
      </c>
      <c r="C857" s="3">
        <v>45205.89166666667</v>
      </c>
      <c r="D857" s="1" t="s">
        <v>1183</v>
      </c>
      <c r="E857">
        <v>45</v>
      </c>
      <c r="F857" s="1" t="s">
        <v>735</v>
      </c>
    </row>
    <row r="858" spans="1:6" x14ac:dyDescent="0.25">
      <c r="A858" s="1" t="s">
        <v>1308</v>
      </c>
      <c r="B858" s="2">
        <v>45205.87222222222</v>
      </c>
      <c r="C858" s="3">
        <v>45205.87222222222</v>
      </c>
      <c r="D858" s="1" t="s">
        <v>1315</v>
      </c>
      <c r="E858">
        <v>17</v>
      </c>
      <c r="F858" s="1" t="s">
        <v>732</v>
      </c>
    </row>
    <row r="859" spans="1:6" x14ac:dyDescent="0.25">
      <c r="A859" s="1" t="s">
        <v>1308</v>
      </c>
      <c r="B859" s="2">
        <v>45205.830555555563</v>
      </c>
      <c r="C859" s="3">
        <v>45205.830555555563</v>
      </c>
      <c r="D859" s="1" t="s">
        <v>1324</v>
      </c>
      <c r="E859">
        <v>52</v>
      </c>
      <c r="F859" s="1" t="s">
        <v>732</v>
      </c>
    </row>
    <row r="860" spans="1:6" x14ac:dyDescent="0.25">
      <c r="A860" s="1" t="s">
        <v>823</v>
      </c>
      <c r="B860" s="2">
        <v>45205.816666666673</v>
      </c>
      <c r="C860" s="3">
        <v>45205.816666666673</v>
      </c>
      <c r="D860" s="1" t="s">
        <v>846</v>
      </c>
      <c r="E860">
        <v>33</v>
      </c>
      <c r="F860" s="1" t="s">
        <v>737</v>
      </c>
    </row>
    <row r="861" spans="1:6" x14ac:dyDescent="0.25">
      <c r="A861" s="1" t="s">
        <v>1308</v>
      </c>
      <c r="B861" s="2">
        <v>45205.805555555547</v>
      </c>
      <c r="C861" s="3">
        <v>45205.805555555547</v>
      </c>
      <c r="D861" s="1" t="s">
        <v>1312</v>
      </c>
      <c r="E861">
        <v>110</v>
      </c>
      <c r="F861" s="1" t="s">
        <v>732</v>
      </c>
    </row>
    <row r="862" spans="1:6" x14ac:dyDescent="0.25">
      <c r="A862" s="1" t="s">
        <v>999</v>
      </c>
      <c r="B862" s="2">
        <v>45205.793749999997</v>
      </c>
      <c r="C862" s="3">
        <v>45205.793749999997</v>
      </c>
      <c r="D862" s="1" t="s">
        <v>1018</v>
      </c>
      <c r="E862">
        <v>99</v>
      </c>
      <c r="F862" s="1" t="s">
        <v>735</v>
      </c>
    </row>
    <row r="863" spans="1:6" x14ac:dyDescent="0.25">
      <c r="A863" s="1" t="s">
        <v>1086</v>
      </c>
      <c r="B863" s="2">
        <v>45205.775694444441</v>
      </c>
      <c r="C863" s="3">
        <v>45205.775694444441</v>
      </c>
      <c r="D863" s="1" t="s">
        <v>1109</v>
      </c>
      <c r="E863">
        <v>56</v>
      </c>
      <c r="F863" s="1" t="s">
        <v>737</v>
      </c>
    </row>
    <row r="864" spans="1:6" x14ac:dyDescent="0.25">
      <c r="A864" s="1" t="s">
        <v>1288</v>
      </c>
      <c r="B864" s="2">
        <v>45205.768750000003</v>
      </c>
      <c r="C864" s="3">
        <v>45205.768750000003</v>
      </c>
      <c r="D864" s="1" t="s">
        <v>1297</v>
      </c>
      <c r="E864">
        <v>36</v>
      </c>
      <c r="F864" s="1" t="s">
        <v>732</v>
      </c>
    </row>
    <row r="865" spans="1:6" x14ac:dyDescent="0.25">
      <c r="A865" s="1" t="s">
        <v>1165</v>
      </c>
      <c r="B865" s="2">
        <v>45205.729166666657</v>
      </c>
      <c r="C865" s="3">
        <v>45205.729166666657</v>
      </c>
      <c r="D865" s="1" t="s">
        <v>1169</v>
      </c>
      <c r="E865">
        <v>106</v>
      </c>
      <c r="F865" s="1" t="s">
        <v>737</v>
      </c>
    </row>
    <row r="866" spans="1:6" x14ac:dyDescent="0.25">
      <c r="A866" s="1" t="s">
        <v>902</v>
      </c>
      <c r="B866" s="2">
        <v>45205.711111111108</v>
      </c>
      <c r="C866" s="3">
        <v>45205.711111111108</v>
      </c>
      <c r="D866" s="1" t="s">
        <v>921</v>
      </c>
      <c r="E866">
        <v>109</v>
      </c>
      <c r="F866" s="1" t="s">
        <v>737</v>
      </c>
    </row>
    <row r="867" spans="1:6" x14ac:dyDescent="0.25">
      <c r="A867" s="1" t="s">
        <v>1330</v>
      </c>
      <c r="B867" s="2">
        <v>45205.650694444441</v>
      </c>
      <c r="C867" s="3">
        <v>45205.650694444441</v>
      </c>
      <c r="D867" s="1" t="s">
        <v>1342</v>
      </c>
      <c r="E867">
        <v>63</v>
      </c>
      <c r="F867" s="1" t="s">
        <v>732</v>
      </c>
    </row>
    <row r="868" spans="1:6" x14ac:dyDescent="0.25">
      <c r="A868" s="1" t="s">
        <v>1261</v>
      </c>
      <c r="B868" s="2">
        <v>45205.640277777777</v>
      </c>
      <c r="C868" s="3">
        <v>45205.640277777777</v>
      </c>
      <c r="D868" s="1" t="s">
        <v>880</v>
      </c>
      <c r="E868">
        <v>52</v>
      </c>
      <c r="F868" s="1" t="s">
        <v>732</v>
      </c>
    </row>
    <row r="869" spans="1:6" x14ac:dyDescent="0.25">
      <c r="A869" s="1" t="s">
        <v>730</v>
      </c>
      <c r="B869" s="2">
        <v>45205.599999999999</v>
      </c>
      <c r="C869" s="3">
        <v>45205.599999999999</v>
      </c>
      <c r="D869" s="1" t="s">
        <v>768</v>
      </c>
      <c r="E869">
        <v>19</v>
      </c>
      <c r="F869" s="1" t="s">
        <v>735</v>
      </c>
    </row>
    <row r="870" spans="1:6" x14ac:dyDescent="0.25">
      <c r="A870" s="1" t="s">
        <v>1308</v>
      </c>
      <c r="B870" s="2">
        <v>45205.586111111108</v>
      </c>
      <c r="C870" s="3">
        <v>45205.586111111108</v>
      </c>
      <c r="D870" s="1" t="s">
        <v>1320</v>
      </c>
      <c r="E870">
        <v>89</v>
      </c>
      <c r="F870" s="1" t="s">
        <v>737</v>
      </c>
    </row>
    <row r="871" spans="1:6" x14ac:dyDescent="0.25">
      <c r="A871" s="1" t="s">
        <v>1138</v>
      </c>
      <c r="B871" s="2">
        <v>45205.529861111107</v>
      </c>
      <c r="C871" s="3">
        <v>45205.529861111107</v>
      </c>
      <c r="D871" s="1" t="s">
        <v>814</v>
      </c>
      <c r="E871">
        <v>74</v>
      </c>
      <c r="F871" s="1" t="s">
        <v>735</v>
      </c>
    </row>
    <row r="872" spans="1:6" x14ac:dyDescent="0.25">
      <c r="A872" s="1" t="s">
        <v>1114</v>
      </c>
      <c r="B872" s="2">
        <v>45205.527083333327</v>
      </c>
      <c r="C872" s="3">
        <v>45205.527083333327</v>
      </c>
      <c r="D872" s="1" t="s">
        <v>1119</v>
      </c>
      <c r="E872">
        <v>40</v>
      </c>
      <c r="F872" s="1" t="s">
        <v>737</v>
      </c>
    </row>
    <row r="873" spans="1:6" x14ac:dyDescent="0.25">
      <c r="A873" s="1" t="s">
        <v>1086</v>
      </c>
      <c r="B873" s="2">
        <v>45205.480555555558</v>
      </c>
      <c r="C873" s="3">
        <v>45205.480555555558</v>
      </c>
      <c r="D873" s="1" t="s">
        <v>1089</v>
      </c>
      <c r="E873">
        <v>43</v>
      </c>
      <c r="F873" s="1" t="s">
        <v>735</v>
      </c>
    </row>
    <row r="874" spans="1:6" x14ac:dyDescent="0.25">
      <c r="A874" s="1" t="s">
        <v>1024</v>
      </c>
      <c r="B874" s="2">
        <v>45205.474305555559</v>
      </c>
      <c r="C874" s="3">
        <v>45205.474305555559</v>
      </c>
      <c r="D874" s="1" t="s">
        <v>1037</v>
      </c>
      <c r="E874">
        <v>25</v>
      </c>
      <c r="F874" s="1" t="s">
        <v>732</v>
      </c>
    </row>
    <row r="875" spans="1:6" x14ac:dyDescent="0.25">
      <c r="A875" s="1" t="s">
        <v>999</v>
      </c>
      <c r="B875" s="2">
        <v>45205.47152777778</v>
      </c>
      <c r="C875" s="3">
        <v>45205.47152777778</v>
      </c>
      <c r="D875" s="1" t="s">
        <v>1014</v>
      </c>
      <c r="E875">
        <v>50</v>
      </c>
      <c r="F875" s="1" t="s">
        <v>735</v>
      </c>
    </row>
    <row r="876" spans="1:6" x14ac:dyDescent="0.25">
      <c r="A876" s="1" t="s">
        <v>1261</v>
      </c>
      <c r="B876" s="2">
        <v>45205.463888888888</v>
      </c>
      <c r="C876" s="3">
        <v>45205.463888888888</v>
      </c>
      <c r="D876" s="1" t="s">
        <v>1267</v>
      </c>
      <c r="E876">
        <v>103</v>
      </c>
      <c r="F876" s="1" t="s">
        <v>732</v>
      </c>
    </row>
    <row r="877" spans="1:6" x14ac:dyDescent="0.25">
      <c r="A877" s="1" t="s">
        <v>1219</v>
      </c>
      <c r="B877" s="2">
        <v>45205.440972222219</v>
      </c>
      <c r="C877" s="3">
        <v>45205.440972222219</v>
      </c>
      <c r="D877" s="1" t="s">
        <v>1230</v>
      </c>
      <c r="E877">
        <v>115</v>
      </c>
      <c r="F877" s="1" t="s">
        <v>735</v>
      </c>
    </row>
    <row r="878" spans="1:6" x14ac:dyDescent="0.25">
      <c r="A878" s="1" t="s">
        <v>1330</v>
      </c>
      <c r="B878" s="2">
        <v>45205.365972222222</v>
      </c>
      <c r="C878" s="3">
        <v>45205.365972222222</v>
      </c>
      <c r="D878" s="1" t="s">
        <v>1160</v>
      </c>
      <c r="E878">
        <v>32</v>
      </c>
      <c r="F878" s="1" t="s">
        <v>732</v>
      </c>
    </row>
    <row r="879" spans="1:6" x14ac:dyDescent="0.25">
      <c r="A879" s="1" t="s">
        <v>779</v>
      </c>
      <c r="B879" s="2">
        <v>45205.353472222218</v>
      </c>
      <c r="C879" s="3">
        <v>45205.353472222218</v>
      </c>
      <c r="D879" s="1" t="s">
        <v>790</v>
      </c>
      <c r="E879">
        <v>52</v>
      </c>
      <c r="F879" s="1" t="s">
        <v>735</v>
      </c>
    </row>
    <row r="880" spans="1:6" x14ac:dyDescent="0.25">
      <c r="A880" s="1" t="s">
        <v>1288</v>
      </c>
      <c r="B880" s="2">
        <v>45205.345138888893</v>
      </c>
      <c r="C880" s="3">
        <v>45205.345138888893</v>
      </c>
      <c r="D880" s="1" t="s">
        <v>905</v>
      </c>
      <c r="E880">
        <v>109</v>
      </c>
      <c r="F880" s="1" t="s">
        <v>735</v>
      </c>
    </row>
    <row r="881" spans="1:6" x14ac:dyDescent="0.25">
      <c r="A881" s="1" t="s">
        <v>1241</v>
      </c>
      <c r="B881" s="2">
        <v>45205.336805555547</v>
      </c>
      <c r="C881" s="3">
        <v>45205.336805555547</v>
      </c>
      <c r="D881" s="1" t="s">
        <v>1251</v>
      </c>
      <c r="E881">
        <v>119</v>
      </c>
      <c r="F881" s="1" t="s">
        <v>737</v>
      </c>
    </row>
    <row r="882" spans="1:6" x14ac:dyDescent="0.25">
      <c r="A882" s="1" t="s">
        <v>1219</v>
      </c>
      <c r="B882" s="2">
        <v>45205.236111111109</v>
      </c>
      <c r="C882" s="3">
        <v>45205.236111111109</v>
      </c>
      <c r="D882" s="1" t="s">
        <v>914</v>
      </c>
      <c r="E882">
        <v>67</v>
      </c>
      <c r="F882" s="1" t="s">
        <v>735</v>
      </c>
    </row>
    <row r="883" spans="1:6" x14ac:dyDescent="0.25">
      <c r="A883" s="1" t="s">
        <v>999</v>
      </c>
      <c r="B883" s="2">
        <v>45205.191666666673</v>
      </c>
      <c r="C883" s="3">
        <v>45205.191666666673</v>
      </c>
      <c r="D883" s="1" t="s">
        <v>1010</v>
      </c>
      <c r="E883">
        <v>34</v>
      </c>
      <c r="F883" s="1" t="s">
        <v>732</v>
      </c>
    </row>
    <row r="884" spans="1:6" x14ac:dyDescent="0.25">
      <c r="A884" s="1" t="s">
        <v>1193</v>
      </c>
      <c r="B884" s="2">
        <v>45205.178472222222</v>
      </c>
      <c r="C884" s="3">
        <v>45205.178472222222</v>
      </c>
      <c r="D884" s="1" t="s">
        <v>1215</v>
      </c>
      <c r="E884">
        <v>42</v>
      </c>
      <c r="F884" s="1" t="s">
        <v>735</v>
      </c>
    </row>
    <row r="885" spans="1:6" x14ac:dyDescent="0.25">
      <c r="A885" s="1" t="s">
        <v>1059</v>
      </c>
      <c r="B885" s="2">
        <v>45205.169444444437</v>
      </c>
      <c r="C885" s="3">
        <v>45205.169444444437</v>
      </c>
      <c r="D885" s="1" t="s">
        <v>1079</v>
      </c>
      <c r="E885">
        <v>18</v>
      </c>
      <c r="F885" s="1" t="s">
        <v>735</v>
      </c>
    </row>
    <row r="886" spans="1:6" x14ac:dyDescent="0.25">
      <c r="A886" s="1" t="s">
        <v>978</v>
      </c>
      <c r="B886" s="2">
        <v>45205.154166666667</v>
      </c>
      <c r="C886" s="3">
        <v>45205.154166666667</v>
      </c>
      <c r="D886" s="1" t="s">
        <v>819</v>
      </c>
      <c r="E886">
        <v>12</v>
      </c>
      <c r="F886" s="1" t="s">
        <v>732</v>
      </c>
    </row>
    <row r="887" spans="1:6" x14ac:dyDescent="0.25">
      <c r="A887" s="1" t="s">
        <v>939</v>
      </c>
      <c r="B887" s="2">
        <v>45205.11041666667</v>
      </c>
      <c r="C887" s="3">
        <v>45205.11041666667</v>
      </c>
      <c r="D887" s="1" t="s">
        <v>761</v>
      </c>
      <c r="E887">
        <v>104</v>
      </c>
      <c r="F887" s="1" t="s">
        <v>732</v>
      </c>
    </row>
    <row r="888" spans="1:6" x14ac:dyDescent="0.25">
      <c r="A888" s="1" t="s">
        <v>939</v>
      </c>
      <c r="B888" s="2">
        <v>45205.102777777778</v>
      </c>
      <c r="C888" s="3">
        <v>45205.102777777778</v>
      </c>
      <c r="D888" s="1" t="s">
        <v>974</v>
      </c>
      <c r="E888">
        <v>84</v>
      </c>
      <c r="F888" s="1" t="s">
        <v>737</v>
      </c>
    </row>
    <row r="889" spans="1:6" x14ac:dyDescent="0.25">
      <c r="A889" s="1" t="s">
        <v>902</v>
      </c>
      <c r="B889" s="2">
        <v>45205.052777777782</v>
      </c>
      <c r="C889" s="3">
        <v>45205.052777777782</v>
      </c>
      <c r="D889" s="1" t="s">
        <v>765</v>
      </c>
      <c r="E889">
        <v>102</v>
      </c>
      <c r="F889" s="1" t="s">
        <v>735</v>
      </c>
    </row>
    <row r="890" spans="1:6" x14ac:dyDescent="0.25">
      <c r="A890" s="1" t="s">
        <v>1024</v>
      </c>
      <c r="B890" s="2">
        <v>45205.052083333343</v>
      </c>
      <c r="C890" s="3">
        <v>45205.052083333343</v>
      </c>
      <c r="D890" s="1" t="s">
        <v>1035</v>
      </c>
      <c r="E890">
        <v>81</v>
      </c>
      <c r="F890" s="1" t="s">
        <v>737</v>
      </c>
    </row>
    <row r="891" spans="1:6" x14ac:dyDescent="0.25">
      <c r="A891" s="1" t="s">
        <v>902</v>
      </c>
      <c r="B891" s="2">
        <v>45205.018055555563</v>
      </c>
      <c r="C891" s="3">
        <v>45205.018055555563</v>
      </c>
      <c r="D891" s="1" t="s">
        <v>922</v>
      </c>
      <c r="E891">
        <v>67</v>
      </c>
      <c r="F891" s="1" t="s">
        <v>737</v>
      </c>
    </row>
    <row r="892" spans="1:6" x14ac:dyDescent="0.25">
      <c r="A892" s="1" t="s">
        <v>1288</v>
      </c>
      <c r="B892" s="2">
        <v>45205.013888888891</v>
      </c>
      <c r="C892" s="3">
        <v>45205.013888888891</v>
      </c>
      <c r="D892" s="1" t="s">
        <v>763</v>
      </c>
      <c r="E892">
        <v>35</v>
      </c>
      <c r="F892" s="1" t="s">
        <v>735</v>
      </c>
    </row>
    <row r="893" spans="1:6" x14ac:dyDescent="0.25">
      <c r="A893" s="1" t="s">
        <v>999</v>
      </c>
      <c r="B893" s="2">
        <v>45204.986111111109</v>
      </c>
      <c r="C893" s="3">
        <v>45204.986111111109</v>
      </c>
      <c r="D893" s="1" t="s">
        <v>1012</v>
      </c>
      <c r="E893">
        <v>76</v>
      </c>
      <c r="F893" s="1" t="s">
        <v>735</v>
      </c>
    </row>
    <row r="894" spans="1:6" x14ac:dyDescent="0.25">
      <c r="A894" s="1" t="s">
        <v>730</v>
      </c>
      <c r="B894" s="2">
        <v>45204.962500000001</v>
      </c>
      <c r="C894" s="3">
        <v>45204.962500000001</v>
      </c>
      <c r="D894" s="1" t="s">
        <v>734</v>
      </c>
      <c r="E894">
        <v>100</v>
      </c>
      <c r="F894" s="1" t="s">
        <v>735</v>
      </c>
    </row>
    <row r="895" spans="1:6" x14ac:dyDescent="0.25">
      <c r="A895" s="1" t="s">
        <v>1361</v>
      </c>
      <c r="B895" s="2">
        <v>45204.948611111111</v>
      </c>
      <c r="C895" s="3">
        <v>45204.948611111111</v>
      </c>
      <c r="D895" s="1" t="s">
        <v>1368</v>
      </c>
      <c r="E895">
        <v>47</v>
      </c>
      <c r="F895" s="1" t="s">
        <v>735</v>
      </c>
    </row>
    <row r="896" spans="1:6" x14ac:dyDescent="0.25">
      <c r="A896" s="1" t="s">
        <v>1114</v>
      </c>
      <c r="B896" s="2">
        <v>45204.931250000001</v>
      </c>
      <c r="C896" s="3">
        <v>45204.931250000001</v>
      </c>
      <c r="D896" s="1" t="s">
        <v>1115</v>
      </c>
      <c r="E896">
        <v>66</v>
      </c>
      <c r="F896" s="1" t="s">
        <v>732</v>
      </c>
    </row>
    <row r="897" spans="1:6" x14ac:dyDescent="0.25">
      <c r="A897" s="1" t="s">
        <v>1261</v>
      </c>
      <c r="B897" s="2">
        <v>45204.916666666657</v>
      </c>
      <c r="C897" s="3">
        <v>45204.916666666657</v>
      </c>
      <c r="D897" s="1" t="s">
        <v>1266</v>
      </c>
      <c r="E897">
        <v>64</v>
      </c>
      <c r="F897" s="1" t="s">
        <v>737</v>
      </c>
    </row>
    <row r="898" spans="1:6" x14ac:dyDescent="0.25">
      <c r="A898" s="1" t="s">
        <v>1024</v>
      </c>
      <c r="B898" s="2">
        <v>45204.905555555553</v>
      </c>
      <c r="C898" s="3">
        <v>45204.905555555553</v>
      </c>
      <c r="D898" s="1" t="s">
        <v>1050</v>
      </c>
      <c r="E898">
        <v>61</v>
      </c>
      <c r="F898" s="1" t="s">
        <v>732</v>
      </c>
    </row>
    <row r="899" spans="1:6" x14ac:dyDescent="0.25">
      <c r="A899" s="1" t="s">
        <v>999</v>
      </c>
      <c r="B899" s="2">
        <v>45204.895833333343</v>
      </c>
      <c r="C899" s="3">
        <v>45204.895833333343</v>
      </c>
      <c r="D899" s="1" t="s">
        <v>1002</v>
      </c>
      <c r="E899">
        <v>42</v>
      </c>
      <c r="F899" s="1" t="s">
        <v>735</v>
      </c>
    </row>
    <row r="900" spans="1:6" x14ac:dyDescent="0.25">
      <c r="A900" s="1" t="s">
        <v>1241</v>
      </c>
      <c r="B900" s="2">
        <v>45204.84652777778</v>
      </c>
      <c r="C900" s="3">
        <v>45204.84652777778</v>
      </c>
      <c r="D900" s="1" t="s">
        <v>1250</v>
      </c>
      <c r="E900">
        <v>16</v>
      </c>
      <c r="F900" s="1" t="s">
        <v>737</v>
      </c>
    </row>
    <row r="901" spans="1:6" x14ac:dyDescent="0.25">
      <c r="A901" s="1" t="s">
        <v>861</v>
      </c>
      <c r="B901" s="2">
        <v>45204.81527777778</v>
      </c>
      <c r="C901" s="3">
        <v>45204.81527777778</v>
      </c>
      <c r="D901" s="1" t="s">
        <v>863</v>
      </c>
      <c r="E901">
        <v>71</v>
      </c>
      <c r="F901" s="1" t="s">
        <v>737</v>
      </c>
    </row>
    <row r="902" spans="1:6" x14ac:dyDescent="0.25">
      <c r="A902" s="1" t="s">
        <v>1219</v>
      </c>
      <c r="B902" s="2">
        <v>45204.76666666667</v>
      </c>
      <c r="C902" s="3">
        <v>45204.76666666667</v>
      </c>
      <c r="D902" s="1" t="s">
        <v>1240</v>
      </c>
      <c r="E902">
        <v>9</v>
      </c>
      <c r="F902" s="1" t="s">
        <v>737</v>
      </c>
    </row>
    <row r="903" spans="1:6" x14ac:dyDescent="0.25">
      <c r="A903" s="1" t="s">
        <v>978</v>
      </c>
      <c r="B903" s="2">
        <v>45204.759027777778</v>
      </c>
      <c r="C903" s="3">
        <v>45204.759027777778</v>
      </c>
      <c r="D903" s="1" t="s">
        <v>992</v>
      </c>
      <c r="E903">
        <v>105</v>
      </c>
      <c r="F903" s="1" t="s">
        <v>737</v>
      </c>
    </row>
    <row r="904" spans="1:6" x14ac:dyDescent="0.25">
      <c r="A904" s="1" t="s">
        <v>1138</v>
      </c>
      <c r="B904" s="2">
        <v>45204.68472222222</v>
      </c>
      <c r="C904" s="3">
        <v>45204.68472222222</v>
      </c>
      <c r="D904" s="1" t="s">
        <v>1161</v>
      </c>
      <c r="E904">
        <v>92</v>
      </c>
      <c r="F904" s="1" t="s">
        <v>732</v>
      </c>
    </row>
    <row r="905" spans="1:6" x14ac:dyDescent="0.25">
      <c r="A905" s="1" t="s">
        <v>1361</v>
      </c>
      <c r="B905" s="2">
        <v>45204.665277777778</v>
      </c>
      <c r="C905" s="3">
        <v>45204.665277777778</v>
      </c>
      <c r="D905" s="1" t="s">
        <v>1070</v>
      </c>
      <c r="E905">
        <v>56</v>
      </c>
      <c r="F905" s="1" t="s">
        <v>732</v>
      </c>
    </row>
    <row r="906" spans="1:6" x14ac:dyDescent="0.25">
      <c r="A906" s="1" t="s">
        <v>1382</v>
      </c>
      <c r="B906" s="2">
        <v>45204.625</v>
      </c>
      <c r="C906" s="3">
        <v>45204.625</v>
      </c>
      <c r="D906" s="1" t="s">
        <v>1384</v>
      </c>
      <c r="E906">
        <v>94</v>
      </c>
      <c r="F906" s="1" t="s">
        <v>737</v>
      </c>
    </row>
    <row r="907" spans="1:6" x14ac:dyDescent="0.25">
      <c r="A907" s="1" t="s">
        <v>1138</v>
      </c>
      <c r="B907" s="2">
        <v>45204.615972222222</v>
      </c>
      <c r="C907" s="3">
        <v>45204.615972222222</v>
      </c>
      <c r="D907" s="1" t="s">
        <v>1148</v>
      </c>
      <c r="E907">
        <v>41</v>
      </c>
      <c r="F907" s="1" t="s">
        <v>737</v>
      </c>
    </row>
    <row r="908" spans="1:6" x14ac:dyDescent="0.25">
      <c r="A908" s="1" t="s">
        <v>861</v>
      </c>
      <c r="B908" s="2">
        <v>45204.59097222222</v>
      </c>
      <c r="C908" s="3">
        <v>45204.59097222222</v>
      </c>
      <c r="D908" s="1" t="s">
        <v>869</v>
      </c>
      <c r="E908">
        <v>108</v>
      </c>
      <c r="F908" s="1" t="s">
        <v>735</v>
      </c>
    </row>
    <row r="909" spans="1:6" x14ac:dyDescent="0.25">
      <c r="A909" s="1" t="s">
        <v>1114</v>
      </c>
      <c r="B909" s="2">
        <v>45204.572222222218</v>
      </c>
      <c r="C909" s="3">
        <v>45204.572222222218</v>
      </c>
      <c r="D909" s="1" t="s">
        <v>878</v>
      </c>
      <c r="E909">
        <v>88</v>
      </c>
      <c r="F909" s="1" t="s">
        <v>737</v>
      </c>
    </row>
    <row r="910" spans="1:6" x14ac:dyDescent="0.25">
      <c r="A910" s="1" t="s">
        <v>978</v>
      </c>
      <c r="B910" s="2">
        <v>45204.570138888892</v>
      </c>
      <c r="C910" s="3">
        <v>45204.570138888892</v>
      </c>
      <c r="D910" s="1" t="s">
        <v>982</v>
      </c>
      <c r="E910">
        <v>13</v>
      </c>
      <c r="F910" s="1" t="s">
        <v>737</v>
      </c>
    </row>
    <row r="911" spans="1:6" x14ac:dyDescent="0.25">
      <c r="A911" s="1" t="s">
        <v>1288</v>
      </c>
      <c r="B911" s="2">
        <v>45204.55</v>
      </c>
      <c r="C911" s="3">
        <v>45204.55</v>
      </c>
      <c r="D911" s="1" t="s">
        <v>956</v>
      </c>
      <c r="E911">
        <v>113</v>
      </c>
      <c r="F911" s="1" t="s">
        <v>735</v>
      </c>
    </row>
    <row r="912" spans="1:6" x14ac:dyDescent="0.25">
      <c r="A912" s="1" t="s">
        <v>1193</v>
      </c>
      <c r="B912" s="2">
        <v>45204.53125</v>
      </c>
      <c r="C912" s="3">
        <v>45204.53125</v>
      </c>
      <c r="D912" s="1" t="s">
        <v>900</v>
      </c>
      <c r="E912">
        <v>47</v>
      </c>
      <c r="F912" s="1" t="s">
        <v>732</v>
      </c>
    </row>
    <row r="913" spans="1:6" x14ac:dyDescent="0.25">
      <c r="A913" s="1" t="s">
        <v>1024</v>
      </c>
      <c r="B913" s="2">
        <v>45204.47152777778</v>
      </c>
      <c r="C913" s="3">
        <v>45204.47152777778</v>
      </c>
      <c r="D913" s="1" t="s">
        <v>1044</v>
      </c>
      <c r="E913">
        <v>10</v>
      </c>
      <c r="F913" s="1" t="s">
        <v>732</v>
      </c>
    </row>
    <row r="914" spans="1:6" x14ac:dyDescent="0.25">
      <c r="A914" s="1" t="s">
        <v>1165</v>
      </c>
      <c r="B914" s="2">
        <v>45204.39166666667</v>
      </c>
      <c r="C914" s="3">
        <v>45204.39166666667</v>
      </c>
      <c r="D914" s="1" t="s">
        <v>884</v>
      </c>
      <c r="E914">
        <v>98</v>
      </c>
      <c r="F914" s="1" t="s">
        <v>737</v>
      </c>
    </row>
    <row r="915" spans="1:6" x14ac:dyDescent="0.25">
      <c r="A915" s="1" t="s">
        <v>730</v>
      </c>
      <c r="B915" s="2">
        <v>45204.338888888888</v>
      </c>
      <c r="C915" s="3">
        <v>45204.338888888888</v>
      </c>
      <c r="D915" s="1" t="s">
        <v>777</v>
      </c>
      <c r="E915">
        <v>60</v>
      </c>
      <c r="F915" s="1" t="s">
        <v>732</v>
      </c>
    </row>
    <row r="916" spans="1:6" x14ac:dyDescent="0.25">
      <c r="A916" s="1" t="s">
        <v>939</v>
      </c>
      <c r="B916" s="2">
        <v>45204.314583333333</v>
      </c>
      <c r="C916" s="3">
        <v>45204.314583333333</v>
      </c>
      <c r="D916" s="1" t="s">
        <v>966</v>
      </c>
      <c r="E916">
        <v>120</v>
      </c>
      <c r="F916" s="1" t="s">
        <v>735</v>
      </c>
    </row>
    <row r="917" spans="1:6" x14ac:dyDescent="0.25">
      <c r="A917" s="1" t="s">
        <v>861</v>
      </c>
      <c r="B917" s="2">
        <v>45204.297222222223</v>
      </c>
      <c r="C917" s="3">
        <v>45204.297222222223</v>
      </c>
      <c r="D917" s="1" t="s">
        <v>879</v>
      </c>
      <c r="E917">
        <v>111</v>
      </c>
      <c r="F917" s="1" t="s">
        <v>735</v>
      </c>
    </row>
    <row r="918" spans="1:6" x14ac:dyDescent="0.25">
      <c r="A918" s="1" t="s">
        <v>730</v>
      </c>
      <c r="B918" s="2">
        <v>45204.283333333333</v>
      </c>
      <c r="C918" s="3">
        <v>45204.283333333333</v>
      </c>
      <c r="D918" s="1" t="s">
        <v>749</v>
      </c>
      <c r="E918">
        <v>11</v>
      </c>
      <c r="F918" s="1" t="s">
        <v>737</v>
      </c>
    </row>
    <row r="919" spans="1:6" x14ac:dyDescent="0.25">
      <c r="A919" s="1" t="s">
        <v>1165</v>
      </c>
      <c r="B919" s="2">
        <v>45204.26458333333</v>
      </c>
      <c r="C919" s="3">
        <v>45204.26458333333</v>
      </c>
      <c r="D919" s="1" t="s">
        <v>1117</v>
      </c>
      <c r="E919">
        <v>90</v>
      </c>
      <c r="F919" s="1" t="s">
        <v>737</v>
      </c>
    </row>
    <row r="920" spans="1:6" x14ac:dyDescent="0.25">
      <c r="A920" s="1" t="s">
        <v>1086</v>
      </c>
      <c r="B920" s="2">
        <v>45204.237500000003</v>
      </c>
      <c r="C920" s="3">
        <v>45204.237500000003</v>
      </c>
      <c r="D920" s="1" t="s">
        <v>956</v>
      </c>
      <c r="E920">
        <v>21</v>
      </c>
      <c r="F920" s="1" t="s">
        <v>735</v>
      </c>
    </row>
    <row r="921" spans="1:6" x14ac:dyDescent="0.25">
      <c r="A921" s="1" t="s">
        <v>902</v>
      </c>
      <c r="B921" s="2">
        <v>45204.20208333333</v>
      </c>
      <c r="C921" s="3">
        <v>45204.20208333333</v>
      </c>
      <c r="D921" s="1" t="s">
        <v>908</v>
      </c>
      <c r="E921">
        <v>10</v>
      </c>
      <c r="F921" s="1" t="s">
        <v>732</v>
      </c>
    </row>
    <row r="922" spans="1:6" x14ac:dyDescent="0.25">
      <c r="A922" s="1" t="s">
        <v>1288</v>
      </c>
      <c r="B922" s="2">
        <v>45204.122916666667</v>
      </c>
      <c r="C922" s="3">
        <v>45204.122916666667</v>
      </c>
      <c r="D922" s="1" t="s">
        <v>1200</v>
      </c>
      <c r="E922">
        <v>34</v>
      </c>
      <c r="F922" s="1" t="s">
        <v>732</v>
      </c>
    </row>
    <row r="923" spans="1:6" x14ac:dyDescent="0.25">
      <c r="A923" s="1" t="s">
        <v>1193</v>
      </c>
      <c r="B923" s="2">
        <v>45204.09097222222</v>
      </c>
      <c r="C923" s="3">
        <v>45204.09097222222</v>
      </c>
      <c r="D923" s="1" t="s">
        <v>1208</v>
      </c>
      <c r="E923">
        <v>81</v>
      </c>
      <c r="F923" s="1" t="s">
        <v>732</v>
      </c>
    </row>
    <row r="924" spans="1:6" x14ac:dyDescent="0.25">
      <c r="A924" s="1" t="s">
        <v>1193</v>
      </c>
      <c r="B924" s="2">
        <v>45204.090277777781</v>
      </c>
      <c r="C924" s="3">
        <v>45204.090277777781</v>
      </c>
      <c r="D924" s="1" t="s">
        <v>1216</v>
      </c>
      <c r="E924">
        <v>93</v>
      </c>
      <c r="F924" s="1" t="s">
        <v>737</v>
      </c>
    </row>
    <row r="925" spans="1:6" x14ac:dyDescent="0.25">
      <c r="A925" s="1" t="s">
        <v>1165</v>
      </c>
      <c r="B925" s="2">
        <v>45204.011111111111</v>
      </c>
      <c r="C925" s="3">
        <v>45204.011111111111</v>
      </c>
      <c r="D925" s="1" t="s">
        <v>1187</v>
      </c>
      <c r="E925">
        <v>12</v>
      </c>
      <c r="F925" s="1" t="s">
        <v>735</v>
      </c>
    </row>
    <row r="926" spans="1:6" x14ac:dyDescent="0.25">
      <c r="A926" s="1" t="s">
        <v>823</v>
      </c>
      <c r="B926" s="2">
        <v>45203.997916666667</v>
      </c>
      <c r="C926" s="3">
        <v>45203.997916666667</v>
      </c>
      <c r="D926" s="1" t="s">
        <v>839</v>
      </c>
      <c r="E926">
        <v>101</v>
      </c>
      <c r="F926" s="1" t="s">
        <v>737</v>
      </c>
    </row>
    <row r="927" spans="1:6" x14ac:dyDescent="0.25">
      <c r="A927" s="1" t="s">
        <v>1165</v>
      </c>
      <c r="B927" s="2">
        <v>45203.991666666669</v>
      </c>
      <c r="C927" s="3">
        <v>45203.991666666669</v>
      </c>
      <c r="D927" s="1" t="s">
        <v>1179</v>
      </c>
      <c r="E927">
        <v>5</v>
      </c>
      <c r="F927" s="1" t="s">
        <v>737</v>
      </c>
    </row>
    <row r="928" spans="1:6" x14ac:dyDescent="0.25">
      <c r="A928" s="1" t="s">
        <v>1308</v>
      </c>
      <c r="B928" s="2">
        <v>45203.958333333343</v>
      </c>
      <c r="C928" s="3">
        <v>45203.958333333343</v>
      </c>
      <c r="D928" s="1" t="s">
        <v>1317</v>
      </c>
      <c r="E928">
        <v>65</v>
      </c>
      <c r="F928" s="1" t="s">
        <v>737</v>
      </c>
    </row>
    <row r="929" spans="1:6" x14ac:dyDescent="0.25">
      <c r="A929" s="1" t="s">
        <v>861</v>
      </c>
      <c r="B929" s="2">
        <v>45203.950694444437</v>
      </c>
      <c r="C929" s="3">
        <v>45203.950694444437</v>
      </c>
      <c r="D929" s="1" t="s">
        <v>892</v>
      </c>
      <c r="E929">
        <v>8</v>
      </c>
      <c r="F929" s="1" t="s">
        <v>735</v>
      </c>
    </row>
    <row r="930" spans="1:6" x14ac:dyDescent="0.25">
      <c r="A930" s="1" t="s">
        <v>1219</v>
      </c>
      <c r="B930" s="2">
        <v>45203.910416666673</v>
      </c>
      <c r="C930" s="3">
        <v>45203.910416666673</v>
      </c>
      <c r="D930" s="1" t="s">
        <v>1198</v>
      </c>
      <c r="E930">
        <v>62</v>
      </c>
      <c r="F930" s="1" t="s">
        <v>732</v>
      </c>
    </row>
    <row r="931" spans="1:6" x14ac:dyDescent="0.25">
      <c r="A931" s="1" t="s">
        <v>779</v>
      </c>
      <c r="B931" s="2">
        <v>45203.893750000003</v>
      </c>
      <c r="C931" s="3">
        <v>45203.893750000003</v>
      </c>
      <c r="D931" s="1" t="s">
        <v>783</v>
      </c>
      <c r="E931">
        <v>32</v>
      </c>
      <c r="F931" s="1" t="s">
        <v>732</v>
      </c>
    </row>
    <row r="932" spans="1:6" x14ac:dyDescent="0.25">
      <c r="A932" s="1" t="s">
        <v>1345</v>
      </c>
      <c r="B932" s="2">
        <v>45203.89166666667</v>
      </c>
      <c r="C932" s="3">
        <v>45203.89166666667</v>
      </c>
      <c r="D932" s="1" t="s">
        <v>903</v>
      </c>
      <c r="E932">
        <v>7</v>
      </c>
      <c r="F932" s="1" t="s">
        <v>735</v>
      </c>
    </row>
    <row r="933" spans="1:6" x14ac:dyDescent="0.25">
      <c r="A933" s="1" t="s">
        <v>1138</v>
      </c>
      <c r="B933" s="2">
        <v>45203.884027777778</v>
      </c>
      <c r="C933" s="3">
        <v>45203.884027777778</v>
      </c>
      <c r="D933" s="1" t="s">
        <v>1158</v>
      </c>
      <c r="E933">
        <v>116</v>
      </c>
      <c r="F933" s="1" t="s">
        <v>735</v>
      </c>
    </row>
    <row r="934" spans="1:6" x14ac:dyDescent="0.25">
      <c r="A934" s="1" t="s">
        <v>939</v>
      </c>
      <c r="B934" s="2">
        <v>45203.864583333343</v>
      </c>
      <c r="C934" s="3">
        <v>45203.864583333343</v>
      </c>
      <c r="D934" s="1" t="s">
        <v>961</v>
      </c>
      <c r="E934">
        <v>100</v>
      </c>
      <c r="F934" s="1" t="s">
        <v>737</v>
      </c>
    </row>
    <row r="935" spans="1:6" x14ac:dyDescent="0.25">
      <c r="A935" s="1" t="s">
        <v>823</v>
      </c>
      <c r="B935" s="2">
        <v>45203.810416666667</v>
      </c>
      <c r="C935" s="3">
        <v>45203.810416666667</v>
      </c>
      <c r="D935" s="1" t="s">
        <v>827</v>
      </c>
      <c r="E935">
        <v>78</v>
      </c>
      <c r="F935" s="1" t="s">
        <v>737</v>
      </c>
    </row>
    <row r="936" spans="1:6" x14ac:dyDescent="0.25">
      <c r="A936" s="1" t="s">
        <v>779</v>
      </c>
      <c r="B936" s="2">
        <v>45203.760416666657</v>
      </c>
      <c r="C936" s="3">
        <v>45203.760416666657</v>
      </c>
      <c r="D936" s="1" t="s">
        <v>811</v>
      </c>
      <c r="E936">
        <v>18</v>
      </c>
      <c r="F936" s="1" t="s">
        <v>737</v>
      </c>
    </row>
    <row r="937" spans="1:6" x14ac:dyDescent="0.25">
      <c r="A937" s="1" t="s">
        <v>861</v>
      </c>
      <c r="B937" s="2">
        <v>45203.750694444447</v>
      </c>
      <c r="C937" s="3">
        <v>45203.750694444447</v>
      </c>
      <c r="D937" s="1" t="s">
        <v>886</v>
      </c>
      <c r="E937">
        <v>64</v>
      </c>
      <c r="F937" s="1" t="s">
        <v>737</v>
      </c>
    </row>
    <row r="938" spans="1:6" x14ac:dyDescent="0.25">
      <c r="A938" s="1" t="s">
        <v>902</v>
      </c>
      <c r="B938" s="2">
        <v>45203.718055555553</v>
      </c>
      <c r="C938" s="3">
        <v>45203.718055555553</v>
      </c>
      <c r="D938" s="1" t="s">
        <v>928</v>
      </c>
      <c r="E938">
        <v>114</v>
      </c>
      <c r="F938" s="1" t="s">
        <v>735</v>
      </c>
    </row>
    <row r="939" spans="1:6" x14ac:dyDescent="0.25">
      <c r="A939" s="1" t="s">
        <v>1219</v>
      </c>
      <c r="B939" s="2">
        <v>45203.71597222222</v>
      </c>
      <c r="C939" s="3">
        <v>45203.71597222222</v>
      </c>
      <c r="D939" s="1" t="s">
        <v>1234</v>
      </c>
      <c r="E939">
        <v>68</v>
      </c>
      <c r="F939" s="1" t="s">
        <v>735</v>
      </c>
    </row>
    <row r="940" spans="1:6" x14ac:dyDescent="0.25">
      <c r="A940" s="1" t="s">
        <v>1086</v>
      </c>
      <c r="B940" s="2">
        <v>45203.67291666667</v>
      </c>
      <c r="C940" s="3">
        <v>45203.67291666667</v>
      </c>
      <c r="D940" s="1" t="s">
        <v>1104</v>
      </c>
      <c r="E940">
        <v>82</v>
      </c>
      <c r="F940" s="1" t="s">
        <v>732</v>
      </c>
    </row>
    <row r="941" spans="1:6" x14ac:dyDescent="0.25">
      <c r="A941" s="1" t="s">
        <v>978</v>
      </c>
      <c r="B941" s="2">
        <v>45203.652083333327</v>
      </c>
      <c r="C941" s="3">
        <v>45203.652083333327</v>
      </c>
      <c r="D941" s="1" t="s">
        <v>983</v>
      </c>
      <c r="E941">
        <v>65</v>
      </c>
      <c r="F941" s="1" t="s">
        <v>737</v>
      </c>
    </row>
    <row r="942" spans="1:6" x14ac:dyDescent="0.25">
      <c r="A942" s="1" t="s">
        <v>1219</v>
      </c>
      <c r="B942" s="2">
        <v>45203.615277777782</v>
      </c>
      <c r="C942" s="3">
        <v>45203.615277777782</v>
      </c>
      <c r="D942" s="1" t="s">
        <v>1225</v>
      </c>
      <c r="E942">
        <v>41</v>
      </c>
      <c r="F942" s="1" t="s">
        <v>732</v>
      </c>
    </row>
    <row r="943" spans="1:6" x14ac:dyDescent="0.25">
      <c r="A943" s="1" t="s">
        <v>1382</v>
      </c>
      <c r="B943" s="2">
        <v>45203.603472222218</v>
      </c>
      <c r="C943" s="3">
        <v>45203.603472222218</v>
      </c>
      <c r="D943" s="1" t="s">
        <v>1383</v>
      </c>
      <c r="E943">
        <v>106</v>
      </c>
      <c r="F943" s="1" t="s">
        <v>735</v>
      </c>
    </row>
    <row r="944" spans="1:6" x14ac:dyDescent="0.25">
      <c r="A944" s="1" t="s">
        <v>1138</v>
      </c>
      <c r="B944" s="2">
        <v>45203.59652777778</v>
      </c>
      <c r="C944" s="3">
        <v>45203.59652777778</v>
      </c>
      <c r="D944" s="1" t="s">
        <v>1146</v>
      </c>
      <c r="E944">
        <v>13</v>
      </c>
      <c r="F944" s="1" t="s">
        <v>735</v>
      </c>
    </row>
    <row r="945" spans="1:6" x14ac:dyDescent="0.25">
      <c r="A945" s="1" t="s">
        <v>1361</v>
      </c>
      <c r="B945" s="2">
        <v>45203.570833333331</v>
      </c>
      <c r="C945" s="3">
        <v>45203.570833333331</v>
      </c>
      <c r="D945" s="1" t="s">
        <v>1379</v>
      </c>
      <c r="E945">
        <v>68</v>
      </c>
      <c r="F945" s="1" t="s">
        <v>737</v>
      </c>
    </row>
    <row r="946" spans="1:6" x14ac:dyDescent="0.25">
      <c r="A946" s="1" t="s">
        <v>1345</v>
      </c>
      <c r="B946" s="2">
        <v>45203.522222222222</v>
      </c>
      <c r="C946" s="3">
        <v>45203.522222222222</v>
      </c>
      <c r="D946" s="1" t="s">
        <v>1226</v>
      </c>
      <c r="E946">
        <v>11</v>
      </c>
      <c r="F946" s="1" t="s">
        <v>735</v>
      </c>
    </row>
    <row r="947" spans="1:6" x14ac:dyDescent="0.25">
      <c r="A947" s="1" t="s">
        <v>1361</v>
      </c>
      <c r="B947" s="2">
        <v>45203.517361111109</v>
      </c>
      <c r="C947" s="3">
        <v>45203.517361111109</v>
      </c>
      <c r="D947" s="1" t="s">
        <v>763</v>
      </c>
      <c r="E947">
        <v>26</v>
      </c>
      <c r="F947" s="1" t="s">
        <v>732</v>
      </c>
    </row>
    <row r="948" spans="1:6" x14ac:dyDescent="0.25">
      <c r="A948" s="1" t="s">
        <v>730</v>
      </c>
      <c r="B948" s="2">
        <v>45203.511805555558</v>
      </c>
      <c r="C948" s="3">
        <v>45203.511805555558</v>
      </c>
      <c r="D948" s="1" t="s">
        <v>760</v>
      </c>
      <c r="E948">
        <v>64</v>
      </c>
      <c r="F948" s="1" t="s">
        <v>737</v>
      </c>
    </row>
    <row r="949" spans="1:6" x14ac:dyDescent="0.25">
      <c r="A949" s="1" t="s">
        <v>1059</v>
      </c>
      <c r="B949" s="2">
        <v>45203.477083333331</v>
      </c>
      <c r="C949" s="3">
        <v>45203.477083333331</v>
      </c>
      <c r="D949" s="1" t="s">
        <v>1085</v>
      </c>
      <c r="E949">
        <v>93</v>
      </c>
      <c r="F949" s="1" t="s">
        <v>735</v>
      </c>
    </row>
    <row r="950" spans="1:6" x14ac:dyDescent="0.25">
      <c r="A950" s="1" t="s">
        <v>1024</v>
      </c>
      <c r="B950" s="2">
        <v>45203.447916666657</v>
      </c>
      <c r="C950" s="3">
        <v>45203.447916666657</v>
      </c>
      <c r="D950" s="1" t="s">
        <v>951</v>
      </c>
      <c r="E950">
        <v>84</v>
      </c>
      <c r="F950" s="1" t="s">
        <v>737</v>
      </c>
    </row>
    <row r="951" spans="1:6" x14ac:dyDescent="0.25">
      <c r="A951" s="1" t="s">
        <v>1308</v>
      </c>
      <c r="B951" s="2">
        <v>45203.425694444442</v>
      </c>
      <c r="C951" s="3">
        <v>45203.425694444442</v>
      </c>
      <c r="D951" s="1" t="s">
        <v>1326</v>
      </c>
      <c r="E951">
        <v>62</v>
      </c>
      <c r="F951" s="1" t="s">
        <v>732</v>
      </c>
    </row>
    <row r="952" spans="1:6" x14ac:dyDescent="0.25">
      <c r="A952" s="1" t="s">
        <v>999</v>
      </c>
      <c r="B952" s="2">
        <v>45203.35833333333</v>
      </c>
      <c r="C952" s="3">
        <v>45203.35833333333</v>
      </c>
      <c r="D952" s="1" t="s">
        <v>1004</v>
      </c>
      <c r="E952">
        <v>5</v>
      </c>
      <c r="F952" s="1" t="s">
        <v>732</v>
      </c>
    </row>
    <row r="953" spans="1:6" x14ac:dyDescent="0.25">
      <c r="A953" s="1" t="s">
        <v>1261</v>
      </c>
      <c r="B953" s="2">
        <v>45203.324305555558</v>
      </c>
      <c r="C953" s="3">
        <v>45203.324305555558</v>
      </c>
      <c r="D953" s="1" t="s">
        <v>1277</v>
      </c>
      <c r="E953">
        <v>34</v>
      </c>
      <c r="F953" s="1" t="s">
        <v>732</v>
      </c>
    </row>
    <row r="954" spans="1:6" x14ac:dyDescent="0.25">
      <c r="A954" s="1" t="s">
        <v>1219</v>
      </c>
      <c r="B954" s="2">
        <v>45203.304861111108</v>
      </c>
      <c r="C954" s="3">
        <v>45203.304861111108</v>
      </c>
      <c r="D954" s="1" t="s">
        <v>1141</v>
      </c>
      <c r="E954">
        <v>106</v>
      </c>
      <c r="F954" s="1" t="s">
        <v>735</v>
      </c>
    </row>
    <row r="955" spans="1:6" x14ac:dyDescent="0.25">
      <c r="A955" s="1" t="s">
        <v>902</v>
      </c>
      <c r="B955" s="2">
        <v>45203.277777777781</v>
      </c>
      <c r="C955" s="3">
        <v>45203.277777777781</v>
      </c>
      <c r="D955" s="1" t="s">
        <v>918</v>
      </c>
      <c r="E955">
        <v>79</v>
      </c>
      <c r="F955" s="1" t="s">
        <v>735</v>
      </c>
    </row>
    <row r="956" spans="1:6" x14ac:dyDescent="0.25">
      <c r="A956" s="1" t="s">
        <v>1404</v>
      </c>
      <c r="B956" s="2">
        <v>45203.273611111108</v>
      </c>
      <c r="C956" s="3">
        <v>45203.273611111108</v>
      </c>
      <c r="D956" s="1" t="s">
        <v>777</v>
      </c>
      <c r="E956">
        <v>23</v>
      </c>
      <c r="F956" s="1" t="s">
        <v>737</v>
      </c>
    </row>
    <row r="957" spans="1:6" x14ac:dyDescent="0.25">
      <c r="A957" s="1" t="s">
        <v>1114</v>
      </c>
      <c r="B957" s="2">
        <v>45203.250694444447</v>
      </c>
      <c r="C957" s="3">
        <v>45203.250694444447</v>
      </c>
      <c r="D957" s="1" t="s">
        <v>863</v>
      </c>
      <c r="E957">
        <v>49</v>
      </c>
      <c r="F957" s="1" t="s">
        <v>735</v>
      </c>
    </row>
    <row r="958" spans="1:6" x14ac:dyDescent="0.25">
      <c r="A958" s="1" t="s">
        <v>1241</v>
      </c>
      <c r="B958" s="2">
        <v>45203.227777777778</v>
      </c>
      <c r="C958" s="3">
        <v>45203.227777777778</v>
      </c>
      <c r="D958" s="1" t="s">
        <v>958</v>
      </c>
      <c r="E958">
        <v>61</v>
      </c>
      <c r="F958" s="1" t="s">
        <v>735</v>
      </c>
    </row>
    <row r="959" spans="1:6" x14ac:dyDescent="0.25">
      <c r="A959" s="1" t="s">
        <v>1219</v>
      </c>
      <c r="B959" s="2">
        <v>45203.224305555559</v>
      </c>
      <c r="C959" s="3">
        <v>45203.224305555559</v>
      </c>
      <c r="D959" s="1" t="s">
        <v>843</v>
      </c>
      <c r="E959">
        <v>102</v>
      </c>
      <c r="F959" s="1" t="s">
        <v>737</v>
      </c>
    </row>
    <row r="960" spans="1:6" x14ac:dyDescent="0.25">
      <c r="A960" s="1" t="s">
        <v>861</v>
      </c>
      <c r="B960" s="2">
        <v>45203.22152777778</v>
      </c>
      <c r="C960" s="3">
        <v>45203.22152777778</v>
      </c>
      <c r="D960" s="1" t="s">
        <v>885</v>
      </c>
      <c r="E960">
        <v>101</v>
      </c>
      <c r="F960" s="1" t="s">
        <v>732</v>
      </c>
    </row>
    <row r="961" spans="1:6" x14ac:dyDescent="0.25">
      <c r="A961" s="1" t="s">
        <v>1138</v>
      </c>
      <c r="B961" s="2">
        <v>45203.213888888888</v>
      </c>
      <c r="C961" s="3">
        <v>45203.213888888888</v>
      </c>
      <c r="D961" s="1" t="s">
        <v>1140</v>
      </c>
      <c r="E961">
        <v>5</v>
      </c>
      <c r="F961" s="1" t="s">
        <v>732</v>
      </c>
    </row>
    <row r="962" spans="1:6" x14ac:dyDescent="0.25">
      <c r="A962" s="1" t="s">
        <v>779</v>
      </c>
      <c r="B962" s="2">
        <v>45203.059027777781</v>
      </c>
      <c r="C962" s="3">
        <v>45203.059027777781</v>
      </c>
      <c r="D962" s="1" t="s">
        <v>786</v>
      </c>
      <c r="E962">
        <v>49</v>
      </c>
      <c r="F962" s="1" t="s">
        <v>732</v>
      </c>
    </row>
    <row r="963" spans="1:6" x14ac:dyDescent="0.25">
      <c r="A963" s="1" t="s">
        <v>1361</v>
      </c>
      <c r="B963" s="2">
        <v>45203.041666666657</v>
      </c>
      <c r="C963" s="3">
        <v>45203.041666666657</v>
      </c>
      <c r="D963" s="1" t="s">
        <v>1053</v>
      </c>
      <c r="E963">
        <v>69</v>
      </c>
      <c r="F963" s="1" t="s">
        <v>737</v>
      </c>
    </row>
    <row r="964" spans="1:6" x14ac:dyDescent="0.25">
      <c r="A964" s="1" t="s">
        <v>730</v>
      </c>
      <c r="B964" s="2">
        <v>45203.032638888893</v>
      </c>
      <c r="C964" s="3">
        <v>45203.032638888893</v>
      </c>
      <c r="D964" s="1" t="s">
        <v>731</v>
      </c>
      <c r="E964">
        <v>73</v>
      </c>
      <c r="F964" s="1" t="s">
        <v>732</v>
      </c>
    </row>
    <row r="965" spans="1:6" x14ac:dyDescent="0.25">
      <c r="A965" s="1" t="s">
        <v>1261</v>
      </c>
      <c r="B965" s="2">
        <v>45203.03125</v>
      </c>
      <c r="C965" s="3">
        <v>45203.03125</v>
      </c>
      <c r="D965" s="1" t="s">
        <v>741</v>
      </c>
      <c r="E965">
        <v>36</v>
      </c>
      <c r="F965" s="1" t="s">
        <v>737</v>
      </c>
    </row>
    <row r="966" spans="1:6" x14ac:dyDescent="0.25">
      <c r="A966" s="1" t="s">
        <v>1241</v>
      </c>
      <c r="B966" s="2">
        <v>45203.009027777778</v>
      </c>
      <c r="C966" s="3">
        <v>45203.009027777778</v>
      </c>
      <c r="D966" s="1" t="s">
        <v>1216</v>
      </c>
      <c r="E966">
        <v>49</v>
      </c>
      <c r="F966" s="1" t="s">
        <v>732</v>
      </c>
    </row>
    <row r="967" spans="1:6" x14ac:dyDescent="0.25">
      <c r="A967" s="1" t="s">
        <v>1193</v>
      </c>
      <c r="B967" s="2">
        <v>45203.003472222219</v>
      </c>
      <c r="C967" s="3">
        <v>45203.003472222219</v>
      </c>
      <c r="D967" s="1" t="s">
        <v>1210</v>
      </c>
      <c r="E967">
        <v>46</v>
      </c>
      <c r="F967" s="1" t="s">
        <v>735</v>
      </c>
    </row>
    <row r="968" spans="1:6" x14ac:dyDescent="0.25">
      <c r="A968" s="1" t="s">
        <v>1086</v>
      </c>
      <c r="B968" s="2">
        <v>45202.912499999999</v>
      </c>
      <c r="C968" s="3">
        <v>45202.912499999999</v>
      </c>
      <c r="D968" s="1" t="s">
        <v>1087</v>
      </c>
      <c r="E968">
        <v>68</v>
      </c>
      <c r="F968" s="1" t="s">
        <v>737</v>
      </c>
    </row>
    <row r="969" spans="1:6" x14ac:dyDescent="0.25">
      <c r="A969" s="1" t="s">
        <v>1241</v>
      </c>
      <c r="B969" s="2">
        <v>45202.868055555547</v>
      </c>
      <c r="C969" s="3">
        <v>45202.868055555547</v>
      </c>
      <c r="D969" s="1" t="s">
        <v>940</v>
      </c>
      <c r="E969">
        <v>91</v>
      </c>
      <c r="F969" s="1" t="s">
        <v>735</v>
      </c>
    </row>
    <row r="970" spans="1:6" x14ac:dyDescent="0.25">
      <c r="A970" s="1" t="s">
        <v>861</v>
      </c>
      <c r="B970" s="2">
        <v>45202.852083333331</v>
      </c>
      <c r="C970" s="3">
        <v>45202.852083333331</v>
      </c>
      <c r="D970" s="1" t="s">
        <v>868</v>
      </c>
      <c r="E970">
        <v>83</v>
      </c>
      <c r="F970" s="1" t="s">
        <v>732</v>
      </c>
    </row>
    <row r="971" spans="1:6" x14ac:dyDescent="0.25">
      <c r="A971" s="1" t="s">
        <v>1193</v>
      </c>
      <c r="B971" s="2">
        <v>45202.804166666669</v>
      </c>
      <c r="C971" s="3">
        <v>45202.804166666669</v>
      </c>
      <c r="D971" s="1" t="s">
        <v>1202</v>
      </c>
      <c r="E971">
        <v>115</v>
      </c>
      <c r="F971" s="1" t="s">
        <v>735</v>
      </c>
    </row>
    <row r="972" spans="1:6" x14ac:dyDescent="0.25">
      <c r="A972" s="1" t="s">
        <v>861</v>
      </c>
      <c r="B972" s="2">
        <v>45202.780555555553</v>
      </c>
      <c r="C972" s="3">
        <v>45202.780555555553</v>
      </c>
      <c r="D972" s="1" t="s">
        <v>890</v>
      </c>
      <c r="E972">
        <v>53</v>
      </c>
      <c r="F972" s="1" t="s">
        <v>737</v>
      </c>
    </row>
    <row r="973" spans="1:6" x14ac:dyDescent="0.25">
      <c r="A973" s="1" t="s">
        <v>1024</v>
      </c>
      <c r="B973" s="2">
        <v>45202.779166666667</v>
      </c>
      <c r="C973" s="3">
        <v>45202.779166666667</v>
      </c>
      <c r="D973" s="1" t="s">
        <v>1043</v>
      </c>
      <c r="E973">
        <v>61</v>
      </c>
      <c r="F973" s="1" t="s">
        <v>737</v>
      </c>
    </row>
    <row r="974" spans="1:6" x14ac:dyDescent="0.25">
      <c r="A974" s="1" t="s">
        <v>1288</v>
      </c>
      <c r="B974" s="2">
        <v>45202.775694444441</v>
      </c>
      <c r="C974" s="3">
        <v>45202.775694444441</v>
      </c>
      <c r="D974" s="1" t="s">
        <v>1272</v>
      </c>
      <c r="E974">
        <v>72</v>
      </c>
      <c r="F974" s="1" t="s">
        <v>732</v>
      </c>
    </row>
    <row r="975" spans="1:6" x14ac:dyDescent="0.25">
      <c r="A975" s="1" t="s">
        <v>1308</v>
      </c>
      <c r="B975" s="2">
        <v>45202.747916666667</v>
      </c>
      <c r="C975" s="3">
        <v>45202.747916666667</v>
      </c>
      <c r="D975" s="1" t="s">
        <v>878</v>
      </c>
      <c r="E975">
        <v>28</v>
      </c>
      <c r="F975" s="1" t="s">
        <v>735</v>
      </c>
    </row>
    <row r="976" spans="1:6" x14ac:dyDescent="0.25">
      <c r="A976" s="1" t="s">
        <v>1261</v>
      </c>
      <c r="B976" s="2">
        <v>45202.728472222218</v>
      </c>
      <c r="C976" s="3">
        <v>45202.728472222218</v>
      </c>
      <c r="D976" s="1" t="s">
        <v>1211</v>
      </c>
      <c r="E976">
        <v>18</v>
      </c>
      <c r="F976" s="1" t="s">
        <v>732</v>
      </c>
    </row>
    <row r="977" spans="1:6" x14ac:dyDescent="0.25">
      <c r="A977" s="1" t="s">
        <v>978</v>
      </c>
      <c r="B977" s="2">
        <v>45202.717361111107</v>
      </c>
      <c r="C977" s="3">
        <v>45202.717361111107</v>
      </c>
      <c r="D977" s="1" t="s">
        <v>993</v>
      </c>
      <c r="E977">
        <v>115</v>
      </c>
      <c r="F977" s="1" t="s">
        <v>737</v>
      </c>
    </row>
    <row r="978" spans="1:6" x14ac:dyDescent="0.25">
      <c r="A978" s="1" t="s">
        <v>1193</v>
      </c>
      <c r="B978" s="2">
        <v>45202.699305555558</v>
      </c>
      <c r="C978" s="3">
        <v>45202.699305555558</v>
      </c>
      <c r="D978" s="1" t="s">
        <v>1196</v>
      </c>
      <c r="E978">
        <v>63</v>
      </c>
      <c r="F978" s="1" t="s">
        <v>735</v>
      </c>
    </row>
    <row r="979" spans="1:6" x14ac:dyDescent="0.25">
      <c r="A979" s="1" t="s">
        <v>1024</v>
      </c>
      <c r="B979" s="2">
        <v>45202.695138888892</v>
      </c>
      <c r="C979" s="3">
        <v>45202.695138888892</v>
      </c>
      <c r="D979" s="1" t="s">
        <v>1034</v>
      </c>
      <c r="E979">
        <v>21</v>
      </c>
      <c r="F979" s="1" t="s">
        <v>732</v>
      </c>
    </row>
    <row r="980" spans="1:6" x14ac:dyDescent="0.25">
      <c r="A980" s="1" t="s">
        <v>1086</v>
      </c>
      <c r="B980" s="2">
        <v>45202.695138888892</v>
      </c>
      <c r="C980" s="3">
        <v>45202.695138888892</v>
      </c>
      <c r="D980" s="1" t="s">
        <v>1108</v>
      </c>
      <c r="E980">
        <v>49</v>
      </c>
      <c r="F980" s="1" t="s">
        <v>735</v>
      </c>
    </row>
    <row r="981" spans="1:6" x14ac:dyDescent="0.25">
      <c r="A981" s="1" t="s">
        <v>1138</v>
      </c>
      <c r="B981" s="2">
        <v>45202.686111111107</v>
      </c>
      <c r="C981" s="3">
        <v>45202.686111111107</v>
      </c>
      <c r="D981" s="1" t="s">
        <v>1159</v>
      </c>
      <c r="E981">
        <v>53</v>
      </c>
      <c r="F981" s="1" t="s">
        <v>732</v>
      </c>
    </row>
    <row r="982" spans="1:6" x14ac:dyDescent="0.25">
      <c r="A982" s="1" t="s">
        <v>939</v>
      </c>
      <c r="B982" s="2">
        <v>45202.659722222219</v>
      </c>
      <c r="C982" s="3">
        <v>45202.659722222219</v>
      </c>
      <c r="D982" s="1" t="s">
        <v>951</v>
      </c>
      <c r="E982">
        <v>42</v>
      </c>
      <c r="F982" s="1" t="s">
        <v>732</v>
      </c>
    </row>
    <row r="983" spans="1:6" x14ac:dyDescent="0.25">
      <c r="A983" s="1" t="s">
        <v>1261</v>
      </c>
      <c r="B983" s="2">
        <v>45202.645138888889</v>
      </c>
      <c r="C983" s="3">
        <v>45202.645138888889</v>
      </c>
      <c r="D983" s="1" t="s">
        <v>1272</v>
      </c>
      <c r="E983">
        <v>106</v>
      </c>
      <c r="F983" s="1" t="s">
        <v>737</v>
      </c>
    </row>
    <row r="984" spans="1:6" x14ac:dyDescent="0.25">
      <c r="A984" s="1" t="s">
        <v>1138</v>
      </c>
      <c r="B984" s="2">
        <v>45202.529166666667</v>
      </c>
      <c r="C984" s="3">
        <v>45202.529166666667</v>
      </c>
      <c r="D984" s="1" t="s">
        <v>1139</v>
      </c>
      <c r="E984">
        <v>109</v>
      </c>
      <c r="F984" s="1" t="s">
        <v>735</v>
      </c>
    </row>
    <row r="985" spans="1:6" x14ac:dyDescent="0.25">
      <c r="A985" s="1" t="s">
        <v>1404</v>
      </c>
      <c r="B985" s="2">
        <v>45202.499305555553</v>
      </c>
      <c r="C985" s="3">
        <v>45202.499305555553</v>
      </c>
      <c r="D985" s="1" t="s">
        <v>1278</v>
      </c>
      <c r="E985">
        <v>57</v>
      </c>
      <c r="F985" s="1" t="s">
        <v>735</v>
      </c>
    </row>
    <row r="986" spans="1:6" x14ac:dyDescent="0.25">
      <c r="A986" s="1" t="s">
        <v>1241</v>
      </c>
      <c r="B986" s="2">
        <v>45202.487500000003</v>
      </c>
      <c r="C986" s="3">
        <v>45202.487500000003</v>
      </c>
      <c r="D986" s="1" t="s">
        <v>1252</v>
      </c>
      <c r="E986">
        <v>22</v>
      </c>
      <c r="F986" s="1" t="s">
        <v>737</v>
      </c>
    </row>
    <row r="987" spans="1:6" x14ac:dyDescent="0.25">
      <c r="A987" s="1" t="s">
        <v>1193</v>
      </c>
      <c r="B987" s="2">
        <v>45202.469444444447</v>
      </c>
      <c r="C987" s="3">
        <v>45202.469444444447</v>
      </c>
      <c r="D987" s="1" t="s">
        <v>1218</v>
      </c>
      <c r="E987">
        <v>78</v>
      </c>
      <c r="F987" s="1" t="s">
        <v>732</v>
      </c>
    </row>
    <row r="988" spans="1:6" x14ac:dyDescent="0.25">
      <c r="A988" s="1" t="s">
        <v>939</v>
      </c>
      <c r="B988" s="2">
        <v>45202.45416666667</v>
      </c>
      <c r="C988" s="3">
        <v>45202.45416666667</v>
      </c>
      <c r="D988" s="1" t="s">
        <v>954</v>
      </c>
      <c r="E988">
        <v>89</v>
      </c>
      <c r="F988" s="1" t="s">
        <v>737</v>
      </c>
    </row>
    <row r="989" spans="1:6" x14ac:dyDescent="0.25">
      <c r="A989" s="1" t="s">
        <v>1193</v>
      </c>
      <c r="B989" s="2">
        <v>45202.443055555559</v>
      </c>
      <c r="C989" s="3">
        <v>45202.443055555559</v>
      </c>
      <c r="D989" s="1" t="s">
        <v>1110</v>
      </c>
      <c r="E989">
        <v>43</v>
      </c>
      <c r="F989" s="1" t="s">
        <v>732</v>
      </c>
    </row>
    <row r="990" spans="1:6" x14ac:dyDescent="0.25">
      <c r="A990" s="1" t="s">
        <v>1308</v>
      </c>
      <c r="B990" s="2">
        <v>45202.443055555559</v>
      </c>
      <c r="C990" s="3">
        <v>45202.443055555559</v>
      </c>
      <c r="D990" s="1" t="s">
        <v>1322</v>
      </c>
      <c r="E990">
        <v>52</v>
      </c>
      <c r="F990" s="1" t="s">
        <v>735</v>
      </c>
    </row>
    <row r="991" spans="1:6" x14ac:dyDescent="0.25">
      <c r="A991" s="1" t="s">
        <v>1024</v>
      </c>
      <c r="B991" s="2">
        <v>45202.42083333333</v>
      </c>
      <c r="C991" s="3">
        <v>45202.42083333333</v>
      </c>
      <c r="D991" s="1" t="s">
        <v>757</v>
      </c>
      <c r="E991">
        <v>84</v>
      </c>
      <c r="F991" s="1" t="s">
        <v>732</v>
      </c>
    </row>
    <row r="992" spans="1:6" x14ac:dyDescent="0.25">
      <c r="A992" s="1" t="s">
        <v>1024</v>
      </c>
      <c r="B992" s="2">
        <v>45202.412499999999</v>
      </c>
      <c r="C992" s="3">
        <v>45202.412499999999</v>
      </c>
      <c r="D992" s="1" t="s">
        <v>1057</v>
      </c>
      <c r="E992">
        <v>35</v>
      </c>
      <c r="F992" s="1" t="s">
        <v>732</v>
      </c>
    </row>
    <row r="993" spans="1:6" x14ac:dyDescent="0.25">
      <c r="A993" s="1" t="s">
        <v>1219</v>
      </c>
      <c r="B993" s="2">
        <v>45202.376388888893</v>
      </c>
      <c r="C993" s="3">
        <v>45202.376388888893</v>
      </c>
      <c r="D993" s="1" t="s">
        <v>1226</v>
      </c>
      <c r="E993">
        <v>28</v>
      </c>
      <c r="F993" s="1" t="s">
        <v>732</v>
      </c>
    </row>
    <row r="994" spans="1:6" x14ac:dyDescent="0.25">
      <c r="A994" s="1" t="s">
        <v>1361</v>
      </c>
      <c r="B994" s="2">
        <v>45202.361805555563</v>
      </c>
      <c r="C994" s="3">
        <v>45202.361805555563</v>
      </c>
      <c r="D994" s="1" t="s">
        <v>1377</v>
      </c>
      <c r="E994">
        <v>15</v>
      </c>
      <c r="F994" s="1" t="s">
        <v>735</v>
      </c>
    </row>
    <row r="995" spans="1:6" x14ac:dyDescent="0.25">
      <c r="A995" s="1" t="s">
        <v>1288</v>
      </c>
      <c r="B995" s="2">
        <v>45202.35</v>
      </c>
      <c r="C995" s="3">
        <v>45202.35</v>
      </c>
      <c r="D995" s="1" t="s">
        <v>1302</v>
      </c>
      <c r="E995">
        <v>78</v>
      </c>
      <c r="F995" s="1" t="s">
        <v>732</v>
      </c>
    </row>
    <row r="996" spans="1:6" x14ac:dyDescent="0.25">
      <c r="A996" s="1" t="s">
        <v>939</v>
      </c>
      <c r="B996" s="2">
        <v>45202.319444444453</v>
      </c>
      <c r="C996" s="3">
        <v>45202.319444444453</v>
      </c>
      <c r="D996" s="1" t="s">
        <v>958</v>
      </c>
      <c r="E996">
        <v>115</v>
      </c>
      <c r="F996" s="1" t="s">
        <v>735</v>
      </c>
    </row>
    <row r="997" spans="1:6" x14ac:dyDescent="0.25">
      <c r="A997" s="1" t="s">
        <v>730</v>
      </c>
      <c r="B997" s="2">
        <v>45202.290277777778</v>
      </c>
      <c r="C997" s="3">
        <v>45202.290277777778</v>
      </c>
      <c r="D997" s="1" t="s">
        <v>773</v>
      </c>
      <c r="E997">
        <v>103</v>
      </c>
      <c r="F997" s="1" t="s">
        <v>735</v>
      </c>
    </row>
    <row r="998" spans="1:6" x14ac:dyDescent="0.25">
      <c r="A998" s="1" t="s">
        <v>1288</v>
      </c>
      <c r="B998" s="2">
        <v>45202.289583333331</v>
      </c>
      <c r="C998" s="3">
        <v>45202.289583333331</v>
      </c>
      <c r="D998" s="1" t="s">
        <v>870</v>
      </c>
      <c r="E998">
        <v>103</v>
      </c>
      <c r="F998" s="1" t="s">
        <v>735</v>
      </c>
    </row>
    <row r="999" spans="1:6" x14ac:dyDescent="0.25">
      <c r="A999" s="1" t="s">
        <v>730</v>
      </c>
      <c r="B999" s="2">
        <v>45202.259722222218</v>
      </c>
      <c r="C999" s="3">
        <v>45202.259722222218</v>
      </c>
      <c r="D999" s="1" t="s">
        <v>740</v>
      </c>
      <c r="E999">
        <v>79</v>
      </c>
      <c r="F999" s="1" t="s">
        <v>732</v>
      </c>
    </row>
    <row r="1000" spans="1:6" x14ac:dyDescent="0.25">
      <c r="A1000" s="1" t="s">
        <v>902</v>
      </c>
      <c r="B1000" s="2">
        <v>45202.21875</v>
      </c>
      <c r="C1000" s="3">
        <v>45202.21875</v>
      </c>
      <c r="D1000" s="1" t="s">
        <v>920</v>
      </c>
      <c r="E1000">
        <v>86</v>
      </c>
      <c r="F1000" s="1" t="s">
        <v>737</v>
      </c>
    </row>
    <row r="1001" spans="1:6" x14ac:dyDescent="0.25">
      <c r="A1001" s="1" t="s">
        <v>1059</v>
      </c>
      <c r="B1001" s="2">
        <v>45202.161805555559</v>
      </c>
      <c r="C1001" s="3">
        <v>45202.161805555559</v>
      </c>
      <c r="D1001" s="1" t="s">
        <v>1062</v>
      </c>
      <c r="E1001">
        <v>61</v>
      </c>
      <c r="F1001" s="1" t="s">
        <v>735</v>
      </c>
    </row>
    <row r="1002" spans="1:6" x14ac:dyDescent="0.25">
      <c r="A1002" s="1" t="s">
        <v>1193</v>
      </c>
      <c r="B1002" s="2">
        <v>45202.095138888893</v>
      </c>
      <c r="C1002" s="3">
        <v>45202.095138888893</v>
      </c>
      <c r="D1002" s="1" t="s">
        <v>1204</v>
      </c>
      <c r="E1002">
        <v>61</v>
      </c>
      <c r="F1002" s="1" t="s">
        <v>735</v>
      </c>
    </row>
    <row r="1003" spans="1:6" x14ac:dyDescent="0.25">
      <c r="A1003" s="1" t="s">
        <v>1345</v>
      </c>
      <c r="B1003" s="2">
        <v>45202.054861111108</v>
      </c>
      <c r="C1003" s="3">
        <v>45202.054861111108</v>
      </c>
      <c r="D1003" s="1" t="s">
        <v>1006</v>
      </c>
      <c r="E1003">
        <v>11</v>
      </c>
      <c r="F1003" s="1" t="s">
        <v>732</v>
      </c>
    </row>
    <row r="1004" spans="1:6" x14ac:dyDescent="0.25">
      <c r="A1004" s="1" t="s">
        <v>999</v>
      </c>
      <c r="B1004" s="2">
        <v>45202.04791666667</v>
      </c>
      <c r="C1004" s="3">
        <v>45202.04791666667</v>
      </c>
      <c r="D1004" s="1" t="s">
        <v>1017</v>
      </c>
      <c r="E1004">
        <v>115</v>
      </c>
      <c r="F1004" s="1" t="s">
        <v>735</v>
      </c>
    </row>
    <row r="1005" spans="1:6" x14ac:dyDescent="0.25">
      <c r="A1005" s="1" t="s">
        <v>1404</v>
      </c>
      <c r="B1005" s="2">
        <v>45201.95416666667</v>
      </c>
      <c r="C1005" s="3">
        <v>45201.95416666667</v>
      </c>
      <c r="D1005" s="1" t="s">
        <v>1409</v>
      </c>
      <c r="E1005">
        <v>32</v>
      </c>
      <c r="F1005" s="1" t="s">
        <v>735</v>
      </c>
    </row>
    <row r="1006" spans="1:6" x14ac:dyDescent="0.25">
      <c r="A1006" s="1" t="s">
        <v>1114</v>
      </c>
      <c r="B1006" s="2">
        <v>45201.922222222223</v>
      </c>
      <c r="C1006" s="3">
        <v>45201.922222222223</v>
      </c>
      <c r="D1006" s="1" t="s">
        <v>922</v>
      </c>
      <c r="E1006">
        <v>32</v>
      </c>
      <c r="F1006" s="1" t="s">
        <v>732</v>
      </c>
    </row>
    <row r="1007" spans="1:6" x14ac:dyDescent="0.25">
      <c r="A1007" s="1" t="s">
        <v>730</v>
      </c>
      <c r="B1007" s="2">
        <v>45201.884722222218</v>
      </c>
      <c r="C1007" s="3">
        <v>45201.884722222218</v>
      </c>
      <c r="D1007" s="1" t="s">
        <v>758</v>
      </c>
      <c r="E1007">
        <v>54</v>
      </c>
      <c r="F1007" s="1" t="s">
        <v>737</v>
      </c>
    </row>
    <row r="1008" spans="1:6" x14ac:dyDescent="0.25">
      <c r="A1008" s="1" t="s">
        <v>1382</v>
      </c>
      <c r="B1008" s="2">
        <v>45201.877083333333</v>
      </c>
      <c r="C1008" s="3">
        <v>45201.877083333333</v>
      </c>
      <c r="D1008" s="1" t="s">
        <v>900</v>
      </c>
      <c r="E1008">
        <v>82</v>
      </c>
      <c r="F1008" s="1" t="s">
        <v>737</v>
      </c>
    </row>
    <row r="1009" spans="1:6" x14ac:dyDescent="0.25">
      <c r="A1009" s="1" t="s">
        <v>1086</v>
      </c>
      <c r="B1009" s="2">
        <v>45201.867361111108</v>
      </c>
      <c r="C1009" s="3">
        <v>45201.867361111108</v>
      </c>
      <c r="D1009" s="1" t="s">
        <v>1003</v>
      </c>
      <c r="E1009">
        <v>18</v>
      </c>
      <c r="F1009" s="1" t="s">
        <v>732</v>
      </c>
    </row>
    <row r="1010" spans="1:6" x14ac:dyDescent="0.25">
      <c r="A1010" s="1" t="s">
        <v>1345</v>
      </c>
      <c r="B1010" s="2">
        <v>45201.859027777777</v>
      </c>
      <c r="C1010" s="3">
        <v>45201.859027777777</v>
      </c>
      <c r="D1010" s="1" t="s">
        <v>1348</v>
      </c>
      <c r="E1010">
        <v>26</v>
      </c>
      <c r="F1010" s="1" t="s">
        <v>735</v>
      </c>
    </row>
    <row r="1011" spans="1:6" x14ac:dyDescent="0.25">
      <c r="A1011" s="1" t="s">
        <v>779</v>
      </c>
      <c r="B1011" s="2">
        <v>45201.856944444437</v>
      </c>
      <c r="C1011" s="3">
        <v>45201.856944444437</v>
      </c>
      <c r="D1011" s="1" t="s">
        <v>793</v>
      </c>
      <c r="E1011">
        <v>61</v>
      </c>
      <c r="F1011" s="1" t="s">
        <v>732</v>
      </c>
    </row>
    <row r="1012" spans="1:6" x14ac:dyDescent="0.25">
      <c r="A1012" s="1" t="s">
        <v>902</v>
      </c>
      <c r="B1012" s="2">
        <v>45201.824305555558</v>
      </c>
      <c r="C1012" s="3">
        <v>45201.824305555558</v>
      </c>
      <c r="D1012" s="1" t="s">
        <v>917</v>
      </c>
      <c r="E1012">
        <v>28</v>
      </c>
      <c r="F1012" s="1" t="s">
        <v>735</v>
      </c>
    </row>
    <row r="1013" spans="1:6" x14ac:dyDescent="0.25">
      <c r="A1013" s="1" t="s">
        <v>1114</v>
      </c>
      <c r="B1013" s="2">
        <v>45201.780555555553</v>
      </c>
      <c r="C1013" s="3">
        <v>45201.780555555553</v>
      </c>
      <c r="D1013" s="1" t="s">
        <v>1127</v>
      </c>
      <c r="E1013">
        <v>15</v>
      </c>
      <c r="F1013" s="1" t="s">
        <v>732</v>
      </c>
    </row>
    <row r="1014" spans="1:6" x14ac:dyDescent="0.25">
      <c r="A1014" s="1" t="s">
        <v>779</v>
      </c>
      <c r="B1014" s="2">
        <v>45201.770833333343</v>
      </c>
      <c r="C1014" s="3">
        <v>45201.770833333343</v>
      </c>
      <c r="D1014" s="1" t="s">
        <v>768</v>
      </c>
      <c r="E1014">
        <v>18</v>
      </c>
      <c r="F1014" s="1" t="s">
        <v>737</v>
      </c>
    </row>
    <row r="1015" spans="1:6" x14ac:dyDescent="0.25">
      <c r="A1015" s="1" t="s">
        <v>1165</v>
      </c>
      <c r="B1015" s="2">
        <v>45201.726388888892</v>
      </c>
      <c r="C1015" s="3">
        <v>45201.726388888892</v>
      </c>
      <c r="D1015" s="1" t="s">
        <v>1171</v>
      </c>
      <c r="E1015">
        <v>97</v>
      </c>
      <c r="F1015" s="1" t="s">
        <v>735</v>
      </c>
    </row>
    <row r="1016" spans="1:6" x14ac:dyDescent="0.25">
      <c r="A1016" s="1" t="s">
        <v>779</v>
      </c>
      <c r="B1016" s="2">
        <v>45201.670138888891</v>
      </c>
      <c r="C1016" s="3">
        <v>45201.670138888891</v>
      </c>
      <c r="D1016" s="1" t="s">
        <v>807</v>
      </c>
      <c r="E1016">
        <v>22</v>
      </c>
      <c r="F1016" s="1" t="s">
        <v>737</v>
      </c>
    </row>
    <row r="1017" spans="1:6" x14ac:dyDescent="0.25">
      <c r="A1017" s="1" t="s">
        <v>1261</v>
      </c>
      <c r="B1017" s="2">
        <v>45201.640972222223</v>
      </c>
      <c r="C1017" s="3">
        <v>45201.640972222223</v>
      </c>
      <c r="D1017" s="1" t="s">
        <v>783</v>
      </c>
      <c r="E1017">
        <v>86</v>
      </c>
      <c r="F1017" s="1" t="s">
        <v>737</v>
      </c>
    </row>
    <row r="1018" spans="1:6" x14ac:dyDescent="0.25">
      <c r="A1018" s="1" t="s">
        <v>1024</v>
      </c>
      <c r="B1018" s="2">
        <v>45201.623611111107</v>
      </c>
      <c r="C1018" s="3">
        <v>45201.623611111107</v>
      </c>
      <c r="D1018" s="1" t="s">
        <v>1030</v>
      </c>
      <c r="E1018">
        <v>9</v>
      </c>
      <c r="F1018" s="1" t="s">
        <v>732</v>
      </c>
    </row>
    <row r="1019" spans="1:6" x14ac:dyDescent="0.25">
      <c r="A1019" s="1" t="s">
        <v>1288</v>
      </c>
      <c r="B1019" s="2">
        <v>45201.585416666669</v>
      </c>
      <c r="C1019" s="3">
        <v>45201.585416666669</v>
      </c>
      <c r="D1019" s="1" t="s">
        <v>1296</v>
      </c>
      <c r="E1019">
        <v>17</v>
      </c>
      <c r="F1019" s="1" t="s">
        <v>737</v>
      </c>
    </row>
    <row r="1020" spans="1:6" x14ac:dyDescent="0.25">
      <c r="A1020" s="1" t="s">
        <v>902</v>
      </c>
      <c r="B1020" s="2">
        <v>45201.574305555558</v>
      </c>
      <c r="C1020" s="3">
        <v>45201.574305555558</v>
      </c>
      <c r="D1020" s="1" t="s">
        <v>753</v>
      </c>
      <c r="E1020">
        <v>75</v>
      </c>
      <c r="F1020" s="1" t="s">
        <v>737</v>
      </c>
    </row>
    <row r="1021" spans="1:6" x14ac:dyDescent="0.25">
      <c r="A1021" s="1" t="s">
        <v>1241</v>
      </c>
      <c r="B1021" s="2">
        <v>45201.527777777781</v>
      </c>
      <c r="C1021" s="3">
        <v>45201.527777777781</v>
      </c>
      <c r="D1021" s="1" t="s">
        <v>1253</v>
      </c>
      <c r="E1021">
        <v>20</v>
      </c>
      <c r="F1021" s="1" t="s">
        <v>735</v>
      </c>
    </row>
    <row r="1022" spans="1:6" x14ac:dyDescent="0.25">
      <c r="A1022" s="1" t="s">
        <v>1308</v>
      </c>
      <c r="B1022" s="2">
        <v>45201.519444444442</v>
      </c>
      <c r="C1022" s="3">
        <v>45201.519444444442</v>
      </c>
      <c r="D1022" s="1" t="s">
        <v>849</v>
      </c>
      <c r="E1022">
        <v>113</v>
      </c>
      <c r="F1022" s="1" t="s">
        <v>737</v>
      </c>
    </row>
    <row r="1023" spans="1:6" x14ac:dyDescent="0.25">
      <c r="A1023" s="1" t="s">
        <v>978</v>
      </c>
      <c r="B1023" s="2">
        <v>45201.511805555558</v>
      </c>
      <c r="C1023" s="3">
        <v>45201.511805555558</v>
      </c>
      <c r="D1023" s="1" t="s">
        <v>856</v>
      </c>
      <c r="E1023">
        <v>62</v>
      </c>
      <c r="F1023" s="1" t="s">
        <v>735</v>
      </c>
    </row>
    <row r="1024" spans="1:6" x14ac:dyDescent="0.25">
      <c r="A1024" s="1" t="s">
        <v>861</v>
      </c>
      <c r="B1024" s="2">
        <v>45201.468055555553</v>
      </c>
      <c r="C1024" s="3">
        <v>45201.468055555553</v>
      </c>
      <c r="D1024" s="1" t="s">
        <v>876</v>
      </c>
      <c r="E1024">
        <v>80</v>
      </c>
      <c r="F1024" s="1" t="s">
        <v>732</v>
      </c>
    </row>
    <row r="1025" spans="1:6" x14ac:dyDescent="0.25">
      <c r="A1025" s="1" t="s">
        <v>1059</v>
      </c>
      <c r="B1025" s="2">
        <v>45201.457638888889</v>
      </c>
      <c r="C1025" s="3">
        <v>45201.457638888889</v>
      </c>
      <c r="D1025" s="1" t="s">
        <v>1081</v>
      </c>
      <c r="E1025">
        <v>42</v>
      </c>
      <c r="F1025" s="1" t="s">
        <v>737</v>
      </c>
    </row>
    <row r="1026" spans="1:6" x14ac:dyDescent="0.25">
      <c r="A1026" s="1" t="s">
        <v>978</v>
      </c>
      <c r="B1026" s="2">
        <v>45201.427083333343</v>
      </c>
      <c r="C1026" s="3">
        <v>45201.427083333343</v>
      </c>
      <c r="D1026" s="1" t="s">
        <v>980</v>
      </c>
      <c r="E1026">
        <v>98</v>
      </c>
      <c r="F1026" s="1" t="s">
        <v>735</v>
      </c>
    </row>
    <row r="1027" spans="1:6" x14ac:dyDescent="0.25">
      <c r="A1027" s="1" t="s">
        <v>861</v>
      </c>
      <c r="B1027" s="2">
        <v>45201.35</v>
      </c>
      <c r="C1027" s="3">
        <v>45201.35</v>
      </c>
      <c r="D1027" s="1" t="s">
        <v>870</v>
      </c>
      <c r="E1027">
        <v>73</v>
      </c>
      <c r="F1027" s="1" t="s">
        <v>732</v>
      </c>
    </row>
    <row r="1028" spans="1:6" x14ac:dyDescent="0.25">
      <c r="A1028" s="1" t="s">
        <v>823</v>
      </c>
      <c r="B1028" s="2">
        <v>45201.3125</v>
      </c>
      <c r="C1028" s="3">
        <v>45201.3125</v>
      </c>
      <c r="D1028" s="1" t="s">
        <v>859</v>
      </c>
      <c r="E1028">
        <v>90</v>
      </c>
      <c r="F1028" s="1" t="s">
        <v>735</v>
      </c>
    </row>
    <row r="1029" spans="1:6" x14ac:dyDescent="0.25">
      <c r="A1029" s="1" t="s">
        <v>1059</v>
      </c>
      <c r="B1029" s="2">
        <v>45201.30972222222</v>
      </c>
      <c r="C1029" s="3">
        <v>45201.30972222222</v>
      </c>
      <c r="D1029" s="1" t="s">
        <v>1060</v>
      </c>
      <c r="E1029">
        <v>56</v>
      </c>
      <c r="F1029" s="1" t="s">
        <v>737</v>
      </c>
    </row>
    <row r="1030" spans="1:6" x14ac:dyDescent="0.25">
      <c r="A1030" s="1" t="s">
        <v>1330</v>
      </c>
      <c r="B1030" s="2">
        <v>45201.293055555558</v>
      </c>
      <c r="C1030" s="3">
        <v>45201.293055555558</v>
      </c>
      <c r="D1030" s="1" t="s">
        <v>1287</v>
      </c>
      <c r="E1030">
        <v>95</v>
      </c>
      <c r="F1030" s="1" t="s">
        <v>737</v>
      </c>
    </row>
    <row r="1031" spans="1:6" x14ac:dyDescent="0.25">
      <c r="A1031" s="1" t="s">
        <v>1330</v>
      </c>
      <c r="B1031" s="2">
        <v>45201.245833333327</v>
      </c>
      <c r="C1031" s="3">
        <v>45201.245833333327</v>
      </c>
      <c r="D1031" s="1" t="s">
        <v>1068</v>
      </c>
      <c r="E1031">
        <v>91</v>
      </c>
      <c r="F1031" s="1" t="s">
        <v>735</v>
      </c>
    </row>
    <row r="1032" spans="1:6" x14ac:dyDescent="0.25">
      <c r="A1032" s="1" t="s">
        <v>902</v>
      </c>
      <c r="B1032" s="2">
        <v>45201.243055555547</v>
      </c>
      <c r="C1032" s="3">
        <v>45201.243055555547</v>
      </c>
      <c r="D1032" s="1" t="s">
        <v>931</v>
      </c>
      <c r="E1032">
        <v>57</v>
      </c>
      <c r="F1032" s="1" t="s">
        <v>737</v>
      </c>
    </row>
    <row r="1033" spans="1:6" x14ac:dyDescent="0.25">
      <c r="A1033" s="1" t="s">
        <v>1404</v>
      </c>
      <c r="B1033" s="2">
        <v>45201.243055555547</v>
      </c>
      <c r="C1033" s="3">
        <v>45201.243055555547</v>
      </c>
      <c r="D1033" s="1" t="s">
        <v>1034</v>
      </c>
      <c r="E1033">
        <v>73</v>
      </c>
      <c r="F1033" s="1" t="s">
        <v>735</v>
      </c>
    </row>
    <row r="1034" spans="1:6" x14ac:dyDescent="0.25">
      <c r="A1034" s="1" t="s">
        <v>779</v>
      </c>
      <c r="B1034" s="2">
        <v>45201.224999999999</v>
      </c>
      <c r="C1034" s="3">
        <v>45201.224999999999</v>
      </c>
      <c r="D1034" s="1" t="s">
        <v>797</v>
      </c>
      <c r="E1034">
        <v>83</v>
      </c>
      <c r="F1034" s="1" t="s">
        <v>735</v>
      </c>
    </row>
    <row r="1035" spans="1:6" x14ac:dyDescent="0.25">
      <c r="A1035" s="1" t="s">
        <v>1361</v>
      </c>
      <c r="B1035" s="2">
        <v>45201.212500000001</v>
      </c>
      <c r="C1035" s="3">
        <v>45201.212500000001</v>
      </c>
      <c r="D1035" s="1" t="s">
        <v>797</v>
      </c>
      <c r="E1035">
        <v>40</v>
      </c>
      <c r="F1035" s="1" t="s">
        <v>735</v>
      </c>
    </row>
    <row r="1036" spans="1:6" x14ac:dyDescent="0.25">
      <c r="A1036" s="1" t="s">
        <v>1404</v>
      </c>
      <c r="B1036" s="2">
        <v>45201.086111111108</v>
      </c>
      <c r="C1036" s="3">
        <v>45201.086111111108</v>
      </c>
      <c r="D1036" s="1" t="s">
        <v>927</v>
      </c>
      <c r="E1036">
        <v>55</v>
      </c>
      <c r="F1036" s="1" t="s">
        <v>732</v>
      </c>
    </row>
    <row r="1037" spans="1:6" x14ac:dyDescent="0.25">
      <c r="A1037" s="1" t="s">
        <v>1024</v>
      </c>
      <c r="B1037" s="2">
        <v>45201.057638888888</v>
      </c>
      <c r="C1037" s="3">
        <v>45201.057638888888</v>
      </c>
      <c r="D1037" s="1" t="s">
        <v>1025</v>
      </c>
      <c r="E1037">
        <v>103</v>
      </c>
      <c r="F1037" s="1" t="s">
        <v>732</v>
      </c>
    </row>
    <row r="1038" spans="1:6" x14ac:dyDescent="0.25">
      <c r="A1038" s="1" t="s">
        <v>1241</v>
      </c>
      <c r="B1038" s="2">
        <v>45201.04583333333</v>
      </c>
      <c r="C1038" s="3">
        <v>45201.04583333333</v>
      </c>
      <c r="D1038" s="1" t="s">
        <v>960</v>
      </c>
      <c r="E1038">
        <v>83</v>
      </c>
      <c r="F1038" s="1" t="s">
        <v>735</v>
      </c>
    </row>
    <row r="1039" spans="1:6" x14ac:dyDescent="0.25">
      <c r="A1039" s="1" t="s">
        <v>1114</v>
      </c>
      <c r="B1039" s="2">
        <v>45201.043055555558</v>
      </c>
      <c r="C1039" s="3">
        <v>45201.043055555558</v>
      </c>
      <c r="D1039" s="1" t="s">
        <v>1089</v>
      </c>
      <c r="E1039">
        <v>45</v>
      </c>
      <c r="F1039" s="1" t="s">
        <v>735</v>
      </c>
    </row>
    <row r="1040" spans="1:6" x14ac:dyDescent="0.25">
      <c r="A1040" s="1" t="s">
        <v>999</v>
      </c>
      <c r="B1040" s="2">
        <v>45201.009027777778</v>
      </c>
      <c r="C1040" s="3">
        <v>45201.009027777778</v>
      </c>
      <c r="D1040" s="1" t="s">
        <v>990</v>
      </c>
      <c r="E1040">
        <v>56</v>
      </c>
      <c r="F1040" s="1" t="s">
        <v>735</v>
      </c>
    </row>
    <row r="1041" spans="1:6" x14ac:dyDescent="0.25">
      <c r="A1041" s="1" t="s">
        <v>1219</v>
      </c>
      <c r="B1041" s="2">
        <v>45200.98541666667</v>
      </c>
      <c r="C1041" s="3">
        <v>45200.98541666667</v>
      </c>
      <c r="D1041" s="1" t="s">
        <v>922</v>
      </c>
      <c r="E1041">
        <v>29</v>
      </c>
      <c r="F1041" s="1" t="s">
        <v>737</v>
      </c>
    </row>
    <row r="1042" spans="1:6" x14ac:dyDescent="0.25">
      <c r="A1042" s="1" t="s">
        <v>861</v>
      </c>
      <c r="B1042" s="2">
        <v>45200.981944444437</v>
      </c>
      <c r="C1042" s="3">
        <v>45200.981944444437</v>
      </c>
      <c r="D1042" s="1" t="s">
        <v>766</v>
      </c>
      <c r="E1042">
        <v>98</v>
      </c>
      <c r="F1042" s="1" t="s">
        <v>732</v>
      </c>
    </row>
    <row r="1043" spans="1:6" x14ac:dyDescent="0.25">
      <c r="A1043" s="1" t="s">
        <v>1241</v>
      </c>
      <c r="B1043" s="2">
        <v>45200.931250000001</v>
      </c>
      <c r="C1043" s="3">
        <v>45200.931250000001</v>
      </c>
      <c r="D1043" s="1" t="s">
        <v>1039</v>
      </c>
      <c r="E1043">
        <v>22</v>
      </c>
      <c r="F1043" s="1" t="s">
        <v>732</v>
      </c>
    </row>
    <row r="1044" spans="1:6" x14ac:dyDescent="0.25">
      <c r="A1044" s="1" t="s">
        <v>1219</v>
      </c>
      <c r="B1044" s="2">
        <v>45200.925694444442</v>
      </c>
      <c r="C1044" s="3">
        <v>45200.925694444442</v>
      </c>
      <c r="D1044" s="1" t="s">
        <v>739</v>
      </c>
      <c r="E1044">
        <v>76</v>
      </c>
      <c r="F1044" s="1" t="s">
        <v>737</v>
      </c>
    </row>
    <row r="1045" spans="1:6" x14ac:dyDescent="0.25">
      <c r="A1045" s="1" t="s">
        <v>1361</v>
      </c>
      <c r="B1045" s="2">
        <v>45200.913888888892</v>
      </c>
      <c r="C1045" s="3">
        <v>45200.913888888892</v>
      </c>
      <c r="D1045" s="1" t="s">
        <v>1373</v>
      </c>
      <c r="E1045">
        <v>87</v>
      </c>
      <c r="F1045" s="1" t="s">
        <v>732</v>
      </c>
    </row>
    <row r="1046" spans="1:6" x14ac:dyDescent="0.25">
      <c r="A1046" s="1" t="s">
        <v>1404</v>
      </c>
      <c r="B1046" s="2">
        <v>45200.836111111108</v>
      </c>
      <c r="C1046" s="3">
        <v>45200.836111111108</v>
      </c>
      <c r="D1046" s="1" t="s">
        <v>998</v>
      </c>
      <c r="E1046">
        <v>6</v>
      </c>
      <c r="F1046" s="1" t="s">
        <v>732</v>
      </c>
    </row>
    <row r="1047" spans="1:6" x14ac:dyDescent="0.25">
      <c r="A1047" s="1" t="s">
        <v>999</v>
      </c>
      <c r="B1047" s="2">
        <v>45200.832638888889</v>
      </c>
      <c r="C1047" s="3">
        <v>45200.832638888889</v>
      </c>
      <c r="D1047" s="1" t="s">
        <v>1007</v>
      </c>
      <c r="E1047">
        <v>27</v>
      </c>
      <c r="F1047" s="1" t="s">
        <v>732</v>
      </c>
    </row>
    <row r="1048" spans="1:6" x14ac:dyDescent="0.25">
      <c r="A1048" s="1" t="s">
        <v>1382</v>
      </c>
      <c r="B1048" s="2">
        <v>45200.67083333333</v>
      </c>
      <c r="C1048" s="3">
        <v>45200.67083333333</v>
      </c>
      <c r="D1048" s="1" t="s">
        <v>1395</v>
      </c>
      <c r="E1048">
        <v>74</v>
      </c>
      <c r="F1048" s="1" t="s">
        <v>737</v>
      </c>
    </row>
    <row r="1049" spans="1:6" x14ac:dyDescent="0.25">
      <c r="A1049" s="1" t="s">
        <v>1219</v>
      </c>
      <c r="B1049" s="2">
        <v>45200.629166666673</v>
      </c>
      <c r="C1049" s="3">
        <v>45200.629166666673</v>
      </c>
      <c r="D1049" s="1" t="s">
        <v>1021</v>
      </c>
      <c r="E1049">
        <v>73</v>
      </c>
      <c r="F1049" s="1" t="s">
        <v>735</v>
      </c>
    </row>
    <row r="1050" spans="1:6" x14ac:dyDescent="0.25">
      <c r="A1050" s="1" t="s">
        <v>1345</v>
      </c>
      <c r="B1050" s="2">
        <v>45200.595138888893</v>
      </c>
      <c r="C1050" s="3">
        <v>45200.595138888893</v>
      </c>
      <c r="D1050" s="1" t="s">
        <v>1245</v>
      </c>
      <c r="E1050">
        <v>69</v>
      </c>
      <c r="F1050" s="1" t="s">
        <v>737</v>
      </c>
    </row>
    <row r="1051" spans="1:6" x14ac:dyDescent="0.25">
      <c r="A1051" s="1" t="s">
        <v>1308</v>
      </c>
      <c r="B1051" s="2">
        <v>45200.570138888892</v>
      </c>
      <c r="C1051" s="3">
        <v>45200.570138888892</v>
      </c>
      <c r="D1051" s="1" t="s">
        <v>1323</v>
      </c>
      <c r="E1051">
        <v>53</v>
      </c>
      <c r="F1051" s="1" t="s">
        <v>737</v>
      </c>
    </row>
    <row r="1052" spans="1:6" x14ac:dyDescent="0.25">
      <c r="A1052" s="1" t="s">
        <v>1288</v>
      </c>
      <c r="B1052" s="2">
        <v>45200.534722222219</v>
      </c>
      <c r="C1052" s="3">
        <v>45200.534722222219</v>
      </c>
      <c r="D1052" s="1" t="s">
        <v>1304</v>
      </c>
      <c r="E1052">
        <v>50</v>
      </c>
      <c r="F1052" s="1" t="s">
        <v>737</v>
      </c>
    </row>
    <row r="1053" spans="1:6" x14ac:dyDescent="0.25">
      <c r="A1053" s="1" t="s">
        <v>861</v>
      </c>
      <c r="B1053" s="2">
        <v>45200.525694444441</v>
      </c>
      <c r="C1053" s="3">
        <v>45200.525694444441</v>
      </c>
      <c r="D1053" s="1" t="s">
        <v>866</v>
      </c>
      <c r="E1053">
        <v>88</v>
      </c>
      <c r="F1053" s="1" t="s">
        <v>737</v>
      </c>
    </row>
    <row r="1054" spans="1:6" x14ac:dyDescent="0.25">
      <c r="A1054" s="1" t="s">
        <v>861</v>
      </c>
      <c r="B1054" s="2">
        <v>45200.51458333333</v>
      </c>
      <c r="C1054" s="3">
        <v>45200.51458333333</v>
      </c>
      <c r="D1054" s="1" t="s">
        <v>862</v>
      </c>
      <c r="E1054">
        <v>24</v>
      </c>
      <c r="F1054" s="1" t="s">
        <v>737</v>
      </c>
    </row>
    <row r="1055" spans="1:6" x14ac:dyDescent="0.25">
      <c r="A1055" s="1" t="s">
        <v>779</v>
      </c>
      <c r="B1055" s="2">
        <v>45200.511111111111</v>
      </c>
      <c r="C1055" s="3">
        <v>45200.511111111111</v>
      </c>
      <c r="D1055" s="1" t="s">
        <v>798</v>
      </c>
      <c r="E1055">
        <v>108</v>
      </c>
      <c r="F1055" s="1" t="s">
        <v>737</v>
      </c>
    </row>
    <row r="1056" spans="1:6" x14ac:dyDescent="0.25">
      <c r="A1056" s="1" t="s">
        <v>1138</v>
      </c>
      <c r="B1056" s="2">
        <v>45200.511111111111</v>
      </c>
      <c r="C1056" s="3">
        <v>45200.511111111111</v>
      </c>
      <c r="D1056" s="1" t="s">
        <v>1164</v>
      </c>
      <c r="E1056">
        <v>22</v>
      </c>
      <c r="F1056" s="1" t="s">
        <v>737</v>
      </c>
    </row>
    <row r="1057" spans="1:6" x14ac:dyDescent="0.25">
      <c r="A1057" s="1" t="s">
        <v>1382</v>
      </c>
      <c r="B1057" s="2">
        <v>45200.506249999999</v>
      </c>
      <c r="C1057" s="3">
        <v>45200.506249999999</v>
      </c>
      <c r="D1057" s="1" t="s">
        <v>1227</v>
      </c>
      <c r="E1057">
        <v>99</v>
      </c>
      <c r="F1057" s="1" t="s">
        <v>732</v>
      </c>
    </row>
    <row r="1058" spans="1:6" x14ac:dyDescent="0.25">
      <c r="A1058" s="1" t="s">
        <v>978</v>
      </c>
      <c r="B1058" s="2">
        <v>45200.493055555547</v>
      </c>
      <c r="C1058" s="3">
        <v>45200.493055555547</v>
      </c>
      <c r="D1058" s="1" t="s">
        <v>997</v>
      </c>
      <c r="E1058">
        <v>113</v>
      </c>
      <c r="F1058" s="1" t="s">
        <v>732</v>
      </c>
    </row>
    <row r="1059" spans="1:6" x14ac:dyDescent="0.25">
      <c r="A1059" s="1" t="s">
        <v>1261</v>
      </c>
      <c r="B1059" s="2">
        <v>45200.466666666667</v>
      </c>
      <c r="C1059" s="3">
        <v>45200.466666666667</v>
      </c>
      <c r="D1059" s="1" t="s">
        <v>1287</v>
      </c>
      <c r="E1059">
        <v>31</v>
      </c>
      <c r="F1059" s="1" t="s">
        <v>735</v>
      </c>
    </row>
    <row r="1060" spans="1:6" x14ac:dyDescent="0.25">
      <c r="A1060" s="1" t="s">
        <v>1219</v>
      </c>
      <c r="B1060" s="2">
        <v>45200.445138888892</v>
      </c>
      <c r="C1060" s="3">
        <v>45200.445138888892</v>
      </c>
      <c r="D1060" s="1" t="s">
        <v>1227</v>
      </c>
      <c r="E1060">
        <v>112</v>
      </c>
      <c r="F1060" s="1" t="s">
        <v>732</v>
      </c>
    </row>
    <row r="1061" spans="1:6" x14ac:dyDescent="0.25">
      <c r="A1061" s="1" t="s">
        <v>1308</v>
      </c>
      <c r="B1061" s="2">
        <v>45200.427777777782</v>
      </c>
      <c r="C1061" s="3">
        <v>45200.427777777782</v>
      </c>
      <c r="D1061" s="1" t="s">
        <v>844</v>
      </c>
      <c r="E1061">
        <v>16</v>
      </c>
      <c r="F1061" s="1" t="s">
        <v>735</v>
      </c>
    </row>
    <row r="1062" spans="1:6" x14ac:dyDescent="0.25">
      <c r="A1062" s="1" t="s">
        <v>1193</v>
      </c>
      <c r="B1062" s="2">
        <v>45200.394444444442</v>
      </c>
      <c r="C1062" s="3">
        <v>45200.394444444442</v>
      </c>
      <c r="D1062" s="1" t="s">
        <v>1034</v>
      </c>
      <c r="E1062">
        <v>115</v>
      </c>
      <c r="F1062" s="1" t="s">
        <v>735</v>
      </c>
    </row>
    <row r="1063" spans="1:6" x14ac:dyDescent="0.25">
      <c r="A1063" s="1" t="s">
        <v>1308</v>
      </c>
      <c r="B1063" s="2">
        <v>45200.342361111107</v>
      </c>
      <c r="C1063" s="3">
        <v>45200.342361111107</v>
      </c>
      <c r="D1063" s="1" t="s">
        <v>1014</v>
      </c>
      <c r="E1063">
        <v>86</v>
      </c>
      <c r="F1063" s="1" t="s">
        <v>735</v>
      </c>
    </row>
    <row r="1064" spans="1:6" x14ac:dyDescent="0.25">
      <c r="A1064" s="1" t="s">
        <v>1330</v>
      </c>
      <c r="B1064" s="2">
        <v>45200.307638888888</v>
      </c>
      <c r="C1064" s="3">
        <v>45200.307638888888</v>
      </c>
      <c r="D1064" s="1" t="s">
        <v>750</v>
      </c>
      <c r="E1064">
        <v>114</v>
      </c>
      <c r="F1064" s="1" t="s">
        <v>735</v>
      </c>
    </row>
    <row r="1065" spans="1:6" x14ac:dyDescent="0.25">
      <c r="A1065" s="1" t="s">
        <v>999</v>
      </c>
      <c r="B1065" s="2">
        <v>45200.220138888893</v>
      </c>
      <c r="C1065" s="3">
        <v>45200.220138888893</v>
      </c>
      <c r="D1065" s="1" t="s">
        <v>1008</v>
      </c>
      <c r="E1065">
        <v>53</v>
      </c>
      <c r="F1065" s="1" t="s">
        <v>735</v>
      </c>
    </row>
    <row r="1066" spans="1:6" x14ac:dyDescent="0.25">
      <c r="A1066" s="1" t="s">
        <v>999</v>
      </c>
      <c r="B1066" s="2">
        <v>45200.115972222222</v>
      </c>
      <c r="C1066" s="3">
        <v>45200.115972222222</v>
      </c>
      <c r="D1066" s="1" t="s">
        <v>747</v>
      </c>
      <c r="E1066">
        <v>111</v>
      </c>
      <c r="F1066" s="1" t="s">
        <v>737</v>
      </c>
    </row>
    <row r="1067" spans="1:6" x14ac:dyDescent="0.25">
      <c r="A1067" s="1" t="s">
        <v>902</v>
      </c>
      <c r="B1067" s="2">
        <v>45200.093055555553</v>
      </c>
      <c r="C1067" s="3">
        <v>45200.093055555553</v>
      </c>
      <c r="D1067" s="1" t="s">
        <v>774</v>
      </c>
      <c r="E1067">
        <v>63</v>
      </c>
      <c r="F1067" s="1" t="s">
        <v>735</v>
      </c>
    </row>
    <row r="1068" spans="1:6" x14ac:dyDescent="0.25">
      <c r="A1068" s="1" t="s">
        <v>1288</v>
      </c>
      <c r="B1068" s="2">
        <v>45200.078472222223</v>
      </c>
      <c r="C1068" s="3">
        <v>45200.078472222223</v>
      </c>
      <c r="D1068" s="1" t="s">
        <v>970</v>
      </c>
      <c r="E1068">
        <v>40</v>
      </c>
      <c r="F1068" s="1" t="s">
        <v>732</v>
      </c>
    </row>
    <row r="1069" spans="1:6" x14ac:dyDescent="0.25">
      <c r="A1069" s="1" t="s">
        <v>1345</v>
      </c>
      <c r="B1069" s="2">
        <v>45200.06527777778</v>
      </c>
      <c r="C1069" s="3">
        <v>45200.06527777778</v>
      </c>
      <c r="D1069" s="1" t="s">
        <v>921</v>
      </c>
      <c r="E1069">
        <v>9</v>
      </c>
      <c r="F1069" s="1" t="s">
        <v>732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FA95-ECF0-4C8B-A8E4-96871D14B8E4}">
  <dimension ref="A1:G418"/>
  <sheetViews>
    <sheetView workbookViewId="0">
      <selection activeCell="H4" sqref="H4"/>
    </sheetView>
  </sheetViews>
  <sheetFormatPr baseColWidth="10" defaultRowHeight="15" x14ac:dyDescent="0.25"/>
  <cols>
    <col min="1" max="1" width="13.85546875" bestFit="1" customWidth="1"/>
    <col min="2" max="2" width="18.7109375" customWidth="1"/>
    <col min="3" max="3" width="21.7109375" customWidth="1"/>
    <col min="4" max="4" width="15.42578125" customWidth="1"/>
    <col min="5" max="5" width="16.42578125" customWidth="1"/>
    <col min="6" max="6" width="16.7109375" customWidth="1"/>
    <col min="7" max="8" width="33" bestFit="1" customWidth="1"/>
  </cols>
  <sheetData>
    <row r="1" spans="1:7" x14ac:dyDescent="0.25">
      <c r="A1" t="s">
        <v>1416</v>
      </c>
      <c r="B1" t="s">
        <v>1417</v>
      </c>
      <c r="C1" t="s">
        <v>1418</v>
      </c>
      <c r="D1" t="s">
        <v>1419</v>
      </c>
      <c r="E1" t="s">
        <v>1420</v>
      </c>
      <c r="F1" t="s">
        <v>1421</v>
      </c>
      <c r="G1" t="s">
        <v>0</v>
      </c>
    </row>
    <row r="2" spans="1:7" x14ac:dyDescent="0.25">
      <c r="A2" s="1" t="s">
        <v>1247</v>
      </c>
      <c r="B2" s="1" t="s">
        <v>118</v>
      </c>
      <c r="C2">
        <v>-3.003879</v>
      </c>
      <c r="D2">
        <v>23.633893</v>
      </c>
      <c r="E2" s="1" t="s">
        <v>1423</v>
      </c>
      <c r="F2" s="1" t="s">
        <v>1424</v>
      </c>
      <c r="G2" s="1" t="s">
        <v>1422</v>
      </c>
    </row>
    <row r="3" spans="1:7" x14ac:dyDescent="0.25">
      <c r="A3" s="1" t="s">
        <v>1425</v>
      </c>
      <c r="B3" s="1" t="s">
        <v>48</v>
      </c>
      <c r="C3">
        <v>2.413557</v>
      </c>
      <c r="D3">
        <v>19.690681999999999</v>
      </c>
      <c r="E3" s="1" t="s">
        <v>1426</v>
      </c>
      <c r="F3" s="1" t="s">
        <v>1427</v>
      </c>
      <c r="G3" s="1" t="s">
        <v>1422</v>
      </c>
    </row>
    <row r="4" spans="1:7" x14ac:dyDescent="0.25">
      <c r="A4" s="1" t="s">
        <v>751</v>
      </c>
      <c r="B4" s="1" t="s">
        <v>35</v>
      </c>
      <c r="C4">
        <v>-9.4708620000000003</v>
      </c>
      <c r="D4">
        <v>29.234387999999999</v>
      </c>
      <c r="E4" s="1" t="s">
        <v>1428</v>
      </c>
      <c r="F4" s="1" t="s">
        <v>1429</v>
      </c>
      <c r="G4" s="1" t="s">
        <v>1422</v>
      </c>
    </row>
    <row r="5" spans="1:7" x14ac:dyDescent="0.25">
      <c r="A5" s="1" t="s">
        <v>1196</v>
      </c>
      <c r="B5" s="1" t="s">
        <v>68</v>
      </c>
      <c r="C5">
        <v>1.400674</v>
      </c>
      <c r="D5">
        <v>13.503126999999999</v>
      </c>
      <c r="E5" s="1" t="s">
        <v>1423</v>
      </c>
      <c r="F5" s="1" t="s">
        <v>1429</v>
      </c>
      <c r="G5" s="1" t="s">
        <v>1422</v>
      </c>
    </row>
    <row r="6" spans="1:7" x14ac:dyDescent="0.25">
      <c r="A6" s="1" t="s">
        <v>1430</v>
      </c>
      <c r="B6" s="1" t="s">
        <v>118</v>
      </c>
      <c r="C6">
        <v>0.29375600000000002</v>
      </c>
      <c r="D6">
        <v>18.528884000000001</v>
      </c>
      <c r="E6" s="1" t="s">
        <v>1423</v>
      </c>
      <c r="F6" s="1" t="s">
        <v>1429</v>
      </c>
      <c r="G6" s="1" t="s">
        <v>1422</v>
      </c>
    </row>
    <row r="7" spans="1:7" x14ac:dyDescent="0.25">
      <c r="A7" s="1" t="s">
        <v>1431</v>
      </c>
      <c r="B7" s="1" t="s">
        <v>72</v>
      </c>
      <c r="C7">
        <v>-4.4862339999999996</v>
      </c>
      <c r="D7">
        <v>17.956159</v>
      </c>
      <c r="E7" s="1" t="s">
        <v>1428</v>
      </c>
      <c r="F7" s="1" t="s">
        <v>1427</v>
      </c>
      <c r="G7" s="1" t="s">
        <v>1422</v>
      </c>
    </row>
    <row r="8" spans="1:7" x14ac:dyDescent="0.25">
      <c r="A8" s="1" t="s">
        <v>1432</v>
      </c>
      <c r="B8" s="1" t="s">
        <v>35</v>
      </c>
      <c r="C8">
        <v>-12.824638999999999</v>
      </c>
      <c r="D8">
        <v>24.407249</v>
      </c>
      <c r="E8" s="1" t="s">
        <v>1423</v>
      </c>
      <c r="F8" s="1" t="s">
        <v>1427</v>
      </c>
      <c r="G8" s="1" t="s">
        <v>1422</v>
      </c>
    </row>
    <row r="9" spans="1:7" x14ac:dyDescent="0.25">
      <c r="A9" s="1" t="s">
        <v>829</v>
      </c>
      <c r="B9" s="1" t="s">
        <v>61</v>
      </c>
      <c r="C9">
        <v>-5.4126279999999998</v>
      </c>
      <c r="D9">
        <v>25.498235999999999</v>
      </c>
      <c r="E9" s="1" t="s">
        <v>1423</v>
      </c>
      <c r="F9" s="1" t="s">
        <v>1429</v>
      </c>
      <c r="G9" s="1" t="s">
        <v>1422</v>
      </c>
    </row>
    <row r="10" spans="1:7" x14ac:dyDescent="0.25">
      <c r="A10" s="1" t="s">
        <v>1433</v>
      </c>
      <c r="B10" s="1" t="s">
        <v>12</v>
      </c>
      <c r="C10">
        <v>3.0788669999999998</v>
      </c>
      <c r="D10">
        <v>19.513650999999999</v>
      </c>
      <c r="E10" s="1" t="s">
        <v>1423</v>
      </c>
      <c r="F10" s="1" t="s">
        <v>1427</v>
      </c>
      <c r="G10" s="1" t="s">
        <v>1422</v>
      </c>
    </row>
    <row r="11" spans="1:7" x14ac:dyDescent="0.25">
      <c r="A11" s="1" t="s">
        <v>740</v>
      </c>
      <c r="B11" s="1" t="s">
        <v>31</v>
      </c>
      <c r="C11">
        <v>-1.648264</v>
      </c>
      <c r="D11">
        <v>28.866143999999998</v>
      </c>
      <c r="E11" s="1" t="s">
        <v>1423</v>
      </c>
      <c r="F11" s="1" t="s">
        <v>1424</v>
      </c>
      <c r="G11" s="1" t="s">
        <v>1422</v>
      </c>
    </row>
    <row r="12" spans="1:7" x14ac:dyDescent="0.25">
      <c r="A12" s="1" t="s">
        <v>1434</v>
      </c>
      <c r="B12" s="1" t="s">
        <v>122</v>
      </c>
      <c r="C12">
        <v>-3.3883130000000001</v>
      </c>
      <c r="D12">
        <v>26.838507</v>
      </c>
      <c r="E12" s="1" t="s">
        <v>1423</v>
      </c>
      <c r="F12" s="1" t="s">
        <v>1435</v>
      </c>
      <c r="G12" s="1" t="s">
        <v>1422</v>
      </c>
    </row>
    <row r="13" spans="1:7" x14ac:dyDescent="0.25">
      <c r="A13" s="1" t="s">
        <v>854</v>
      </c>
      <c r="B13" s="1" t="s">
        <v>48</v>
      </c>
      <c r="C13">
        <v>-4.2408359999999998</v>
      </c>
      <c r="D13">
        <v>26.210014000000001</v>
      </c>
      <c r="E13" s="1" t="s">
        <v>1426</v>
      </c>
      <c r="F13" s="1" t="s">
        <v>1427</v>
      </c>
      <c r="G13" s="1" t="s">
        <v>1422</v>
      </c>
    </row>
    <row r="14" spans="1:7" x14ac:dyDescent="0.25">
      <c r="A14" s="1" t="s">
        <v>1022</v>
      </c>
      <c r="B14" s="1" t="s">
        <v>72</v>
      </c>
      <c r="C14">
        <v>-8.4824669999999998</v>
      </c>
      <c r="D14">
        <v>21.897777999999999</v>
      </c>
      <c r="E14" s="1" t="s">
        <v>1423</v>
      </c>
      <c r="F14" s="1" t="s">
        <v>1424</v>
      </c>
      <c r="G14" s="1" t="s">
        <v>1422</v>
      </c>
    </row>
    <row r="15" spans="1:7" x14ac:dyDescent="0.25">
      <c r="A15" s="1" t="s">
        <v>1206</v>
      </c>
      <c r="B15" s="1" t="s">
        <v>20</v>
      </c>
      <c r="C15">
        <v>2.453036</v>
      </c>
      <c r="D15">
        <v>20.555484</v>
      </c>
      <c r="E15" s="1" t="s">
        <v>1423</v>
      </c>
      <c r="F15" s="1" t="s">
        <v>1424</v>
      </c>
      <c r="G15" s="1" t="s">
        <v>1422</v>
      </c>
    </row>
    <row r="16" spans="1:7" x14ac:dyDescent="0.25">
      <c r="A16" s="1" t="s">
        <v>806</v>
      </c>
      <c r="B16" s="1" t="s">
        <v>29</v>
      </c>
      <c r="C16">
        <v>-12.141233</v>
      </c>
      <c r="D16">
        <v>15.179043999999999</v>
      </c>
      <c r="E16" s="1" t="s">
        <v>1423</v>
      </c>
      <c r="F16" s="1" t="s">
        <v>1424</v>
      </c>
      <c r="G16" s="1" t="s">
        <v>1422</v>
      </c>
    </row>
    <row r="17" spans="1:7" x14ac:dyDescent="0.25">
      <c r="A17" s="1" t="s">
        <v>833</v>
      </c>
      <c r="B17" s="1" t="s">
        <v>62</v>
      </c>
      <c r="C17">
        <v>-11.218453999999999</v>
      </c>
      <c r="D17">
        <v>28.230025000000001</v>
      </c>
      <c r="E17" s="1" t="s">
        <v>1423</v>
      </c>
      <c r="F17" s="1" t="s">
        <v>1429</v>
      </c>
      <c r="G17" s="1" t="s">
        <v>1422</v>
      </c>
    </row>
    <row r="18" spans="1:7" x14ac:dyDescent="0.25">
      <c r="A18" s="1" t="s">
        <v>767</v>
      </c>
      <c r="B18" s="1" t="s">
        <v>27</v>
      </c>
      <c r="C18">
        <v>-10.059846</v>
      </c>
      <c r="D18">
        <v>14.375757999999999</v>
      </c>
      <c r="E18" s="1" t="s">
        <v>1426</v>
      </c>
      <c r="F18" s="1" t="s">
        <v>1427</v>
      </c>
      <c r="G18" s="1" t="s">
        <v>1422</v>
      </c>
    </row>
    <row r="19" spans="1:7" x14ac:dyDescent="0.25">
      <c r="A19" s="1" t="s">
        <v>1080</v>
      </c>
      <c r="B19" s="1" t="s">
        <v>57</v>
      </c>
      <c r="C19">
        <v>-9.1215879999999991</v>
      </c>
      <c r="D19">
        <v>16.457916999999998</v>
      </c>
      <c r="E19" s="1" t="s">
        <v>1426</v>
      </c>
      <c r="F19" s="1" t="s">
        <v>1435</v>
      </c>
      <c r="G19" s="1" t="s">
        <v>1422</v>
      </c>
    </row>
    <row r="20" spans="1:7" x14ac:dyDescent="0.25">
      <c r="A20" s="1" t="s">
        <v>745</v>
      </c>
      <c r="B20" s="1" t="s">
        <v>62</v>
      </c>
      <c r="C20">
        <v>-8.4227860000000003</v>
      </c>
      <c r="D20">
        <v>16.781293000000002</v>
      </c>
      <c r="E20" s="1" t="s">
        <v>1426</v>
      </c>
      <c r="F20" s="1" t="s">
        <v>1427</v>
      </c>
      <c r="G20" s="1" t="s">
        <v>1422</v>
      </c>
    </row>
    <row r="21" spans="1:7" x14ac:dyDescent="0.25">
      <c r="A21" s="1" t="s">
        <v>1436</v>
      </c>
      <c r="B21" s="1" t="s">
        <v>54</v>
      </c>
      <c r="C21">
        <v>2.1014910000000002</v>
      </c>
      <c r="D21">
        <v>26.133631999999999</v>
      </c>
      <c r="E21" s="1" t="s">
        <v>1423</v>
      </c>
      <c r="F21" s="1" t="s">
        <v>1427</v>
      </c>
      <c r="G21" s="1" t="s">
        <v>1422</v>
      </c>
    </row>
    <row r="22" spans="1:7" x14ac:dyDescent="0.25">
      <c r="A22" s="1" t="s">
        <v>1078</v>
      </c>
      <c r="B22" s="1" t="s">
        <v>62</v>
      </c>
      <c r="C22">
        <v>-11.266565999999999</v>
      </c>
      <c r="D22">
        <v>26.245055000000001</v>
      </c>
      <c r="E22" s="1" t="s">
        <v>1428</v>
      </c>
      <c r="F22" s="1" t="s">
        <v>1424</v>
      </c>
      <c r="G22" s="1" t="s">
        <v>1422</v>
      </c>
    </row>
    <row r="23" spans="1:7" x14ac:dyDescent="0.25">
      <c r="A23" s="1" t="s">
        <v>1172</v>
      </c>
      <c r="B23" s="1" t="s">
        <v>24</v>
      </c>
      <c r="C23">
        <v>0.40267799999999998</v>
      </c>
      <c r="D23">
        <v>16.000858000000001</v>
      </c>
      <c r="E23" s="1" t="s">
        <v>1428</v>
      </c>
      <c r="F23" s="1" t="s">
        <v>1435</v>
      </c>
      <c r="G23" s="1" t="s">
        <v>1422</v>
      </c>
    </row>
    <row r="24" spans="1:7" x14ac:dyDescent="0.25">
      <c r="A24" s="1" t="s">
        <v>893</v>
      </c>
      <c r="B24" s="1" t="s">
        <v>29</v>
      </c>
      <c r="C24">
        <v>-8.3241560000000003</v>
      </c>
      <c r="D24">
        <v>19.543866000000001</v>
      </c>
      <c r="E24" s="1" t="s">
        <v>1426</v>
      </c>
      <c r="F24" s="1" t="s">
        <v>1429</v>
      </c>
      <c r="G24" s="1" t="s">
        <v>1422</v>
      </c>
    </row>
    <row r="25" spans="1:7" x14ac:dyDescent="0.25">
      <c r="A25" s="1" t="s">
        <v>1437</v>
      </c>
      <c r="B25" s="1" t="s">
        <v>72</v>
      </c>
      <c r="C25">
        <v>-6.5144820000000001</v>
      </c>
      <c r="D25">
        <v>13.815521</v>
      </c>
      <c r="E25" s="1" t="s">
        <v>1426</v>
      </c>
      <c r="F25" s="1" t="s">
        <v>1429</v>
      </c>
      <c r="G25" s="1" t="s">
        <v>1422</v>
      </c>
    </row>
    <row r="26" spans="1:7" x14ac:dyDescent="0.25">
      <c r="A26" s="1" t="s">
        <v>1438</v>
      </c>
      <c r="B26" s="1" t="s">
        <v>24</v>
      </c>
      <c r="C26">
        <v>-6.8054750000000004</v>
      </c>
      <c r="D26">
        <v>13.022683000000001</v>
      </c>
      <c r="E26" s="1" t="s">
        <v>1426</v>
      </c>
      <c r="F26" s="1" t="s">
        <v>1427</v>
      </c>
      <c r="G26" s="1" t="s">
        <v>1422</v>
      </c>
    </row>
    <row r="27" spans="1:7" x14ac:dyDescent="0.25">
      <c r="A27" s="1" t="s">
        <v>837</v>
      </c>
      <c r="B27" s="1" t="s">
        <v>31</v>
      </c>
      <c r="C27">
        <v>-6.6803710000000001</v>
      </c>
      <c r="D27">
        <v>21.955673000000001</v>
      </c>
      <c r="E27" s="1" t="s">
        <v>1426</v>
      </c>
      <c r="F27" s="1" t="s">
        <v>1435</v>
      </c>
      <c r="G27" s="1" t="s">
        <v>1422</v>
      </c>
    </row>
    <row r="28" spans="1:7" x14ac:dyDescent="0.25">
      <c r="A28" s="1" t="s">
        <v>1439</v>
      </c>
      <c r="B28" s="1" t="s">
        <v>9</v>
      </c>
      <c r="C28">
        <v>-0.767455</v>
      </c>
      <c r="D28">
        <v>30.924261000000001</v>
      </c>
      <c r="E28" s="1" t="s">
        <v>1428</v>
      </c>
      <c r="F28" s="1" t="s">
        <v>1427</v>
      </c>
      <c r="G28" s="1" t="s">
        <v>1422</v>
      </c>
    </row>
    <row r="29" spans="1:7" x14ac:dyDescent="0.25">
      <c r="A29" s="1" t="s">
        <v>1440</v>
      </c>
      <c r="B29" s="1" t="s">
        <v>126</v>
      </c>
      <c r="C29">
        <v>-2.6166320000000001</v>
      </c>
      <c r="D29">
        <v>23.743941</v>
      </c>
      <c r="E29" s="1" t="s">
        <v>1423</v>
      </c>
      <c r="F29" s="1" t="s">
        <v>1435</v>
      </c>
      <c r="G29" s="1" t="s">
        <v>1422</v>
      </c>
    </row>
    <row r="30" spans="1:7" x14ac:dyDescent="0.25">
      <c r="A30" s="1" t="s">
        <v>1230</v>
      </c>
      <c r="B30" s="1" t="s">
        <v>20</v>
      </c>
      <c r="C30">
        <v>-1.3024210000000001</v>
      </c>
      <c r="D30">
        <v>13.601914000000001</v>
      </c>
      <c r="E30" s="1" t="s">
        <v>1428</v>
      </c>
      <c r="F30" s="1" t="s">
        <v>1427</v>
      </c>
      <c r="G30" s="1" t="s">
        <v>1422</v>
      </c>
    </row>
    <row r="31" spans="1:7" x14ac:dyDescent="0.25">
      <c r="A31" s="1" t="s">
        <v>1441</v>
      </c>
      <c r="B31" s="1" t="s">
        <v>20</v>
      </c>
      <c r="C31">
        <v>-3.3081109999999998</v>
      </c>
      <c r="D31">
        <v>29.700202000000001</v>
      </c>
      <c r="E31" s="1" t="s">
        <v>1426</v>
      </c>
      <c r="F31" s="1" t="s">
        <v>1435</v>
      </c>
      <c r="G31" s="1" t="s">
        <v>1422</v>
      </c>
    </row>
    <row r="32" spans="1:7" x14ac:dyDescent="0.25">
      <c r="A32" s="1" t="s">
        <v>758</v>
      </c>
      <c r="B32" s="1" t="s">
        <v>122</v>
      </c>
      <c r="C32">
        <v>4.6287159999999998</v>
      </c>
      <c r="D32">
        <v>19.407077999999998</v>
      </c>
      <c r="E32" s="1" t="s">
        <v>1426</v>
      </c>
      <c r="F32" s="1" t="s">
        <v>1424</v>
      </c>
      <c r="G32" s="1" t="s">
        <v>1422</v>
      </c>
    </row>
    <row r="33" spans="1:7" x14ac:dyDescent="0.25">
      <c r="A33" s="1" t="s">
        <v>1122</v>
      </c>
      <c r="B33" s="1" t="s">
        <v>62</v>
      </c>
      <c r="C33">
        <v>-7.8770429999999996</v>
      </c>
      <c r="D33">
        <v>16.357762999999998</v>
      </c>
      <c r="E33" s="1" t="s">
        <v>1426</v>
      </c>
      <c r="F33" s="1" t="s">
        <v>1424</v>
      </c>
      <c r="G33" s="1" t="s">
        <v>1422</v>
      </c>
    </row>
    <row r="34" spans="1:7" x14ac:dyDescent="0.25">
      <c r="A34" s="1" t="s">
        <v>1139</v>
      </c>
      <c r="B34" s="1" t="s">
        <v>118</v>
      </c>
      <c r="C34">
        <v>-7.1483749999999997</v>
      </c>
      <c r="D34">
        <v>26.014271000000001</v>
      </c>
      <c r="E34" s="1" t="s">
        <v>1423</v>
      </c>
      <c r="F34" s="1" t="s">
        <v>1427</v>
      </c>
      <c r="G34" s="1" t="s">
        <v>1422</v>
      </c>
    </row>
    <row r="35" spans="1:7" x14ac:dyDescent="0.25">
      <c r="A35" s="1" t="s">
        <v>1229</v>
      </c>
      <c r="B35" s="1" t="s">
        <v>27</v>
      </c>
      <c r="C35">
        <v>-3.8119990000000001</v>
      </c>
      <c r="D35">
        <v>20.420048000000001</v>
      </c>
      <c r="E35" s="1" t="s">
        <v>1428</v>
      </c>
      <c r="F35" s="1" t="s">
        <v>1429</v>
      </c>
      <c r="G35" s="1" t="s">
        <v>1422</v>
      </c>
    </row>
    <row r="36" spans="1:7" x14ac:dyDescent="0.25">
      <c r="A36" s="1" t="s">
        <v>811</v>
      </c>
      <c r="B36" s="1" t="s">
        <v>83</v>
      </c>
      <c r="C36">
        <v>0.94539899999999999</v>
      </c>
      <c r="D36">
        <v>14.401821999999999</v>
      </c>
      <c r="E36" s="1" t="s">
        <v>1423</v>
      </c>
      <c r="F36" s="1" t="s">
        <v>1435</v>
      </c>
      <c r="G36" s="1" t="s">
        <v>1422</v>
      </c>
    </row>
    <row r="37" spans="1:7" x14ac:dyDescent="0.25">
      <c r="A37" s="1" t="s">
        <v>968</v>
      </c>
      <c r="B37" s="1" t="s">
        <v>41</v>
      </c>
      <c r="C37">
        <v>-4.9552579999999997</v>
      </c>
      <c r="D37">
        <v>22.008103999999999</v>
      </c>
      <c r="E37" s="1" t="s">
        <v>1426</v>
      </c>
      <c r="F37" s="1" t="s">
        <v>1427</v>
      </c>
      <c r="G37" s="1" t="s">
        <v>1422</v>
      </c>
    </row>
    <row r="38" spans="1:7" x14ac:dyDescent="0.25">
      <c r="A38" s="1" t="s">
        <v>1249</v>
      </c>
      <c r="B38" s="1" t="s">
        <v>83</v>
      </c>
      <c r="C38">
        <v>-11.588665000000001</v>
      </c>
      <c r="D38">
        <v>15.241552</v>
      </c>
      <c r="E38" s="1" t="s">
        <v>1426</v>
      </c>
      <c r="F38" s="1" t="s">
        <v>1435</v>
      </c>
      <c r="G38" s="1" t="s">
        <v>1422</v>
      </c>
    </row>
    <row r="39" spans="1:7" x14ac:dyDescent="0.25">
      <c r="A39" s="1" t="s">
        <v>1146</v>
      </c>
      <c r="B39" s="1" t="s">
        <v>12</v>
      </c>
      <c r="C39">
        <v>-1.9540519999999999</v>
      </c>
      <c r="D39">
        <v>12.667945</v>
      </c>
      <c r="E39" s="1" t="s">
        <v>1426</v>
      </c>
      <c r="F39" s="1" t="s">
        <v>1427</v>
      </c>
      <c r="G39" s="1" t="s">
        <v>1422</v>
      </c>
    </row>
    <row r="40" spans="1:7" x14ac:dyDescent="0.25">
      <c r="A40" s="1" t="s">
        <v>1442</v>
      </c>
      <c r="B40" s="1" t="s">
        <v>54</v>
      </c>
      <c r="C40">
        <v>-4.652463</v>
      </c>
      <c r="D40">
        <v>18.779983999999999</v>
      </c>
      <c r="E40" s="1" t="s">
        <v>1428</v>
      </c>
      <c r="F40" s="1" t="s">
        <v>1435</v>
      </c>
      <c r="G40" s="1" t="s">
        <v>1422</v>
      </c>
    </row>
    <row r="41" spans="1:7" x14ac:dyDescent="0.25">
      <c r="A41" s="1" t="s">
        <v>1014</v>
      </c>
      <c r="B41" s="1" t="s">
        <v>17</v>
      </c>
      <c r="C41">
        <v>2.628638</v>
      </c>
      <c r="D41">
        <v>28.420582</v>
      </c>
      <c r="E41" s="1" t="s">
        <v>1426</v>
      </c>
      <c r="F41" s="1" t="s">
        <v>1427</v>
      </c>
      <c r="G41" s="1" t="s">
        <v>1422</v>
      </c>
    </row>
    <row r="42" spans="1:7" x14ac:dyDescent="0.25">
      <c r="A42" s="1" t="s">
        <v>1443</v>
      </c>
      <c r="B42" s="1" t="s">
        <v>62</v>
      </c>
      <c r="C42">
        <v>-1.4695480000000001</v>
      </c>
      <c r="D42">
        <v>20.876676</v>
      </c>
      <c r="E42" s="1" t="s">
        <v>1423</v>
      </c>
      <c r="F42" s="1" t="s">
        <v>1424</v>
      </c>
      <c r="G42" s="1" t="s">
        <v>1422</v>
      </c>
    </row>
    <row r="43" spans="1:7" x14ac:dyDescent="0.25">
      <c r="A43" s="1" t="s">
        <v>1090</v>
      </c>
      <c r="B43" s="1" t="s">
        <v>54</v>
      </c>
      <c r="C43">
        <v>-5.4073029999999997</v>
      </c>
      <c r="D43">
        <v>29.762294000000001</v>
      </c>
      <c r="E43" s="1" t="s">
        <v>1428</v>
      </c>
      <c r="F43" s="1" t="s">
        <v>1424</v>
      </c>
      <c r="G43" s="1" t="s">
        <v>1422</v>
      </c>
    </row>
    <row r="44" spans="1:7" x14ac:dyDescent="0.25">
      <c r="A44" s="1" t="s">
        <v>1445</v>
      </c>
      <c r="B44" s="1" t="s">
        <v>20</v>
      </c>
      <c r="C44">
        <v>-3.6233270000000002</v>
      </c>
      <c r="D44">
        <v>25.915645999999999</v>
      </c>
      <c r="E44" s="1" t="s">
        <v>1428</v>
      </c>
      <c r="F44" s="1" t="s">
        <v>1427</v>
      </c>
      <c r="G44" s="1" t="s">
        <v>1444</v>
      </c>
    </row>
    <row r="45" spans="1:7" x14ac:dyDescent="0.25">
      <c r="A45" s="1" t="s">
        <v>1446</v>
      </c>
      <c r="B45" s="1" t="s">
        <v>118</v>
      </c>
      <c r="C45">
        <v>-8.4403710000000007</v>
      </c>
      <c r="D45">
        <v>17.231165000000001</v>
      </c>
      <c r="E45" s="1" t="s">
        <v>1426</v>
      </c>
      <c r="F45" s="1" t="s">
        <v>1427</v>
      </c>
      <c r="G45" s="1" t="s">
        <v>1444</v>
      </c>
    </row>
    <row r="46" spans="1:7" x14ac:dyDescent="0.25">
      <c r="A46" s="1" t="s">
        <v>1023</v>
      </c>
      <c r="B46" s="1" t="s">
        <v>23</v>
      </c>
      <c r="C46">
        <v>-9.4229749999999992</v>
      </c>
      <c r="D46">
        <v>29.375005999999999</v>
      </c>
      <c r="E46" s="1" t="s">
        <v>1428</v>
      </c>
      <c r="F46" s="1" t="s">
        <v>1424</v>
      </c>
      <c r="G46" s="1" t="s">
        <v>1444</v>
      </c>
    </row>
    <row r="47" spans="1:7" x14ac:dyDescent="0.25">
      <c r="A47" s="1" t="s">
        <v>956</v>
      </c>
      <c r="B47" s="1" t="s">
        <v>59</v>
      </c>
      <c r="C47">
        <v>2.975352</v>
      </c>
      <c r="D47">
        <v>22.535886000000001</v>
      </c>
      <c r="E47" s="1" t="s">
        <v>1426</v>
      </c>
      <c r="F47" s="1" t="s">
        <v>1427</v>
      </c>
      <c r="G47" s="1" t="s">
        <v>1444</v>
      </c>
    </row>
    <row r="48" spans="1:7" x14ac:dyDescent="0.25">
      <c r="A48" s="1" t="s">
        <v>1184</v>
      </c>
      <c r="B48" s="1" t="s">
        <v>72</v>
      </c>
      <c r="C48">
        <v>2.5458379999999998</v>
      </c>
      <c r="D48">
        <v>13.308655</v>
      </c>
      <c r="E48" s="1" t="s">
        <v>1423</v>
      </c>
      <c r="F48" s="1" t="s">
        <v>1429</v>
      </c>
      <c r="G48" s="1" t="s">
        <v>1444</v>
      </c>
    </row>
    <row r="49" spans="1:7" x14ac:dyDescent="0.25">
      <c r="A49" s="1" t="s">
        <v>1072</v>
      </c>
      <c r="B49" s="1" t="s">
        <v>37</v>
      </c>
      <c r="C49">
        <v>-9.0798120000000004</v>
      </c>
      <c r="D49">
        <v>14.945484</v>
      </c>
      <c r="E49" s="1" t="s">
        <v>1423</v>
      </c>
      <c r="F49" s="1" t="s">
        <v>1424</v>
      </c>
      <c r="G49" s="1" t="s">
        <v>1444</v>
      </c>
    </row>
    <row r="50" spans="1:7" x14ac:dyDescent="0.25">
      <c r="A50" s="1" t="s">
        <v>1038</v>
      </c>
      <c r="B50" s="1" t="s">
        <v>126</v>
      </c>
      <c r="C50">
        <v>-10.967288</v>
      </c>
      <c r="D50">
        <v>17.617781000000001</v>
      </c>
      <c r="E50" s="1" t="s">
        <v>1426</v>
      </c>
      <c r="F50" s="1" t="s">
        <v>1424</v>
      </c>
      <c r="G50" s="1" t="s">
        <v>1444</v>
      </c>
    </row>
    <row r="51" spans="1:7" x14ac:dyDescent="0.25">
      <c r="A51" s="1" t="s">
        <v>868</v>
      </c>
      <c r="B51" s="1" t="s">
        <v>41</v>
      </c>
      <c r="C51">
        <v>-1.607639</v>
      </c>
      <c r="D51">
        <v>17.003636</v>
      </c>
      <c r="E51" s="1" t="s">
        <v>1426</v>
      </c>
      <c r="F51" s="1" t="s">
        <v>1424</v>
      </c>
      <c r="G51" s="1" t="s">
        <v>1444</v>
      </c>
    </row>
    <row r="52" spans="1:7" x14ac:dyDescent="0.25">
      <c r="A52" s="1" t="s">
        <v>1285</v>
      </c>
      <c r="B52" s="1" t="s">
        <v>59</v>
      </c>
      <c r="C52">
        <v>-7.1587569999999996</v>
      </c>
      <c r="D52">
        <v>18.975141000000001</v>
      </c>
      <c r="E52" s="1" t="s">
        <v>1423</v>
      </c>
      <c r="F52" s="1" t="s">
        <v>1424</v>
      </c>
      <c r="G52" s="1" t="s">
        <v>1444</v>
      </c>
    </row>
    <row r="53" spans="1:7" x14ac:dyDescent="0.25">
      <c r="A53" s="1" t="s">
        <v>855</v>
      </c>
      <c r="B53" s="1" t="s">
        <v>62</v>
      </c>
      <c r="C53">
        <v>-9.9875139999999991</v>
      </c>
      <c r="D53">
        <v>12.013676999999999</v>
      </c>
      <c r="E53" s="1" t="s">
        <v>1428</v>
      </c>
      <c r="F53" s="1" t="s">
        <v>1429</v>
      </c>
      <c r="G53" s="1" t="s">
        <v>1444</v>
      </c>
    </row>
    <row r="54" spans="1:7" x14ac:dyDescent="0.25">
      <c r="A54" s="1" t="s">
        <v>1192</v>
      </c>
      <c r="B54" s="1" t="s">
        <v>126</v>
      </c>
      <c r="C54">
        <v>-8.0301989999999996</v>
      </c>
      <c r="D54">
        <v>24.122495000000001</v>
      </c>
      <c r="E54" s="1" t="s">
        <v>1423</v>
      </c>
      <c r="F54" s="1" t="s">
        <v>1429</v>
      </c>
      <c r="G54" s="1" t="s">
        <v>1444</v>
      </c>
    </row>
    <row r="55" spans="1:7" x14ac:dyDescent="0.25">
      <c r="A55" s="1" t="s">
        <v>977</v>
      </c>
      <c r="B55" s="1" t="s">
        <v>122</v>
      </c>
      <c r="C55">
        <v>-10.846306999999999</v>
      </c>
      <c r="D55">
        <v>19.201827999999999</v>
      </c>
      <c r="E55" s="1" t="s">
        <v>1426</v>
      </c>
      <c r="F55" s="1" t="s">
        <v>1424</v>
      </c>
      <c r="G55" s="1" t="s">
        <v>1444</v>
      </c>
    </row>
    <row r="56" spans="1:7" x14ac:dyDescent="0.25">
      <c r="A56" s="1" t="s">
        <v>1447</v>
      </c>
      <c r="B56" s="1" t="s">
        <v>37</v>
      </c>
      <c r="C56">
        <v>1.204588</v>
      </c>
      <c r="D56">
        <v>15.525152</v>
      </c>
      <c r="E56" s="1" t="s">
        <v>1423</v>
      </c>
      <c r="F56" s="1" t="s">
        <v>1427</v>
      </c>
      <c r="G56" s="1" t="s">
        <v>1444</v>
      </c>
    </row>
    <row r="57" spans="1:7" x14ac:dyDescent="0.25">
      <c r="A57" s="1" t="s">
        <v>1190</v>
      </c>
      <c r="B57" s="1" t="s">
        <v>57</v>
      </c>
      <c r="C57">
        <v>-12.839263000000001</v>
      </c>
      <c r="D57">
        <v>12.355677</v>
      </c>
      <c r="E57" s="1" t="s">
        <v>1428</v>
      </c>
      <c r="F57" s="1" t="s">
        <v>1427</v>
      </c>
      <c r="G57" s="1" t="s">
        <v>1444</v>
      </c>
    </row>
    <row r="58" spans="1:7" x14ac:dyDescent="0.25">
      <c r="A58" s="1" t="s">
        <v>1448</v>
      </c>
      <c r="B58" s="1" t="s">
        <v>24</v>
      </c>
      <c r="C58">
        <v>-12.244119</v>
      </c>
      <c r="D58">
        <v>28.279755999999999</v>
      </c>
      <c r="E58" s="1" t="s">
        <v>1423</v>
      </c>
      <c r="F58" s="1" t="s">
        <v>1429</v>
      </c>
      <c r="G58" s="1" t="s">
        <v>1444</v>
      </c>
    </row>
    <row r="59" spans="1:7" x14ac:dyDescent="0.25">
      <c r="A59" s="1" t="s">
        <v>1449</v>
      </c>
      <c r="B59" s="1" t="s">
        <v>27</v>
      </c>
      <c r="C59">
        <v>1.102554</v>
      </c>
      <c r="D59">
        <v>26.744315</v>
      </c>
      <c r="E59" s="1" t="s">
        <v>1428</v>
      </c>
      <c r="F59" s="1" t="s">
        <v>1424</v>
      </c>
      <c r="G59" s="1" t="s">
        <v>1444</v>
      </c>
    </row>
    <row r="60" spans="1:7" x14ac:dyDescent="0.25">
      <c r="A60" s="1" t="s">
        <v>909</v>
      </c>
      <c r="B60" s="1" t="s">
        <v>31</v>
      </c>
      <c r="C60">
        <v>-4.4451280000000004</v>
      </c>
      <c r="D60">
        <v>16.536944999999999</v>
      </c>
      <c r="E60" s="1" t="s">
        <v>1426</v>
      </c>
      <c r="F60" s="1" t="s">
        <v>1424</v>
      </c>
      <c r="G60" s="1" t="s">
        <v>1444</v>
      </c>
    </row>
    <row r="61" spans="1:7" x14ac:dyDescent="0.25">
      <c r="A61" s="1" t="s">
        <v>905</v>
      </c>
      <c r="B61" s="1" t="s">
        <v>62</v>
      </c>
      <c r="C61">
        <v>-2.2681789999999999</v>
      </c>
      <c r="D61">
        <v>25.699068</v>
      </c>
      <c r="E61" s="1" t="s">
        <v>1428</v>
      </c>
      <c r="F61" s="1" t="s">
        <v>1429</v>
      </c>
      <c r="G61" s="1" t="s">
        <v>1444</v>
      </c>
    </row>
    <row r="62" spans="1:7" x14ac:dyDescent="0.25">
      <c r="A62" s="1" t="s">
        <v>839</v>
      </c>
      <c r="B62" s="1" t="s">
        <v>122</v>
      </c>
      <c r="C62">
        <v>-6.3148239999999998</v>
      </c>
      <c r="D62">
        <v>24.507498999999999</v>
      </c>
      <c r="E62" s="1" t="s">
        <v>1428</v>
      </c>
      <c r="F62" s="1" t="s">
        <v>1429</v>
      </c>
      <c r="G62" s="1" t="s">
        <v>1444</v>
      </c>
    </row>
    <row r="63" spans="1:7" x14ac:dyDescent="0.25">
      <c r="A63" s="1" t="s">
        <v>1076</v>
      </c>
      <c r="B63" s="1" t="s">
        <v>61</v>
      </c>
      <c r="C63">
        <v>-11.389362</v>
      </c>
      <c r="D63">
        <v>22.240174</v>
      </c>
      <c r="E63" s="1" t="s">
        <v>1423</v>
      </c>
      <c r="F63" s="1" t="s">
        <v>1429</v>
      </c>
      <c r="G63" s="1" t="s">
        <v>1444</v>
      </c>
    </row>
    <row r="64" spans="1:7" x14ac:dyDescent="0.25">
      <c r="A64" s="1" t="s">
        <v>1176</v>
      </c>
      <c r="B64" s="1" t="s">
        <v>48</v>
      </c>
      <c r="C64">
        <v>-10.161428000000001</v>
      </c>
      <c r="D64">
        <v>19.362325999999999</v>
      </c>
      <c r="E64" s="1" t="s">
        <v>1428</v>
      </c>
      <c r="F64" s="1" t="s">
        <v>1435</v>
      </c>
      <c r="G64" s="1" t="s">
        <v>1444</v>
      </c>
    </row>
    <row r="65" spans="1:7" x14ac:dyDescent="0.25">
      <c r="A65" s="1" t="s">
        <v>1223</v>
      </c>
      <c r="B65" s="1" t="s">
        <v>126</v>
      </c>
      <c r="C65">
        <v>-11.354772000000001</v>
      </c>
      <c r="D65">
        <v>21.957325999999998</v>
      </c>
      <c r="E65" s="1" t="s">
        <v>1428</v>
      </c>
      <c r="F65" s="1" t="s">
        <v>1435</v>
      </c>
      <c r="G65" s="1" t="s">
        <v>1444</v>
      </c>
    </row>
    <row r="66" spans="1:7" x14ac:dyDescent="0.25">
      <c r="A66" s="1" t="s">
        <v>785</v>
      </c>
      <c r="B66" s="1" t="s">
        <v>35</v>
      </c>
      <c r="C66">
        <v>-1.864393</v>
      </c>
      <c r="D66">
        <v>21.453434000000001</v>
      </c>
      <c r="E66" s="1" t="s">
        <v>1423</v>
      </c>
      <c r="F66" s="1" t="s">
        <v>1424</v>
      </c>
      <c r="G66" s="1" t="s">
        <v>1444</v>
      </c>
    </row>
    <row r="67" spans="1:7" x14ac:dyDescent="0.25">
      <c r="A67" s="1" t="s">
        <v>1450</v>
      </c>
      <c r="B67" s="1" t="s">
        <v>54</v>
      </c>
      <c r="C67">
        <v>3.7552780000000001</v>
      </c>
      <c r="D67">
        <v>22.477888</v>
      </c>
      <c r="E67" s="1" t="s">
        <v>1428</v>
      </c>
      <c r="F67" s="1" t="s">
        <v>1435</v>
      </c>
      <c r="G67" s="1" t="s">
        <v>1444</v>
      </c>
    </row>
    <row r="68" spans="1:7" x14ac:dyDescent="0.25">
      <c r="A68" s="1" t="s">
        <v>1044</v>
      </c>
      <c r="B68" s="1" t="s">
        <v>122</v>
      </c>
      <c r="C68">
        <v>4.9455159999999996</v>
      </c>
      <c r="D68">
        <v>23.647746000000001</v>
      </c>
      <c r="E68" s="1" t="s">
        <v>1423</v>
      </c>
      <c r="F68" s="1" t="s">
        <v>1427</v>
      </c>
      <c r="G68" s="1" t="s">
        <v>1444</v>
      </c>
    </row>
    <row r="69" spans="1:7" x14ac:dyDescent="0.25">
      <c r="A69" s="1" t="s">
        <v>1451</v>
      </c>
      <c r="B69" s="1" t="s">
        <v>126</v>
      </c>
      <c r="C69">
        <v>-1.7476179999999999</v>
      </c>
      <c r="D69">
        <v>18.129401000000001</v>
      </c>
      <c r="E69" s="1" t="s">
        <v>1426</v>
      </c>
      <c r="F69" s="1" t="s">
        <v>1424</v>
      </c>
      <c r="G69" s="1" t="s">
        <v>1444</v>
      </c>
    </row>
    <row r="70" spans="1:7" x14ac:dyDescent="0.25">
      <c r="A70" s="1" t="s">
        <v>1236</v>
      </c>
      <c r="B70" s="1" t="s">
        <v>118</v>
      </c>
      <c r="C70">
        <v>-11.924048000000001</v>
      </c>
      <c r="D70">
        <v>24.177174999999998</v>
      </c>
      <c r="E70" s="1" t="s">
        <v>1428</v>
      </c>
      <c r="F70" s="1" t="s">
        <v>1435</v>
      </c>
      <c r="G70" s="1" t="s">
        <v>1444</v>
      </c>
    </row>
    <row r="71" spans="1:7" x14ac:dyDescent="0.25">
      <c r="A71" s="1" t="s">
        <v>955</v>
      </c>
      <c r="B71" s="1" t="s">
        <v>54</v>
      </c>
      <c r="C71">
        <v>-1.3976519999999999</v>
      </c>
      <c r="D71">
        <v>14.098819000000001</v>
      </c>
      <c r="E71" s="1" t="s">
        <v>1428</v>
      </c>
      <c r="F71" s="1" t="s">
        <v>1424</v>
      </c>
      <c r="G71" s="1" t="s">
        <v>1444</v>
      </c>
    </row>
    <row r="72" spans="1:7" x14ac:dyDescent="0.25">
      <c r="A72" s="1" t="s">
        <v>1291</v>
      </c>
      <c r="B72" s="1" t="s">
        <v>59</v>
      </c>
      <c r="C72">
        <v>1.2463919999999999</v>
      </c>
      <c r="D72">
        <v>13.266916999999999</v>
      </c>
      <c r="E72" s="1" t="s">
        <v>1423</v>
      </c>
      <c r="F72" s="1" t="s">
        <v>1427</v>
      </c>
      <c r="G72" s="1" t="s">
        <v>1444</v>
      </c>
    </row>
    <row r="73" spans="1:7" x14ac:dyDescent="0.25">
      <c r="A73" s="1" t="s">
        <v>1386</v>
      </c>
      <c r="B73" s="1" t="s">
        <v>31</v>
      </c>
      <c r="C73">
        <v>-10.735106</v>
      </c>
      <c r="D73">
        <v>27.868673999999999</v>
      </c>
      <c r="E73" s="1" t="s">
        <v>1428</v>
      </c>
      <c r="F73" s="1" t="s">
        <v>1424</v>
      </c>
      <c r="G73" s="1" t="s">
        <v>1444</v>
      </c>
    </row>
    <row r="74" spans="1:7" x14ac:dyDescent="0.25">
      <c r="A74" s="1" t="s">
        <v>1305</v>
      </c>
      <c r="B74" s="1" t="s">
        <v>118</v>
      </c>
      <c r="C74">
        <v>-8.8118569999999998</v>
      </c>
      <c r="D74">
        <v>14.465711000000001</v>
      </c>
      <c r="E74" s="1" t="s">
        <v>1423</v>
      </c>
      <c r="F74" s="1" t="s">
        <v>1435</v>
      </c>
      <c r="G74" s="1" t="s">
        <v>1444</v>
      </c>
    </row>
    <row r="75" spans="1:7" x14ac:dyDescent="0.25">
      <c r="A75" s="1" t="s">
        <v>1452</v>
      </c>
      <c r="B75" s="1" t="s">
        <v>17</v>
      </c>
      <c r="C75">
        <v>4.6701629999999996</v>
      </c>
      <c r="D75">
        <v>28.596363</v>
      </c>
      <c r="E75" s="1" t="s">
        <v>1423</v>
      </c>
      <c r="F75" s="1" t="s">
        <v>1424</v>
      </c>
      <c r="G75" s="1" t="s">
        <v>1444</v>
      </c>
    </row>
    <row r="76" spans="1:7" x14ac:dyDescent="0.25">
      <c r="A76" s="1" t="s">
        <v>1453</v>
      </c>
      <c r="B76" s="1" t="s">
        <v>126</v>
      </c>
      <c r="C76">
        <v>1.194113</v>
      </c>
      <c r="D76">
        <v>15.839502</v>
      </c>
      <c r="E76" s="1" t="s">
        <v>1428</v>
      </c>
      <c r="F76" s="1" t="s">
        <v>1427</v>
      </c>
      <c r="G76" s="1" t="s">
        <v>1444</v>
      </c>
    </row>
    <row r="77" spans="1:7" x14ac:dyDescent="0.25">
      <c r="A77" s="1" t="s">
        <v>1135</v>
      </c>
      <c r="B77" s="1" t="s">
        <v>48</v>
      </c>
      <c r="C77">
        <v>0.62055499999999997</v>
      </c>
      <c r="D77">
        <v>21.222035000000002</v>
      </c>
      <c r="E77" s="1" t="s">
        <v>1423</v>
      </c>
      <c r="F77" s="1" t="s">
        <v>1435</v>
      </c>
      <c r="G77" s="1" t="s">
        <v>1444</v>
      </c>
    </row>
    <row r="78" spans="1:7" x14ac:dyDescent="0.25">
      <c r="A78" s="1" t="s">
        <v>1454</v>
      </c>
      <c r="B78" s="1" t="s">
        <v>68</v>
      </c>
      <c r="C78">
        <v>1.499457</v>
      </c>
      <c r="D78">
        <v>13.876317999999999</v>
      </c>
      <c r="E78" s="1" t="s">
        <v>1423</v>
      </c>
      <c r="F78" s="1" t="s">
        <v>1435</v>
      </c>
      <c r="G78" s="1" t="s">
        <v>1444</v>
      </c>
    </row>
    <row r="79" spans="1:7" x14ac:dyDescent="0.25">
      <c r="A79" s="1" t="s">
        <v>815</v>
      </c>
      <c r="B79" s="1" t="s">
        <v>31</v>
      </c>
      <c r="C79">
        <v>-9.5266249999999992</v>
      </c>
      <c r="D79">
        <v>27.889690999999999</v>
      </c>
      <c r="E79" s="1" t="s">
        <v>1426</v>
      </c>
      <c r="F79" s="1" t="s">
        <v>1424</v>
      </c>
      <c r="G79" s="1" t="s">
        <v>1444</v>
      </c>
    </row>
    <row r="80" spans="1:7" x14ac:dyDescent="0.25">
      <c r="A80" s="1" t="s">
        <v>1062</v>
      </c>
      <c r="B80" s="1" t="s">
        <v>122</v>
      </c>
      <c r="C80">
        <v>-6.5529849999999996</v>
      </c>
      <c r="D80">
        <v>21.990606</v>
      </c>
      <c r="E80" s="1" t="s">
        <v>1428</v>
      </c>
      <c r="F80" s="1" t="s">
        <v>1427</v>
      </c>
      <c r="G80" s="1" t="s">
        <v>1444</v>
      </c>
    </row>
    <row r="81" spans="1:7" x14ac:dyDescent="0.25">
      <c r="A81" s="1" t="s">
        <v>1313</v>
      </c>
      <c r="B81" s="1" t="s">
        <v>12</v>
      </c>
      <c r="C81">
        <v>-10.574821</v>
      </c>
      <c r="D81">
        <v>25.324966</v>
      </c>
      <c r="E81" s="1" t="s">
        <v>1423</v>
      </c>
      <c r="F81" s="1" t="s">
        <v>1424</v>
      </c>
      <c r="G81" s="1" t="s">
        <v>1444</v>
      </c>
    </row>
    <row r="82" spans="1:7" x14ac:dyDescent="0.25">
      <c r="A82" s="1" t="s">
        <v>1373</v>
      </c>
      <c r="B82" s="1" t="s">
        <v>33</v>
      </c>
      <c r="C82">
        <v>3.175935</v>
      </c>
      <c r="D82">
        <v>16.862832000000001</v>
      </c>
      <c r="E82" s="1" t="s">
        <v>1423</v>
      </c>
      <c r="F82" s="1" t="s">
        <v>1424</v>
      </c>
      <c r="G82" s="1" t="s">
        <v>1444</v>
      </c>
    </row>
    <row r="83" spans="1:7" x14ac:dyDescent="0.25">
      <c r="A83" s="1" t="s">
        <v>919</v>
      </c>
      <c r="B83" s="1" t="s">
        <v>72</v>
      </c>
      <c r="C83">
        <v>-4.2645619999999997</v>
      </c>
      <c r="D83">
        <v>18.960726000000001</v>
      </c>
      <c r="E83" s="1" t="s">
        <v>1426</v>
      </c>
      <c r="F83" s="1" t="s">
        <v>1427</v>
      </c>
      <c r="G83" s="1" t="s">
        <v>1444</v>
      </c>
    </row>
    <row r="84" spans="1:7" x14ac:dyDescent="0.25">
      <c r="A84" s="1" t="s">
        <v>1258</v>
      </c>
      <c r="B84" s="1" t="s">
        <v>15</v>
      </c>
      <c r="C84">
        <v>-7.6951369999999999</v>
      </c>
      <c r="D84">
        <v>13.346605</v>
      </c>
      <c r="E84" s="1" t="s">
        <v>1426</v>
      </c>
      <c r="F84" s="1" t="s">
        <v>1424</v>
      </c>
      <c r="G84" s="1" t="s">
        <v>1444</v>
      </c>
    </row>
    <row r="85" spans="1:7" x14ac:dyDescent="0.25">
      <c r="A85" s="1" t="s">
        <v>1028</v>
      </c>
      <c r="B85" s="1" t="s">
        <v>59</v>
      </c>
      <c r="C85">
        <v>-9.5840350000000001</v>
      </c>
      <c r="D85">
        <v>15.966024000000001</v>
      </c>
      <c r="E85" s="1" t="s">
        <v>1423</v>
      </c>
      <c r="F85" s="1" t="s">
        <v>1435</v>
      </c>
      <c r="G85" s="1" t="s">
        <v>1444</v>
      </c>
    </row>
    <row r="86" spans="1:7" x14ac:dyDescent="0.25">
      <c r="A86" s="1" t="s">
        <v>1378</v>
      </c>
      <c r="B86" s="1" t="s">
        <v>17</v>
      </c>
      <c r="C86">
        <v>-9.6407190000000007</v>
      </c>
      <c r="D86">
        <v>21.336704999999998</v>
      </c>
      <c r="E86" s="1" t="s">
        <v>1426</v>
      </c>
      <c r="F86" s="1" t="s">
        <v>1429</v>
      </c>
      <c r="G86" s="1" t="s">
        <v>1444</v>
      </c>
    </row>
    <row r="87" spans="1:7" x14ac:dyDescent="0.25">
      <c r="A87" s="1" t="s">
        <v>1455</v>
      </c>
      <c r="B87" s="1" t="s">
        <v>57</v>
      </c>
      <c r="C87">
        <v>-6.7420359999999997</v>
      </c>
      <c r="D87">
        <v>28.905578999999999</v>
      </c>
      <c r="E87" s="1" t="s">
        <v>1428</v>
      </c>
      <c r="F87" s="1" t="s">
        <v>1427</v>
      </c>
      <c r="G87" s="1" t="s">
        <v>1444</v>
      </c>
    </row>
    <row r="88" spans="1:7" x14ac:dyDescent="0.25">
      <c r="A88" s="1" t="s">
        <v>948</v>
      </c>
      <c r="B88" s="1" t="s">
        <v>23</v>
      </c>
      <c r="C88">
        <v>0.16841400000000001</v>
      </c>
      <c r="D88">
        <v>30.029876999999999</v>
      </c>
      <c r="E88" s="1" t="s">
        <v>1423</v>
      </c>
      <c r="F88" s="1" t="s">
        <v>1427</v>
      </c>
      <c r="G88" s="1" t="s">
        <v>1456</v>
      </c>
    </row>
    <row r="89" spans="1:7" x14ac:dyDescent="0.25">
      <c r="A89" s="1" t="s">
        <v>1457</v>
      </c>
      <c r="B89" s="1" t="s">
        <v>24</v>
      </c>
      <c r="C89">
        <v>-5.9281110000000004</v>
      </c>
      <c r="D89">
        <v>29.607863999999999</v>
      </c>
      <c r="E89" s="1" t="s">
        <v>1426</v>
      </c>
      <c r="F89" s="1" t="s">
        <v>1427</v>
      </c>
      <c r="G89" s="1" t="s">
        <v>1456</v>
      </c>
    </row>
    <row r="90" spans="1:7" x14ac:dyDescent="0.25">
      <c r="A90" s="1" t="s">
        <v>765</v>
      </c>
      <c r="B90" s="1" t="s">
        <v>27</v>
      </c>
      <c r="C90">
        <v>-4.9789079999999997</v>
      </c>
      <c r="D90">
        <v>28.506295000000001</v>
      </c>
      <c r="E90" s="1" t="s">
        <v>1426</v>
      </c>
      <c r="F90" s="1" t="s">
        <v>1427</v>
      </c>
      <c r="G90" s="1" t="s">
        <v>1456</v>
      </c>
    </row>
    <row r="91" spans="1:7" x14ac:dyDescent="0.25">
      <c r="A91" s="1" t="s">
        <v>1053</v>
      </c>
      <c r="B91" s="1" t="s">
        <v>24</v>
      </c>
      <c r="C91">
        <v>-2.2876210000000001</v>
      </c>
      <c r="D91">
        <v>27.582545</v>
      </c>
      <c r="E91" s="1" t="s">
        <v>1426</v>
      </c>
      <c r="F91" s="1" t="s">
        <v>1427</v>
      </c>
      <c r="G91" s="1" t="s">
        <v>1456</v>
      </c>
    </row>
    <row r="92" spans="1:7" x14ac:dyDescent="0.25">
      <c r="A92" s="1" t="s">
        <v>1294</v>
      </c>
      <c r="B92" s="1" t="s">
        <v>35</v>
      </c>
      <c r="C92">
        <v>-3.9148719999999999</v>
      </c>
      <c r="D92">
        <v>12.260933</v>
      </c>
      <c r="E92" s="1" t="s">
        <v>1426</v>
      </c>
      <c r="F92" s="1" t="s">
        <v>1424</v>
      </c>
      <c r="G92" s="1" t="s">
        <v>1456</v>
      </c>
    </row>
    <row r="93" spans="1:7" x14ac:dyDescent="0.25">
      <c r="A93" s="1" t="s">
        <v>852</v>
      </c>
      <c r="B93" s="1" t="s">
        <v>35</v>
      </c>
      <c r="C93">
        <v>-9.002459</v>
      </c>
      <c r="D93">
        <v>25.182109000000001</v>
      </c>
      <c r="E93" s="1" t="s">
        <v>1423</v>
      </c>
      <c r="F93" s="1" t="s">
        <v>1427</v>
      </c>
      <c r="G93" s="1" t="s">
        <v>1456</v>
      </c>
    </row>
    <row r="94" spans="1:7" x14ac:dyDescent="0.25">
      <c r="A94" s="1" t="s">
        <v>990</v>
      </c>
      <c r="B94" s="1" t="s">
        <v>83</v>
      </c>
      <c r="C94">
        <v>-7.7839049999999999</v>
      </c>
      <c r="D94">
        <v>14.114281999999999</v>
      </c>
      <c r="E94" s="1" t="s">
        <v>1428</v>
      </c>
      <c r="F94" s="1" t="s">
        <v>1429</v>
      </c>
      <c r="G94" s="1" t="s">
        <v>1456</v>
      </c>
    </row>
    <row r="95" spans="1:7" x14ac:dyDescent="0.25">
      <c r="A95" s="1" t="s">
        <v>1458</v>
      </c>
      <c r="B95" s="1" t="s">
        <v>29</v>
      </c>
      <c r="C95">
        <v>-10.620597</v>
      </c>
      <c r="D95">
        <v>12.432214</v>
      </c>
      <c r="E95" s="1" t="s">
        <v>1426</v>
      </c>
      <c r="F95" s="1" t="s">
        <v>1427</v>
      </c>
      <c r="G95" s="1" t="s">
        <v>1456</v>
      </c>
    </row>
    <row r="96" spans="1:7" x14ac:dyDescent="0.25">
      <c r="A96" s="1" t="s">
        <v>814</v>
      </c>
      <c r="B96" s="1" t="s">
        <v>15</v>
      </c>
      <c r="C96">
        <v>-11.514188000000001</v>
      </c>
      <c r="D96">
        <v>15.971181</v>
      </c>
      <c r="E96" s="1" t="s">
        <v>1423</v>
      </c>
      <c r="F96" s="1" t="s">
        <v>1424</v>
      </c>
      <c r="G96" s="1" t="s">
        <v>1456</v>
      </c>
    </row>
    <row r="97" spans="1:7" x14ac:dyDescent="0.25">
      <c r="A97" s="1" t="s">
        <v>799</v>
      </c>
      <c r="B97" s="1" t="s">
        <v>33</v>
      </c>
      <c r="C97">
        <v>-2.7140689999999998</v>
      </c>
      <c r="D97">
        <v>22.222104000000002</v>
      </c>
      <c r="E97" s="1" t="s">
        <v>1426</v>
      </c>
      <c r="F97" s="1" t="s">
        <v>1435</v>
      </c>
      <c r="G97" s="1" t="s">
        <v>1456</v>
      </c>
    </row>
    <row r="98" spans="1:7" x14ac:dyDescent="0.25">
      <c r="A98" s="1" t="s">
        <v>1411</v>
      </c>
      <c r="B98" s="1" t="s">
        <v>17</v>
      </c>
      <c r="C98">
        <v>-5.8145569999999998</v>
      </c>
      <c r="D98">
        <v>21.942052</v>
      </c>
      <c r="E98" s="1" t="s">
        <v>1423</v>
      </c>
      <c r="F98" s="1" t="s">
        <v>1427</v>
      </c>
      <c r="G98" s="1" t="s">
        <v>1456</v>
      </c>
    </row>
    <row r="99" spans="1:7" x14ac:dyDescent="0.25">
      <c r="A99" s="1" t="s">
        <v>1149</v>
      </c>
      <c r="B99" s="1" t="s">
        <v>23</v>
      </c>
      <c r="C99">
        <v>-11.468578000000001</v>
      </c>
      <c r="D99">
        <v>16.914501999999999</v>
      </c>
      <c r="E99" s="1" t="s">
        <v>1426</v>
      </c>
      <c r="F99" s="1" t="s">
        <v>1424</v>
      </c>
      <c r="G99" s="1" t="s">
        <v>1456</v>
      </c>
    </row>
    <row r="100" spans="1:7" x14ac:dyDescent="0.25">
      <c r="A100" s="1" t="s">
        <v>1459</v>
      </c>
      <c r="B100" s="1" t="s">
        <v>122</v>
      </c>
      <c r="C100">
        <v>0.92885200000000001</v>
      </c>
      <c r="D100">
        <v>25.868548000000001</v>
      </c>
      <c r="E100" s="1" t="s">
        <v>1423</v>
      </c>
      <c r="F100" s="1" t="s">
        <v>1435</v>
      </c>
      <c r="G100" s="1" t="s">
        <v>1456</v>
      </c>
    </row>
    <row r="101" spans="1:7" x14ac:dyDescent="0.25">
      <c r="A101" s="1" t="s">
        <v>1195</v>
      </c>
      <c r="B101" s="1" t="s">
        <v>37</v>
      </c>
      <c r="C101">
        <v>-10.653247</v>
      </c>
      <c r="D101">
        <v>14.685601</v>
      </c>
      <c r="E101" s="1" t="s">
        <v>1426</v>
      </c>
      <c r="F101" s="1" t="s">
        <v>1424</v>
      </c>
      <c r="G101" s="1" t="s">
        <v>1456</v>
      </c>
    </row>
    <row r="102" spans="1:7" x14ac:dyDescent="0.25">
      <c r="A102" s="1" t="s">
        <v>1460</v>
      </c>
      <c r="B102" s="1" t="s">
        <v>126</v>
      </c>
      <c r="C102">
        <v>-10.572326</v>
      </c>
      <c r="D102">
        <v>25.276349</v>
      </c>
      <c r="E102" s="1" t="s">
        <v>1428</v>
      </c>
      <c r="F102" s="1" t="s">
        <v>1429</v>
      </c>
      <c r="G102" s="1" t="s">
        <v>1456</v>
      </c>
    </row>
    <row r="103" spans="1:7" x14ac:dyDescent="0.25">
      <c r="A103" s="1" t="s">
        <v>1461</v>
      </c>
      <c r="B103" s="1" t="s">
        <v>59</v>
      </c>
      <c r="C103">
        <v>-2.9326690000000002</v>
      </c>
      <c r="D103">
        <v>12.349382</v>
      </c>
      <c r="E103" s="1" t="s">
        <v>1423</v>
      </c>
      <c r="F103" s="1" t="s">
        <v>1429</v>
      </c>
      <c r="G103" s="1" t="s">
        <v>1456</v>
      </c>
    </row>
    <row r="104" spans="1:7" x14ac:dyDescent="0.25">
      <c r="A104" s="1" t="s">
        <v>1462</v>
      </c>
      <c r="B104" s="1" t="s">
        <v>72</v>
      </c>
      <c r="C104">
        <v>-1.259528</v>
      </c>
      <c r="D104">
        <v>24.607037999999999</v>
      </c>
      <c r="E104" s="1" t="s">
        <v>1426</v>
      </c>
      <c r="F104" s="1" t="s">
        <v>1429</v>
      </c>
      <c r="G104" s="1" t="s">
        <v>1456</v>
      </c>
    </row>
    <row r="105" spans="1:7" x14ac:dyDescent="0.25">
      <c r="A105" s="1" t="s">
        <v>843</v>
      </c>
      <c r="B105" s="1" t="s">
        <v>20</v>
      </c>
      <c r="C105">
        <v>-9.4702129999999993</v>
      </c>
      <c r="D105">
        <v>12.826158</v>
      </c>
      <c r="E105" s="1" t="s">
        <v>1428</v>
      </c>
      <c r="F105" s="1" t="s">
        <v>1424</v>
      </c>
      <c r="G105" s="1" t="s">
        <v>1456</v>
      </c>
    </row>
    <row r="106" spans="1:7" x14ac:dyDescent="0.25">
      <c r="A106" s="1" t="s">
        <v>1029</v>
      </c>
      <c r="B106" s="1" t="s">
        <v>9</v>
      </c>
      <c r="C106">
        <v>-1.9120569999999999</v>
      </c>
      <c r="D106">
        <v>15.236072999999999</v>
      </c>
      <c r="E106" s="1" t="s">
        <v>1423</v>
      </c>
      <c r="F106" s="1" t="s">
        <v>1427</v>
      </c>
      <c r="G106" s="1" t="s">
        <v>1456</v>
      </c>
    </row>
    <row r="107" spans="1:7" x14ac:dyDescent="0.25">
      <c r="A107" s="1" t="s">
        <v>869</v>
      </c>
      <c r="B107" s="1" t="s">
        <v>48</v>
      </c>
      <c r="C107">
        <v>-8.5675749999999997</v>
      </c>
      <c r="D107">
        <v>26.994581</v>
      </c>
      <c r="E107" s="1" t="s">
        <v>1428</v>
      </c>
      <c r="F107" s="1" t="s">
        <v>1435</v>
      </c>
      <c r="G107" s="1" t="s">
        <v>1456</v>
      </c>
    </row>
    <row r="108" spans="1:7" x14ac:dyDescent="0.25">
      <c r="A108" s="1" t="s">
        <v>784</v>
      </c>
      <c r="B108" s="1" t="s">
        <v>126</v>
      </c>
      <c r="C108">
        <v>-11.710407999999999</v>
      </c>
      <c r="D108">
        <v>23.741330999999999</v>
      </c>
      <c r="E108" s="1" t="s">
        <v>1428</v>
      </c>
      <c r="F108" s="1" t="s">
        <v>1427</v>
      </c>
      <c r="G108" s="1" t="s">
        <v>1456</v>
      </c>
    </row>
    <row r="109" spans="1:7" x14ac:dyDescent="0.25">
      <c r="A109" s="1" t="s">
        <v>1054</v>
      </c>
      <c r="B109" s="1" t="s">
        <v>15</v>
      </c>
      <c r="C109">
        <v>3.6344850000000002</v>
      </c>
      <c r="D109">
        <v>12.158348999999999</v>
      </c>
      <c r="E109" s="1" t="s">
        <v>1423</v>
      </c>
      <c r="F109" s="1" t="s">
        <v>1424</v>
      </c>
      <c r="G109" s="1" t="s">
        <v>1456</v>
      </c>
    </row>
    <row r="110" spans="1:7" x14ac:dyDescent="0.25">
      <c r="A110" s="1" t="s">
        <v>1071</v>
      </c>
      <c r="B110" s="1" t="s">
        <v>29</v>
      </c>
      <c r="C110">
        <v>-11.387295999999999</v>
      </c>
      <c r="D110">
        <v>19.384257999999999</v>
      </c>
      <c r="E110" s="1" t="s">
        <v>1428</v>
      </c>
      <c r="F110" s="1" t="s">
        <v>1427</v>
      </c>
      <c r="G110" s="1" t="s">
        <v>1456</v>
      </c>
    </row>
    <row r="111" spans="1:7" x14ac:dyDescent="0.25">
      <c r="A111" s="1" t="s">
        <v>1064</v>
      </c>
      <c r="B111" s="1" t="s">
        <v>61</v>
      </c>
      <c r="C111">
        <v>-0.90854400000000002</v>
      </c>
      <c r="D111">
        <v>17.154896999999998</v>
      </c>
      <c r="E111" s="1" t="s">
        <v>1428</v>
      </c>
      <c r="F111" s="1" t="s">
        <v>1427</v>
      </c>
      <c r="G111" s="1" t="s">
        <v>1456</v>
      </c>
    </row>
    <row r="112" spans="1:7" x14ac:dyDescent="0.25">
      <c r="A112" s="1" t="s">
        <v>1041</v>
      </c>
      <c r="B112" s="1" t="s">
        <v>15</v>
      </c>
      <c r="C112">
        <v>-5.3762689999999997</v>
      </c>
      <c r="D112">
        <v>28.189575999999999</v>
      </c>
      <c r="E112" s="1" t="s">
        <v>1423</v>
      </c>
      <c r="F112" s="1" t="s">
        <v>1427</v>
      </c>
      <c r="G112" s="1" t="s">
        <v>1456</v>
      </c>
    </row>
    <row r="113" spans="1:7" x14ac:dyDescent="0.25">
      <c r="A113" s="1" t="s">
        <v>1463</v>
      </c>
      <c r="B113" s="1" t="s">
        <v>126</v>
      </c>
      <c r="C113">
        <v>-6.7304589999999997</v>
      </c>
      <c r="D113">
        <v>24.541906999999998</v>
      </c>
      <c r="E113" s="1" t="s">
        <v>1426</v>
      </c>
      <c r="F113" s="1" t="s">
        <v>1435</v>
      </c>
      <c r="G113" s="1" t="s">
        <v>1456</v>
      </c>
    </row>
    <row r="114" spans="1:7" x14ac:dyDescent="0.25">
      <c r="A114" s="1" t="s">
        <v>1410</v>
      </c>
      <c r="B114" s="1" t="s">
        <v>15</v>
      </c>
      <c r="C114">
        <v>-7.2267089999999996</v>
      </c>
      <c r="D114">
        <v>28.421362999999999</v>
      </c>
      <c r="E114" s="1" t="s">
        <v>1423</v>
      </c>
      <c r="F114" s="1" t="s">
        <v>1424</v>
      </c>
      <c r="G114" s="1" t="s">
        <v>1456</v>
      </c>
    </row>
    <row r="115" spans="1:7" x14ac:dyDescent="0.25">
      <c r="A115" s="1" t="s">
        <v>883</v>
      </c>
      <c r="B115" s="1" t="s">
        <v>122</v>
      </c>
      <c r="C115">
        <v>-2.3102109999999998</v>
      </c>
      <c r="D115">
        <v>12.362488000000001</v>
      </c>
      <c r="E115" s="1" t="s">
        <v>1423</v>
      </c>
      <c r="F115" s="1" t="s">
        <v>1435</v>
      </c>
      <c r="G115" s="1" t="s">
        <v>1456</v>
      </c>
    </row>
    <row r="116" spans="1:7" x14ac:dyDescent="0.25">
      <c r="A116" s="1" t="s">
        <v>975</v>
      </c>
      <c r="B116" s="1" t="s">
        <v>59</v>
      </c>
      <c r="C116">
        <v>-12.564277000000001</v>
      </c>
      <c r="D116">
        <v>28.480798</v>
      </c>
      <c r="E116" s="1" t="s">
        <v>1423</v>
      </c>
      <c r="F116" s="1" t="s">
        <v>1429</v>
      </c>
      <c r="G116" s="1" t="s">
        <v>1456</v>
      </c>
    </row>
    <row r="117" spans="1:7" x14ac:dyDescent="0.25">
      <c r="A117" s="1" t="s">
        <v>1366</v>
      </c>
      <c r="B117" s="1" t="s">
        <v>33</v>
      </c>
      <c r="C117">
        <v>-7.513261</v>
      </c>
      <c r="D117">
        <v>24.338812000000001</v>
      </c>
      <c r="E117" s="1" t="s">
        <v>1423</v>
      </c>
      <c r="F117" s="1" t="s">
        <v>1427</v>
      </c>
      <c r="G117" s="1" t="s">
        <v>1456</v>
      </c>
    </row>
    <row r="118" spans="1:7" x14ac:dyDescent="0.25">
      <c r="A118" s="1" t="s">
        <v>1166</v>
      </c>
      <c r="B118" s="1" t="s">
        <v>68</v>
      </c>
      <c r="C118">
        <v>4.7777349999999998</v>
      </c>
      <c r="D118">
        <v>16.392204</v>
      </c>
      <c r="E118" s="1" t="s">
        <v>1423</v>
      </c>
      <c r="F118" s="1" t="s">
        <v>1429</v>
      </c>
      <c r="G118" s="1" t="s">
        <v>1456</v>
      </c>
    </row>
    <row r="119" spans="1:7" x14ac:dyDescent="0.25">
      <c r="A119" s="1" t="s">
        <v>1464</v>
      </c>
      <c r="B119" s="1" t="s">
        <v>59</v>
      </c>
      <c r="C119">
        <v>-1.9080220000000001</v>
      </c>
      <c r="D119">
        <v>19.233322999999999</v>
      </c>
      <c r="E119" s="1" t="s">
        <v>1428</v>
      </c>
      <c r="F119" s="1" t="s">
        <v>1424</v>
      </c>
      <c r="G119" s="1" t="s">
        <v>1456</v>
      </c>
    </row>
    <row r="120" spans="1:7" x14ac:dyDescent="0.25">
      <c r="A120" s="1" t="s">
        <v>1217</v>
      </c>
      <c r="B120" s="1" t="s">
        <v>72</v>
      </c>
      <c r="C120">
        <v>4.8228650000000002</v>
      </c>
      <c r="D120">
        <v>30.555627000000001</v>
      </c>
      <c r="E120" s="1" t="s">
        <v>1426</v>
      </c>
      <c r="F120" s="1" t="s">
        <v>1427</v>
      </c>
      <c r="G120" s="1" t="s">
        <v>1456</v>
      </c>
    </row>
    <row r="121" spans="1:7" x14ac:dyDescent="0.25">
      <c r="A121" s="1" t="s">
        <v>857</v>
      </c>
      <c r="B121" s="1" t="s">
        <v>57</v>
      </c>
      <c r="C121">
        <v>-5.0402180000000003</v>
      </c>
      <c r="D121">
        <v>13.892471</v>
      </c>
      <c r="E121" s="1" t="s">
        <v>1428</v>
      </c>
      <c r="F121" s="1" t="s">
        <v>1429</v>
      </c>
      <c r="G121" s="1" t="s">
        <v>1456</v>
      </c>
    </row>
    <row r="122" spans="1:7" x14ac:dyDescent="0.25">
      <c r="A122" s="1" t="s">
        <v>746</v>
      </c>
      <c r="B122" s="1" t="s">
        <v>83</v>
      </c>
      <c r="C122">
        <v>-10.375266999999999</v>
      </c>
      <c r="D122">
        <v>17.993663000000002</v>
      </c>
      <c r="E122" s="1" t="s">
        <v>1423</v>
      </c>
      <c r="F122" s="1" t="s">
        <v>1429</v>
      </c>
      <c r="G122" s="1" t="s">
        <v>1456</v>
      </c>
    </row>
    <row r="123" spans="1:7" x14ac:dyDescent="0.25">
      <c r="A123" s="1" t="s">
        <v>1154</v>
      </c>
      <c r="B123" s="1" t="s">
        <v>41</v>
      </c>
      <c r="C123">
        <v>-12.192204</v>
      </c>
      <c r="D123">
        <v>28.468682000000001</v>
      </c>
      <c r="E123" s="1" t="s">
        <v>1428</v>
      </c>
      <c r="F123" s="1" t="s">
        <v>1429</v>
      </c>
      <c r="G123" s="1" t="s">
        <v>1456</v>
      </c>
    </row>
    <row r="124" spans="1:7" x14ac:dyDescent="0.25">
      <c r="A124" s="1" t="s">
        <v>1096</v>
      </c>
      <c r="B124" s="1" t="s">
        <v>72</v>
      </c>
      <c r="C124">
        <v>1.727095</v>
      </c>
      <c r="D124">
        <v>22.099651999999999</v>
      </c>
      <c r="E124" s="1" t="s">
        <v>1426</v>
      </c>
      <c r="F124" s="1" t="s">
        <v>1427</v>
      </c>
      <c r="G124" s="1" t="s">
        <v>1456</v>
      </c>
    </row>
    <row r="125" spans="1:7" x14ac:dyDescent="0.25">
      <c r="A125" s="1" t="s">
        <v>1465</v>
      </c>
      <c r="B125" s="1" t="s">
        <v>35</v>
      </c>
      <c r="C125">
        <v>-6.2712260000000004</v>
      </c>
      <c r="D125">
        <v>21.512366</v>
      </c>
      <c r="E125" s="1" t="s">
        <v>1423</v>
      </c>
      <c r="F125" s="1" t="s">
        <v>1427</v>
      </c>
      <c r="G125" s="1" t="s">
        <v>1456</v>
      </c>
    </row>
    <row r="126" spans="1:7" x14ac:dyDescent="0.25">
      <c r="A126" s="1" t="s">
        <v>935</v>
      </c>
      <c r="B126" s="1" t="s">
        <v>54</v>
      </c>
      <c r="C126">
        <v>0.639208</v>
      </c>
      <c r="D126">
        <v>20.701739</v>
      </c>
      <c r="E126" s="1" t="s">
        <v>1426</v>
      </c>
      <c r="F126" s="1" t="s">
        <v>1427</v>
      </c>
      <c r="G126" s="1" t="s">
        <v>1456</v>
      </c>
    </row>
    <row r="127" spans="1:7" x14ac:dyDescent="0.25">
      <c r="A127" s="1" t="s">
        <v>1466</v>
      </c>
      <c r="B127" s="1" t="s">
        <v>41</v>
      </c>
      <c r="C127">
        <v>2.349755</v>
      </c>
      <c r="D127">
        <v>29.600649000000001</v>
      </c>
      <c r="E127" s="1" t="s">
        <v>1426</v>
      </c>
      <c r="F127" s="1" t="s">
        <v>1435</v>
      </c>
      <c r="G127" s="1" t="s">
        <v>1456</v>
      </c>
    </row>
    <row r="128" spans="1:7" x14ac:dyDescent="0.25">
      <c r="A128" s="1" t="s">
        <v>1342</v>
      </c>
      <c r="B128" s="1" t="s">
        <v>59</v>
      </c>
      <c r="C128">
        <v>-10.977309</v>
      </c>
      <c r="D128">
        <v>12.408281000000001</v>
      </c>
      <c r="E128" s="1" t="s">
        <v>1423</v>
      </c>
      <c r="F128" s="1" t="s">
        <v>1429</v>
      </c>
      <c r="G128" s="1" t="s">
        <v>1456</v>
      </c>
    </row>
    <row r="129" spans="1:7" x14ac:dyDescent="0.25">
      <c r="A129" s="1" t="s">
        <v>1467</v>
      </c>
      <c r="B129" s="1" t="s">
        <v>12</v>
      </c>
      <c r="C129">
        <v>-12.018316</v>
      </c>
      <c r="D129">
        <v>16.700451000000001</v>
      </c>
      <c r="E129" s="1" t="s">
        <v>1428</v>
      </c>
      <c r="F129" s="1" t="s">
        <v>1435</v>
      </c>
      <c r="G129" s="1" t="s">
        <v>1456</v>
      </c>
    </row>
    <row r="130" spans="1:7" x14ac:dyDescent="0.25">
      <c r="A130" s="1" t="s">
        <v>1125</v>
      </c>
      <c r="B130" s="1" t="s">
        <v>54</v>
      </c>
      <c r="C130">
        <v>-1.648326</v>
      </c>
      <c r="D130">
        <v>25.528901999999999</v>
      </c>
      <c r="E130" s="1" t="s">
        <v>1426</v>
      </c>
      <c r="F130" s="1" t="s">
        <v>1427</v>
      </c>
      <c r="G130" s="1" t="s">
        <v>1468</v>
      </c>
    </row>
    <row r="131" spans="1:7" x14ac:dyDescent="0.25">
      <c r="A131" s="1" t="s">
        <v>920</v>
      </c>
      <c r="B131" s="1" t="s">
        <v>17</v>
      </c>
      <c r="C131">
        <v>-12.112682</v>
      </c>
      <c r="D131">
        <v>19.972052000000001</v>
      </c>
      <c r="E131" s="1" t="s">
        <v>1426</v>
      </c>
      <c r="F131" s="1" t="s">
        <v>1427</v>
      </c>
      <c r="G131" s="1" t="s">
        <v>1468</v>
      </c>
    </row>
    <row r="132" spans="1:7" x14ac:dyDescent="0.25">
      <c r="A132" s="1" t="s">
        <v>1304</v>
      </c>
      <c r="B132" s="1" t="s">
        <v>12</v>
      </c>
      <c r="C132">
        <v>-7.7587710000000003</v>
      </c>
      <c r="D132">
        <v>17.880848</v>
      </c>
      <c r="E132" s="1" t="s">
        <v>1428</v>
      </c>
      <c r="F132" s="1" t="s">
        <v>1424</v>
      </c>
      <c r="G132" s="1" t="s">
        <v>1468</v>
      </c>
    </row>
    <row r="133" spans="1:7" x14ac:dyDescent="0.25">
      <c r="A133" s="1" t="s">
        <v>1121</v>
      </c>
      <c r="B133" s="1" t="s">
        <v>31</v>
      </c>
      <c r="C133">
        <v>-5.8352820000000003</v>
      </c>
      <c r="D133">
        <v>26.603978000000001</v>
      </c>
      <c r="E133" s="1" t="s">
        <v>1426</v>
      </c>
      <c r="F133" s="1" t="s">
        <v>1427</v>
      </c>
      <c r="G133" s="1" t="s">
        <v>1468</v>
      </c>
    </row>
    <row r="134" spans="1:7" x14ac:dyDescent="0.25">
      <c r="A134" s="1" t="s">
        <v>1469</v>
      </c>
      <c r="B134" s="1" t="s">
        <v>126</v>
      </c>
      <c r="C134">
        <v>-7.5180249999999997</v>
      </c>
      <c r="D134">
        <v>20.478905999999998</v>
      </c>
      <c r="E134" s="1" t="s">
        <v>1423</v>
      </c>
      <c r="F134" s="1" t="s">
        <v>1435</v>
      </c>
      <c r="G134" s="1" t="s">
        <v>1468</v>
      </c>
    </row>
    <row r="135" spans="1:7" x14ac:dyDescent="0.25">
      <c r="A135" s="1" t="s">
        <v>1142</v>
      </c>
      <c r="B135" s="1" t="s">
        <v>31</v>
      </c>
      <c r="C135">
        <v>1.897178</v>
      </c>
      <c r="D135">
        <v>23.902604</v>
      </c>
      <c r="E135" s="1" t="s">
        <v>1428</v>
      </c>
      <c r="F135" s="1" t="s">
        <v>1435</v>
      </c>
      <c r="G135" s="1" t="s">
        <v>1468</v>
      </c>
    </row>
    <row r="136" spans="1:7" x14ac:dyDescent="0.25">
      <c r="A136" s="1" t="s">
        <v>1163</v>
      </c>
      <c r="B136" s="1" t="s">
        <v>37</v>
      </c>
      <c r="C136">
        <v>-4.6957509999999996</v>
      </c>
      <c r="D136">
        <v>14.233525999999999</v>
      </c>
      <c r="E136" s="1" t="s">
        <v>1426</v>
      </c>
      <c r="F136" s="1" t="s">
        <v>1435</v>
      </c>
      <c r="G136" s="1" t="s">
        <v>1468</v>
      </c>
    </row>
    <row r="137" spans="1:7" x14ac:dyDescent="0.25">
      <c r="A137" s="1" t="s">
        <v>1470</v>
      </c>
      <c r="B137" s="1" t="s">
        <v>118</v>
      </c>
      <c r="C137">
        <v>-1.9635830000000001</v>
      </c>
      <c r="D137">
        <v>15.854182</v>
      </c>
      <c r="E137" s="1" t="s">
        <v>1428</v>
      </c>
      <c r="F137" s="1" t="s">
        <v>1435</v>
      </c>
      <c r="G137" s="1" t="s">
        <v>1468</v>
      </c>
    </row>
    <row r="138" spans="1:7" x14ac:dyDescent="0.25">
      <c r="A138" s="1" t="s">
        <v>901</v>
      </c>
      <c r="B138" s="1" t="s">
        <v>24</v>
      </c>
      <c r="C138">
        <v>-3.6945459999999999</v>
      </c>
      <c r="D138">
        <v>16.809108999999999</v>
      </c>
      <c r="E138" s="1" t="s">
        <v>1423</v>
      </c>
      <c r="F138" s="1" t="s">
        <v>1429</v>
      </c>
      <c r="G138" s="1" t="s">
        <v>1468</v>
      </c>
    </row>
    <row r="139" spans="1:7" x14ac:dyDescent="0.25">
      <c r="A139" s="1" t="s">
        <v>1012</v>
      </c>
      <c r="B139" s="1" t="s">
        <v>118</v>
      </c>
      <c r="C139">
        <v>-4.869434</v>
      </c>
      <c r="D139">
        <v>22.326522000000001</v>
      </c>
      <c r="E139" s="1" t="s">
        <v>1423</v>
      </c>
      <c r="F139" s="1" t="s">
        <v>1424</v>
      </c>
      <c r="G139" s="1" t="s">
        <v>1468</v>
      </c>
    </row>
    <row r="140" spans="1:7" x14ac:dyDescent="0.25">
      <c r="A140" s="1" t="s">
        <v>1471</v>
      </c>
      <c r="B140" s="1" t="s">
        <v>9</v>
      </c>
      <c r="C140">
        <v>-10.962911</v>
      </c>
      <c r="D140">
        <v>28.771355</v>
      </c>
      <c r="E140" s="1" t="s">
        <v>1423</v>
      </c>
      <c r="F140" s="1" t="s">
        <v>1427</v>
      </c>
      <c r="G140" s="1" t="s">
        <v>1468</v>
      </c>
    </row>
    <row r="141" spans="1:7" x14ac:dyDescent="0.25">
      <c r="A141" s="1" t="s">
        <v>832</v>
      </c>
      <c r="B141" s="1" t="s">
        <v>122</v>
      </c>
      <c r="C141">
        <v>1.017161</v>
      </c>
      <c r="D141">
        <v>16.519689</v>
      </c>
      <c r="E141" s="1" t="s">
        <v>1428</v>
      </c>
      <c r="F141" s="1" t="s">
        <v>1435</v>
      </c>
      <c r="G141" s="1" t="s">
        <v>1468</v>
      </c>
    </row>
    <row r="142" spans="1:7" x14ac:dyDescent="0.25">
      <c r="A142" s="1" t="s">
        <v>1472</v>
      </c>
      <c r="B142" s="1" t="s">
        <v>126</v>
      </c>
      <c r="C142">
        <v>3.8811640000000001</v>
      </c>
      <c r="D142">
        <v>23.188383999999999</v>
      </c>
      <c r="E142" s="1" t="s">
        <v>1423</v>
      </c>
      <c r="F142" s="1" t="s">
        <v>1427</v>
      </c>
      <c r="G142" s="1" t="s">
        <v>1468</v>
      </c>
    </row>
    <row r="143" spans="1:7" x14ac:dyDescent="0.25">
      <c r="A143" s="1" t="s">
        <v>1297</v>
      </c>
      <c r="B143" s="1" t="s">
        <v>59</v>
      </c>
      <c r="C143">
        <v>-0.469945</v>
      </c>
      <c r="D143">
        <v>21.038527999999999</v>
      </c>
      <c r="E143" s="1" t="s">
        <v>1428</v>
      </c>
      <c r="F143" s="1" t="s">
        <v>1424</v>
      </c>
      <c r="G143" s="1" t="s">
        <v>1468</v>
      </c>
    </row>
    <row r="144" spans="1:7" x14ac:dyDescent="0.25">
      <c r="A144" s="1" t="s">
        <v>1337</v>
      </c>
      <c r="B144" s="1" t="s">
        <v>17</v>
      </c>
      <c r="C144">
        <v>-5.5559329999999996</v>
      </c>
      <c r="D144">
        <v>13.508692999999999</v>
      </c>
      <c r="E144" s="1" t="s">
        <v>1428</v>
      </c>
      <c r="F144" s="1" t="s">
        <v>1435</v>
      </c>
      <c r="G144" s="1" t="s">
        <v>1468</v>
      </c>
    </row>
    <row r="145" spans="1:7" x14ac:dyDescent="0.25">
      <c r="A145" s="1" t="s">
        <v>890</v>
      </c>
      <c r="B145" s="1" t="s">
        <v>72</v>
      </c>
      <c r="C145">
        <v>-2.3743210000000001</v>
      </c>
      <c r="D145">
        <v>22.399491000000001</v>
      </c>
      <c r="E145" s="1" t="s">
        <v>1423</v>
      </c>
      <c r="F145" s="1" t="s">
        <v>1424</v>
      </c>
      <c r="G145" s="1" t="s">
        <v>1468</v>
      </c>
    </row>
    <row r="146" spans="1:7" x14ac:dyDescent="0.25">
      <c r="A146" s="1" t="s">
        <v>1267</v>
      </c>
      <c r="B146" s="1" t="s">
        <v>122</v>
      </c>
      <c r="C146">
        <v>-0.17258100000000001</v>
      </c>
      <c r="D146">
        <v>23.775555000000001</v>
      </c>
      <c r="E146" s="1" t="s">
        <v>1423</v>
      </c>
      <c r="F146" s="1" t="s">
        <v>1435</v>
      </c>
      <c r="G146" s="1" t="s">
        <v>1468</v>
      </c>
    </row>
    <row r="147" spans="1:7" x14ac:dyDescent="0.25">
      <c r="A147" s="1" t="s">
        <v>820</v>
      </c>
      <c r="B147" s="1" t="s">
        <v>29</v>
      </c>
      <c r="C147">
        <v>-9.3652239999999995</v>
      </c>
      <c r="D147">
        <v>22.593423999999999</v>
      </c>
      <c r="E147" s="1" t="s">
        <v>1423</v>
      </c>
      <c r="F147" s="1" t="s">
        <v>1435</v>
      </c>
      <c r="G147" s="1" t="s">
        <v>1468</v>
      </c>
    </row>
    <row r="148" spans="1:7" x14ac:dyDescent="0.25">
      <c r="A148" s="1" t="s">
        <v>1134</v>
      </c>
      <c r="B148" s="1" t="s">
        <v>17</v>
      </c>
      <c r="C148">
        <v>-4.8157019999999999</v>
      </c>
      <c r="D148">
        <v>27.679798000000002</v>
      </c>
      <c r="E148" s="1" t="s">
        <v>1428</v>
      </c>
      <c r="F148" s="1" t="s">
        <v>1424</v>
      </c>
      <c r="G148" s="1" t="s">
        <v>1468</v>
      </c>
    </row>
    <row r="149" spans="1:7" x14ac:dyDescent="0.25">
      <c r="A149" s="1" t="s">
        <v>1201</v>
      </c>
      <c r="B149" s="1" t="s">
        <v>83</v>
      </c>
      <c r="C149">
        <v>-8.4985189999999999</v>
      </c>
      <c r="D149">
        <v>12.929456999999999</v>
      </c>
      <c r="E149" s="1" t="s">
        <v>1426</v>
      </c>
      <c r="F149" s="1" t="s">
        <v>1424</v>
      </c>
      <c r="G149" s="1" t="s">
        <v>1468</v>
      </c>
    </row>
    <row r="150" spans="1:7" x14ac:dyDescent="0.25">
      <c r="A150" s="1" t="s">
        <v>1388</v>
      </c>
      <c r="B150" s="1" t="s">
        <v>29</v>
      </c>
      <c r="C150">
        <v>-0.54908599999999996</v>
      </c>
      <c r="D150">
        <v>14.816867</v>
      </c>
      <c r="E150" s="1" t="s">
        <v>1423</v>
      </c>
      <c r="F150" s="1" t="s">
        <v>1429</v>
      </c>
      <c r="G150" s="1" t="s">
        <v>1468</v>
      </c>
    </row>
    <row r="151" spans="1:7" x14ac:dyDescent="0.25">
      <c r="A151" s="1" t="s">
        <v>929</v>
      </c>
      <c r="B151" s="1" t="s">
        <v>57</v>
      </c>
      <c r="C151">
        <v>3.3289240000000002</v>
      </c>
      <c r="D151">
        <v>24.412261000000001</v>
      </c>
      <c r="E151" s="1" t="s">
        <v>1423</v>
      </c>
      <c r="F151" s="1" t="s">
        <v>1435</v>
      </c>
      <c r="G151" s="1" t="s">
        <v>1468</v>
      </c>
    </row>
    <row r="152" spans="1:7" x14ac:dyDescent="0.25">
      <c r="A152" s="1" t="s">
        <v>1473</v>
      </c>
      <c r="B152" s="1" t="s">
        <v>15</v>
      </c>
      <c r="C152">
        <v>-6.9254999999999997E-2</v>
      </c>
      <c r="D152">
        <v>28.222756</v>
      </c>
      <c r="E152" s="1" t="s">
        <v>1423</v>
      </c>
      <c r="F152" s="1" t="s">
        <v>1427</v>
      </c>
      <c r="G152" s="1" t="s">
        <v>1468</v>
      </c>
    </row>
    <row r="153" spans="1:7" x14ac:dyDescent="0.25">
      <c r="A153" s="1" t="s">
        <v>771</v>
      </c>
      <c r="B153" s="1" t="s">
        <v>35</v>
      </c>
      <c r="C153">
        <v>-10.776204</v>
      </c>
      <c r="D153">
        <v>24.672934000000001</v>
      </c>
      <c r="E153" s="1" t="s">
        <v>1426</v>
      </c>
      <c r="F153" s="1" t="s">
        <v>1424</v>
      </c>
      <c r="G153" s="1" t="s">
        <v>1468</v>
      </c>
    </row>
    <row r="154" spans="1:7" x14ac:dyDescent="0.25">
      <c r="A154" s="1" t="s">
        <v>1227</v>
      </c>
      <c r="B154" s="1" t="s">
        <v>23</v>
      </c>
      <c r="C154">
        <v>-10.945031</v>
      </c>
      <c r="D154">
        <v>27.922274000000002</v>
      </c>
      <c r="E154" s="1" t="s">
        <v>1426</v>
      </c>
      <c r="F154" s="1" t="s">
        <v>1424</v>
      </c>
      <c r="G154" s="1" t="s">
        <v>1468</v>
      </c>
    </row>
    <row r="155" spans="1:7" x14ac:dyDescent="0.25">
      <c r="A155" s="1" t="s">
        <v>1474</v>
      </c>
      <c r="B155" s="1" t="s">
        <v>59</v>
      </c>
      <c r="C155">
        <v>-4.9108280000000004</v>
      </c>
      <c r="D155">
        <v>17.670389</v>
      </c>
      <c r="E155" s="1" t="s">
        <v>1423</v>
      </c>
      <c r="F155" s="1" t="s">
        <v>1429</v>
      </c>
      <c r="G155" s="1" t="s">
        <v>1468</v>
      </c>
    </row>
    <row r="156" spans="1:7" x14ac:dyDescent="0.25">
      <c r="A156" s="1" t="s">
        <v>1303</v>
      </c>
      <c r="B156" s="1" t="s">
        <v>68</v>
      </c>
      <c r="C156">
        <v>-6.4670189999999996</v>
      </c>
      <c r="D156">
        <v>29.487309</v>
      </c>
      <c r="E156" s="1" t="s">
        <v>1426</v>
      </c>
      <c r="F156" s="1" t="s">
        <v>1429</v>
      </c>
      <c r="G156" s="1" t="s">
        <v>1468</v>
      </c>
    </row>
    <row r="157" spans="1:7" x14ac:dyDescent="0.25">
      <c r="A157" s="1" t="s">
        <v>1475</v>
      </c>
      <c r="B157" s="1" t="s">
        <v>48</v>
      </c>
      <c r="C157">
        <v>-3.571288</v>
      </c>
      <c r="D157">
        <v>12.931596000000001</v>
      </c>
      <c r="E157" s="1" t="s">
        <v>1426</v>
      </c>
      <c r="F157" s="1" t="s">
        <v>1435</v>
      </c>
      <c r="G157" s="1" t="s">
        <v>1468</v>
      </c>
    </row>
    <row r="158" spans="1:7" x14ac:dyDescent="0.25">
      <c r="A158" s="1" t="s">
        <v>1476</v>
      </c>
      <c r="B158" s="1" t="s">
        <v>118</v>
      </c>
      <c r="C158">
        <v>-6.0864269999999996</v>
      </c>
      <c r="D158">
        <v>19.922181999999999</v>
      </c>
      <c r="E158" s="1" t="s">
        <v>1423</v>
      </c>
      <c r="F158" s="1" t="s">
        <v>1427</v>
      </c>
      <c r="G158" s="1" t="s">
        <v>1468</v>
      </c>
    </row>
    <row r="159" spans="1:7" x14ac:dyDescent="0.25">
      <c r="A159" s="1" t="s">
        <v>1202</v>
      </c>
      <c r="B159" s="1" t="s">
        <v>118</v>
      </c>
      <c r="C159">
        <v>1.2391989999999999</v>
      </c>
      <c r="D159">
        <v>15.386718999999999</v>
      </c>
      <c r="E159" s="1" t="s">
        <v>1423</v>
      </c>
      <c r="F159" s="1" t="s">
        <v>1429</v>
      </c>
      <c r="G159" s="1" t="s">
        <v>1468</v>
      </c>
    </row>
    <row r="160" spans="1:7" x14ac:dyDescent="0.25">
      <c r="A160" s="1" t="s">
        <v>1477</v>
      </c>
      <c r="B160" s="1" t="s">
        <v>59</v>
      </c>
      <c r="C160">
        <v>-3.7900040000000002</v>
      </c>
      <c r="D160">
        <v>24.769718999999998</v>
      </c>
      <c r="E160" s="1" t="s">
        <v>1423</v>
      </c>
      <c r="F160" s="1" t="s">
        <v>1427</v>
      </c>
      <c r="G160" s="1" t="s">
        <v>1468</v>
      </c>
    </row>
    <row r="161" spans="1:7" x14ac:dyDescent="0.25">
      <c r="A161" s="1" t="s">
        <v>764</v>
      </c>
      <c r="B161" s="1" t="s">
        <v>68</v>
      </c>
      <c r="C161">
        <v>-6.1837850000000003</v>
      </c>
      <c r="D161">
        <v>25.138759</v>
      </c>
      <c r="E161" s="1" t="s">
        <v>1428</v>
      </c>
      <c r="F161" s="1" t="s">
        <v>1424</v>
      </c>
      <c r="G161" s="1" t="s">
        <v>1468</v>
      </c>
    </row>
    <row r="162" spans="1:7" x14ac:dyDescent="0.25">
      <c r="A162" s="1" t="s">
        <v>1200</v>
      </c>
      <c r="B162" s="1" t="s">
        <v>57</v>
      </c>
      <c r="C162">
        <v>-6.1490739999999997</v>
      </c>
      <c r="D162">
        <v>23.304411000000002</v>
      </c>
      <c r="E162" s="1" t="s">
        <v>1423</v>
      </c>
      <c r="F162" s="1" t="s">
        <v>1429</v>
      </c>
      <c r="G162" s="1" t="s">
        <v>1468</v>
      </c>
    </row>
    <row r="163" spans="1:7" x14ac:dyDescent="0.25">
      <c r="A163" s="1" t="s">
        <v>797</v>
      </c>
      <c r="B163" s="1" t="s">
        <v>122</v>
      </c>
      <c r="C163">
        <v>0.82868600000000003</v>
      </c>
      <c r="D163">
        <v>26.958843999999999</v>
      </c>
      <c r="E163" s="1" t="s">
        <v>1423</v>
      </c>
      <c r="F163" s="1" t="s">
        <v>1429</v>
      </c>
      <c r="G163" s="1" t="s">
        <v>1468</v>
      </c>
    </row>
    <row r="164" spans="1:7" x14ac:dyDescent="0.25">
      <c r="A164" s="1" t="s">
        <v>739</v>
      </c>
      <c r="B164" s="1" t="s">
        <v>59</v>
      </c>
      <c r="C164">
        <v>-2.8211520000000001</v>
      </c>
      <c r="D164">
        <v>20.651419000000001</v>
      </c>
      <c r="E164" s="1" t="s">
        <v>1423</v>
      </c>
      <c r="F164" s="1" t="s">
        <v>1424</v>
      </c>
      <c r="G164" s="1" t="s">
        <v>1468</v>
      </c>
    </row>
    <row r="165" spans="1:7" x14ac:dyDescent="0.25">
      <c r="A165" s="1" t="s">
        <v>1355</v>
      </c>
      <c r="B165" s="1" t="s">
        <v>122</v>
      </c>
      <c r="C165">
        <v>-10.298385</v>
      </c>
      <c r="D165">
        <v>29.698117</v>
      </c>
      <c r="E165" s="1" t="s">
        <v>1423</v>
      </c>
      <c r="F165" s="1" t="s">
        <v>1435</v>
      </c>
      <c r="G165" s="1" t="s">
        <v>1468</v>
      </c>
    </row>
    <row r="166" spans="1:7" x14ac:dyDescent="0.25">
      <c r="A166" s="1" t="s">
        <v>1478</v>
      </c>
      <c r="B166" s="1" t="s">
        <v>68</v>
      </c>
      <c r="C166">
        <v>2.6387339999999999</v>
      </c>
      <c r="D166">
        <v>13.769399</v>
      </c>
      <c r="E166" s="1" t="s">
        <v>1426</v>
      </c>
      <c r="F166" s="1" t="s">
        <v>1427</v>
      </c>
      <c r="G166" s="1" t="s">
        <v>1468</v>
      </c>
    </row>
    <row r="167" spans="1:7" x14ac:dyDescent="0.25">
      <c r="A167" s="1" t="s">
        <v>872</v>
      </c>
      <c r="B167" s="1" t="s">
        <v>126</v>
      </c>
      <c r="C167">
        <v>-9.7803979999999999</v>
      </c>
      <c r="D167">
        <v>17.686595000000001</v>
      </c>
      <c r="E167" s="1" t="s">
        <v>1426</v>
      </c>
      <c r="F167" s="1" t="s">
        <v>1424</v>
      </c>
      <c r="G167" s="1" t="s">
        <v>1468</v>
      </c>
    </row>
    <row r="168" spans="1:7" x14ac:dyDescent="0.25">
      <c r="A168" s="1" t="s">
        <v>1480</v>
      </c>
      <c r="B168" s="1" t="s">
        <v>20</v>
      </c>
      <c r="C168">
        <v>-6.8779139999999996</v>
      </c>
      <c r="D168">
        <v>12.550860999999999</v>
      </c>
      <c r="E168" s="1" t="s">
        <v>1423</v>
      </c>
      <c r="F168" s="1" t="s">
        <v>1429</v>
      </c>
      <c r="G168" s="1" t="s">
        <v>1479</v>
      </c>
    </row>
    <row r="169" spans="1:7" x14ac:dyDescent="0.25">
      <c r="A169" s="1" t="s">
        <v>1481</v>
      </c>
      <c r="B169" s="1" t="s">
        <v>37</v>
      </c>
      <c r="C169">
        <v>-4.2975050000000001</v>
      </c>
      <c r="D169">
        <v>29.162555999999999</v>
      </c>
      <c r="E169" s="1" t="s">
        <v>1423</v>
      </c>
      <c r="F169" s="1" t="s">
        <v>1424</v>
      </c>
      <c r="G169" s="1" t="s">
        <v>1479</v>
      </c>
    </row>
    <row r="170" spans="1:7" x14ac:dyDescent="0.25">
      <c r="A170" s="1" t="s">
        <v>1482</v>
      </c>
      <c r="B170" s="1" t="s">
        <v>41</v>
      </c>
      <c r="C170">
        <v>2.7298239999999998</v>
      </c>
      <c r="D170">
        <v>12.958664000000001</v>
      </c>
      <c r="E170" s="1" t="s">
        <v>1428</v>
      </c>
      <c r="F170" s="1" t="s">
        <v>1429</v>
      </c>
      <c r="G170" s="1" t="s">
        <v>1479</v>
      </c>
    </row>
    <row r="171" spans="1:7" x14ac:dyDescent="0.25">
      <c r="A171" s="1" t="s">
        <v>1483</v>
      </c>
      <c r="B171" s="1" t="s">
        <v>62</v>
      </c>
      <c r="C171">
        <v>-7.4135429999999998</v>
      </c>
      <c r="D171">
        <v>19.288392999999999</v>
      </c>
      <c r="E171" s="1" t="s">
        <v>1426</v>
      </c>
      <c r="F171" s="1" t="s">
        <v>1435</v>
      </c>
      <c r="G171" s="1" t="s">
        <v>1479</v>
      </c>
    </row>
    <row r="172" spans="1:7" x14ac:dyDescent="0.25">
      <c r="A172" s="1" t="s">
        <v>1364</v>
      </c>
      <c r="B172" s="1" t="s">
        <v>61</v>
      </c>
      <c r="C172">
        <v>-7.1079169999999996</v>
      </c>
      <c r="D172">
        <v>13.636272</v>
      </c>
      <c r="E172" s="1" t="s">
        <v>1423</v>
      </c>
      <c r="F172" s="1" t="s">
        <v>1435</v>
      </c>
      <c r="G172" s="1" t="s">
        <v>1479</v>
      </c>
    </row>
    <row r="173" spans="1:7" x14ac:dyDescent="0.25">
      <c r="A173" s="1" t="s">
        <v>1484</v>
      </c>
      <c r="B173" s="1" t="s">
        <v>72</v>
      </c>
      <c r="C173">
        <v>0.850665</v>
      </c>
      <c r="D173">
        <v>19.446418000000001</v>
      </c>
      <c r="E173" s="1" t="s">
        <v>1426</v>
      </c>
      <c r="F173" s="1" t="s">
        <v>1427</v>
      </c>
      <c r="G173" s="1" t="s">
        <v>1479</v>
      </c>
    </row>
    <row r="174" spans="1:7" x14ac:dyDescent="0.25">
      <c r="A174" s="1" t="s">
        <v>1273</v>
      </c>
      <c r="B174" s="1" t="s">
        <v>122</v>
      </c>
      <c r="C174">
        <v>-11.231472</v>
      </c>
      <c r="D174">
        <v>25.388874000000001</v>
      </c>
      <c r="E174" s="1" t="s">
        <v>1426</v>
      </c>
      <c r="F174" s="1" t="s">
        <v>1427</v>
      </c>
      <c r="G174" s="1" t="s">
        <v>1479</v>
      </c>
    </row>
    <row r="175" spans="1:7" x14ac:dyDescent="0.25">
      <c r="A175" s="1" t="s">
        <v>1026</v>
      </c>
      <c r="B175" s="1" t="s">
        <v>15</v>
      </c>
      <c r="C175">
        <v>4.6809229999999999</v>
      </c>
      <c r="D175">
        <v>28.934242000000001</v>
      </c>
      <c r="E175" s="1" t="s">
        <v>1423</v>
      </c>
      <c r="F175" s="1" t="s">
        <v>1435</v>
      </c>
      <c r="G175" s="1" t="s">
        <v>1479</v>
      </c>
    </row>
    <row r="176" spans="1:7" x14ac:dyDescent="0.25">
      <c r="A176" s="1" t="s">
        <v>1485</v>
      </c>
      <c r="B176" s="1" t="s">
        <v>57</v>
      </c>
      <c r="C176">
        <v>-3.7093609999999999</v>
      </c>
      <c r="D176">
        <v>23.959942999999999</v>
      </c>
      <c r="E176" s="1" t="s">
        <v>1426</v>
      </c>
      <c r="F176" s="1" t="s">
        <v>1427</v>
      </c>
      <c r="G176" s="1" t="s">
        <v>1479</v>
      </c>
    </row>
    <row r="177" spans="1:7" x14ac:dyDescent="0.25">
      <c r="A177" s="1" t="s">
        <v>1079</v>
      </c>
      <c r="B177" s="1" t="s">
        <v>27</v>
      </c>
      <c r="C177">
        <v>4.8689660000000003</v>
      </c>
      <c r="D177">
        <v>25.112373000000002</v>
      </c>
      <c r="E177" s="1" t="s">
        <v>1428</v>
      </c>
      <c r="F177" s="1" t="s">
        <v>1427</v>
      </c>
      <c r="G177" s="1" t="s">
        <v>1479</v>
      </c>
    </row>
    <row r="178" spans="1:7" x14ac:dyDescent="0.25">
      <c r="A178" s="1" t="s">
        <v>816</v>
      </c>
      <c r="B178" s="1" t="s">
        <v>83</v>
      </c>
      <c r="C178">
        <v>-9.3066320000000005</v>
      </c>
      <c r="D178">
        <v>20.470889</v>
      </c>
      <c r="E178" s="1" t="s">
        <v>1423</v>
      </c>
      <c r="F178" s="1" t="s">
        <v>1429</v>
      </c>
      <c r="G178" s="1" t="s">
        <v>1479</v>
      </c>
    </row>
    <row r="179" spans="1:7" x14ac:dyDescent="0.25">
      <c r="A179" s="1" t="s">
        <v>941</v>
      </c>
      <c r="B179" s="1" t="s">
        <v>29</v>
      </c>
      <c r="C179">
        <v>-12.342053999999999</v>
      </c>
      <c r="D179">
        <v>18.756862000000002</v>
      </c>
      <c r="E179" s="1" t="s">
        <v>1428</v>
      </c>
      <c r="F179" s="1" t="s">
        <v>1424</v>
      </c>
      <c r="G179" s="1" t="s">
        <v>1479</v>
      </c>
    </row>
    <row r="180" spans="1:7" x14ac:dyDescent="0.25">
      <c r="A180" s="1" t="s">
        <v>1331</v>
      </c>
      <c r="B180" s="1" t="s">
        <v>27</v>
      </c>
      <c r="C180">
        <v>2.5665840000000002</v>
      </c>
      <c r="D180">
        <v>15.764796</v>
      </c>
      <c r="E180" s="1" t="s">
        <v>1428</v>
      </c>
      <c r="F180" s="1" t="s">
        <v>1429</v>
      </c>
      <c r="G180" s="1" t="s">
        <v>1479</v>
      </c>
    </row>
    <row r="181" spans="1:7" x14ac:dyDescent="0.25">
      <c r="A181" s="1" t="s">
        <v>810</v>
      </c>
      <c r="B181" s="1" t="s">
        <v>29</v>
      </c>
      <c r="C181">
        <v>-10.914952</v>
      </c>
      <c r="D181">
        <v>26.409648000000001</v>
      </c>
      <c r="E181" s="1" t="s">
        <v>1426</v>
      </c>
      <c r="F181" s="1" t="s">
        <v>1427</v>
      </c>
      <c r="G181" s="1" t="s">
        <v>1479</v>
      </c>
    </row>
    <row r="182" spans="1:7" x14ac:dyDescent="0.25">
      <c r="A182" s="1" t="s">
        <v>1226</v>
      </c>
      <c r="B182" s="1" t="s">
        <v>48</v>
      </c>
      <c r="C182">
        <v>-7.402336</v>
      </c>
      <c r="D182">
        <v>27.376697</v>
      </c>
      <c r="E182" s="1" t="s">
        <v>1426</v>
      </c>
      <c r="F182" s="1" t="s">
        <v>1427</v>
      </c>
      <c r="G182" s="1" t="s">
        <v>1479</v>
      </c>
    </row>
    <row r="183" spans="1:7" x14ac:dyDescent="0.25">
      <c r="A183" s="1" t="s">
        <v>1486</v>
      </c>
      <c r="B183" s="1" t="s">
        <v>23</v>
      </c>
      <c r="C183">
        <v>-12.207461</v>
      </c>
      <c r="D183">
        <v>13.492367</v>
      </c>
      <c r="E183" s="1" t="s">
        <v>1428</v>
      </c>
      <c r="F183" s="1" t="s">
        <v>1424</v>
      </c>
      <c r="G183" s="1" t="s">
        <v>1479</v>
      </c>
    </row>
    <row r="184" spans="1:7" x14ac:dyDescent="0.25">
      <c r="A184" s="1" t="s">
        <v>1487</v>
      </c>
      <c r="B184" s="1" t="s">
        <v>126</v>
      </c>
      <c r="C184">
        <v>2.266232</v>
      </c>
      <c r="D184">
        <v>29.532896000000001</v>
      </c>
      <c r="E184" s="1" t="s">
        <v>1426</v>
      </c>
      <c r="F184" s="1" t="s">
        <v>1424</v>
      </c>
      <c r="G184" s="1" t="s">
        <v>1479</v>
      </c>
    </row>
    <row r="185" spans="1:7" x14ac:dyDescent="0.25">
      <c r="A185" s="1" t="s">
        <v>1488</v>
      </c>
      <c r="B185" s="1" t="s">
        <v>33</v>
      </c>
      <c r="C185">
        <v>2.6937519999999999</v>
      </c>
      <c r="D185">
        <v>26.524137</v>
      </c>
      <c r="E185" s="1" t="s">
        <v>1428</v>
      </c>
      <c r="F185" s="1" t="s">
        <v>1424</v>
      </c>
      <c r="G185" s="1" t="s">
        <v>1479</v>
      </c>
    </row>
    <row r="186" spans="1:7" x14ac:dyDescent="0.25">
      <c r="A186" s="1" t="s">
        <v>1353</v>
      </c>
      <c r="B186" s="1" t="s">
        <v>35</v>
      </c>
      <c r="C186">
        <v>-7.0007840000000003</v>
      </c>
      <c r="D186">
        <v>22.787997000000001</v>
      </c>
      <c r="E186" s="1" t="s">
        <v>1423</v>
      </c>
      <c r="F186" s="1" t="s">
        <v>1429</v>
      </c>
      <c r="G186" s="1" t="s">
        <v>1479</v>
      </c>
    </row>
    <row r="187" spans="1:7" x14ac:dyDescent="0.25">
      <c r="A187" s="1" t="s">
        <v>1489</v>
      </c>
      <c r="B187" s="1" t="s">
        <v>72</v>
      </c>
      <c r="C187">
        <v>3.0053459999999999</v>
      </c>
      <c r="D187">
        <v>13.765407</v>
      </c>
      <c r="E187" s="1" t="s">
        <v>1423</v>
      </c>
      <c r="F187" s="1" t="s">
        <v>1424</v>
      </c>
      <c r="G187" s="1" t="s">
        <v>1479</v>
      </c>
    </row>
    <row r="188" spans="1:7" x14ac:dyDescent="0.25">
      <c r="A188" s="1" t="s">
        <v>731</v>
      </c>
      <c r="B188" s="1" t="s">
        <v>35</v>
      </c>
      <c r="C188">
        <v>-11.144149000000001</v>
      </c>
      <c r="D188">
        <v>27.244658999999999</v>
      </c>
      <c r="E188" s="1" t="s">
        <v>1426</v>
      </c>
      <c r="F188" s="1" t="s">
        <v>1435</v>
      </c>
      <c r="G188" s="1" t="s">
        <v>1479</v>
      </c>
    </row>
    <row r="189" spans="1:7" x14ac:dyDescent="0.25">
      <c r="A189" s="1" t="s">
        <v>864</v>
      </c>
      <c r="B189" s="1" t="s">
        <v>59</v>
      </c>
      <c r="C189">
        <v>0.79124300000000003</v>
      </c>
      <c r="D189">
        <v>25.273389000000002</v>
      </c>
      <c r="E189" s="1" t="s">
        <v>1426</v>
      </c>
      <c r="F189" s="1" t="s">
        <v>1435</v>
      </c>
      <c r="G189" s="1" t="s">
        <v>1479</v>
      </c>
    </row>
    <row r="190" spans="1:7" x14ac:dyDescent="0.25">
      <c r="A190" s="1" t="s">
        <v>1490</v>
      </c>
      <c r="B190" s="1" t="s">
        <v>62</v>
      </c>
      <c r="C190">
        <v>0.419985</v>
      </c>
      <c r="D190">
        <v>13.847996999999999</v>
      </c>
      <c r="E190" s="1" t="s">
        <v>1423</v>
      </c>
      <c r="F190" s="1" t="s">
        <v>1429</v>
      </c>
      <c r="G190" s="1" t="s">
        <v>1479</v>
      </c>
    </row>
    <row r="191" spans="1:7" x14ac:dyDescent="0.25">
      <c r="A191" s="1" t="s">
        <v>1213</v>
      </c>
      <c r="B191" s="1" t="s">
        <v>9</v>
      </c>
      <c r="C191">
        <v>-12.595355</v>
      </c>
      <c r="D191">
        <v>17.897442000000002</v>
      </c>
      <c r="E191" s="1" t="s">
        <v>1426</v>
      </c>
      <c r="F191" s="1" t="s">
        <v>1427</v>
      </c>
      <c r="G191" s="1" t="s">
        <v>1479</v>
      </c>
    </row>
    <row r="192" spans="1:7" x14ac:dyDescent="0.25">
      <c r="A192" s="1" t="s">
        <v>1232</v>
      </c>
      <c r="B192" s="1" t="s">
        <v>37</v>
      </c>
      <c r="C192">
        <v>0.65288900000000005</v>
      </c>
      <c r="D192">
        <v>24.243953999999999</v>
      </c>
      <c r="E192" s="1" t="s">
        <v>1423</v>
      </c>
      <c r="F192" s="1" t="s">
        <v>1424</v>
      </c>
      <c r="G192" s="1" t="s">
        <v>1479</v>
      </c>
    </row>
    <row r="193" spans="1:7" x14ac:dyDescent="0.25">
      <c r="A193" s="1" t="s">
        <v>1260</v>
      </c>
      <c r="B193" s="1" t="s">
        <v>24</v>
      </c>
      <c r="C193">
        <v>-1.500685</v>
      </c>
      <c r="D193">
        <v>26.563376000000002</v>
      </c>
      <c r="E193" s="1" t="s">
        <v>1423</v>
      </c>
      <c r="F193" s="1" t="s">
        <v>1435</v>
      </c>
      <c r="G193" s="1" t="s">
        <v>1479</v>
      </c>
    </row>
    <row r="194" spans="1:7" x14ac:dyDescent="0.25">
      <c r="A194" s="1" t="s">
        <v>1491</v>
      </c>
      <c r="B194" s="1" t="s">
        <v>54</v>
      </c>
      <c r="C194">
        <v>-9.2227779999999999</v>
      </c>
      <c r="D194">
        <v>20.940372</v>
      </c>
      <c r="E194" s="1" t="s">
        <v>1428</v>
      </c>
      <c r="F194" s="1" t="s">
        <v>1424</v>
      </c>
      <c r="G194" s="1" t="s">
        <v>1479</v>
      </c>
    </row>
    <row r="195" spans="1:7" x14ac:dyDescent="0.25">
      <c r="A195" s="1" t="s">
        <v>964</v>
      </c>
      <c r="B195" s="1" t="s">
        <v>20</v>
      </c>
      <c r="C195">
        <v>-9.3900009999999998</v>
      </c>
      <c r="D195">
        <v>30.001517</v>
      </c>
      <c r="E195" s="1" t="s">
        <v>1428</v>
      </c>
      <c r="F195" s="1" t="s">
        <v>1435</v>
      </c>
      <c r="G195" s="1" t="s">
        <v>1479</v>
      </c>
    </row>
    <row r="196" spans="1:7" x14ac:dyDescent="0.25">
      <c r="A196" s="1" t="s">
        <v>1492</v>
      </c>
      <c r="B196" s="1" t="s">
        <v>118</v>
      </c>
      <c r="C196">
        <v>-7.8417870000000001</v>
      </c>
      <c r="D196">
        <v>14.730712</v>
      </c>
      <c r="E196" s="1" t="s">
        <v>1423</v>
      </c>
      <c r="F196" s="1" t="s">
        <v>1435</v>
      </c>
      <c r="G196" s="1" t="s">
        <v>1479</v>
      </c>
    </row>
    <row r="197" spans="1:7" x14ac:dyDescent="0.25">
      <c r="A197" s="1" t="s">
        <v>1493</v>
      </c>
      <c r="B197" s="1" t="s">
        <v>33</v>
      </c>
      <c r="C197">
        <v>-3.419035</v>
      </c>
      <c r="D197">
        <v>29.018315999999999</v>
      </c>
      <c r="E197" s="1" t="s">
        <v>1423</v>
      </c>
      <c r="F197" s="1" t="s">
        <v>1424</v>
      </c>
      <c r="G197" s="1" t="s">
        <v>1479</v>
      </c>
    </row>
    <row r="198" spans="1:7" x14ac:dyDescent="0.25">
      <c r="A198" s="1" t="s">
        <v>1494</v>
      </c>
      <c r="B198" s="1" t="s">
        <v>31</v>
      </c>
      <c r="C198">
        <v>0.91016799999999998</v>
      </c>
      <c r="D198">
        <v>16.903002999999998</v>
      </c>
      <c r="E198" s="1" t="s">
        <v>1428</v>
      </c>
      <c r="F198" s="1" t="s">
        <v>1435</v>
      </c>
      <c r="G198" s="1" t="s">
        <v>1479</v>
      </c>
    </row>
    <row r="199" spans="1:7" x14ac:dyDescent="0.25">
      <c r="A199" s="1" t="s">
        <v>1318</v>
      </c>
      <c r="B199" s="1" t="s">
        <v>68</v>
      </c>
      <c r="C199">
        <v>-0.919767</v>
      </c>
      <c r="D199">
        <v>18.905538</v>
      </c>
      <c r="E199" s="1" t="s">
        <v>1423</v>
      </c>
      <c r="F199" s="1" t="s">
        <v>1424</v>
      </c>
      <c r="G199" s="1" t="s">
        <v>1479</v>
      </c>
    </row>
    <row r="200" spans="1:7" x14ac:dyDescent="0.25">
      <c r="A200" s="1" t="s">
        <v>834</v>
      </c>
      <c r="B200" s="1" t="s">
        <v>33</v>
      </c>
      <c r="C200">
        <v>-8.0922239999999999</v>
      </c>
      <c r="D200">
        <v>15.483708</v>
      </c>
      <c r="E200" s="1" t="s">
        <v>1423</v>
      </c>
      <c r="F200" s="1" t="s">
        <v>1435</v>
      </c>
      <c r="G200" s="1" t="s">
        <v>1479</v>
      </c>
    </row>
    <row r="201" spans="1:7" x14ac:dyDescent="0.25">
      <c r="A201" s="1" t="s">
        <v>970</v>
      </c>
      <c r="B201" s="1" t="s">
        <v>27</v>
      </c>
      <c r="C201">
        <v>-10.165072</v>
      </c>
      <c r="D201">
        <v>29.428024000000001</v>
      </c>
      <c r="E201" s="1" t="s">
        <v>1423</v>
      </c>
      <c r="F201" s="1" t="s">
        <v>1427</v>
      </c>
      <c r="G201" s="1" t="s">
        <v>1479</v>
      </c>
    </row>
    <row r="202" spans="1:7" x14ac:dyDescent="0.25">
      <c r="A202" s="1" t="s">
        <v>1164</v>
      </c>
      <c r="B202" s="1" t="s">
        <v>48</v>
      </c>
      <c r="C202">
        <v>-10.939712999999999</v>
      </c>
      <c r="D202">
        <v>18.276230999999999</v>
      </c>
      <c r="E202" s="1" t="s">
        <v>1426</v>
      </c>
      <c r="F202" s="1" t="s">
        <v>1429</v>
      </c>
      <c r="G202" s="1" t="s">
        <v>1479</v>
      </c>
    </row>
    <row r="203" spans="1:7" x14ac:dyDescent="0.25">
      <c r="A203" s="1" t="s">
        <v>1358</v>
      </c>
      <c r="B203" s="1" t="s">
        <v>23</v>
      </c>
      <c r="C203">
        <v>-2.926736</v>
      </c>
      <c r="D203">
        <v>18.170461</v>
      </c>
      <c r="E203" s="1" t="s">
        <v>1423</v>
      </c>
      <c r="F203" s="1" t="s">
        <v>1424</v>
      </c>
      <c r="G203" s="1" t="s">
        <v>1479</v>
      </c>
    </row>
    <row r="204" spans="1:7" x14ac:dyDescent="0.25">
      <c r="A204" s="1" t="s">
        <v>1178</v>
      </c>
      <c r="B204" s="1" t="s">
        <v>59</v>
      </c>
      <c r="C204">
        <v>-11.157245</v>
      </c>
      <c r="D204">
        <v>21.262627999999999</v>
      </c>
      <c r="E204" s="1" t="s">
        <v>1423</v>
      </c>
      <c r="F204" s="1" t="s">
        <v>1429</v>
      </c>
      <c r="G204" s="1" t="s">
        <v>1479</v>
      </c>
    </row>
    <row r="205" spans="1:7" x14ac:dyDescent="0.25">
      <c r="A205" s="1" t="s">
        <v>1495</v>
      </c>
      <c r="B205" s="1" t="s">
        <v>126</v>
      </c>
      <c r="C205">
        <v>-3.234483</v>
      </c>
      <c r="D205">
        <v>13.241939</v>
      </c>
      <c r="E205" s="1" t="s">
        <v>1426</v>
      </c>
      <c r="F205" s="1" t="s">
        <v>1429</v>
      </c>
      <c r="G205" s="1" t="s">
        <v>1479</v>
      </c>
    </row>
    <row r="206" spans="1:7" x14ac:dyDescent="0.25">
      <c r="A206" s="1" t="s">
        <v>878</v>
      </c>
      <c r="B206" s="1" t="s">
        <v>31</v>
      </c>
      <c r="C206">
        <v>-3.111418</v>
      </c>
      <c r="D206">
        <v>14.144854</v>
      </c>
      <c r="E206" s="1" t="s">
        <v>1426</v>
      </c>
      <c r="F206" s="1" t="s">
        <v>1429</v>
      </c>
      <c r="G206" s="1" t="s">
        <v>1479</v>
      </c>
    </row>
    <row r="207" spans="1:7" x14ac:dyDescent="0.25">
      <c r="A207" s="1" t="s">
        <v>1151</v>
      </c>
      <c r="B207" s="1" t="s">
        <v>61</v>
      </c>
      <c r="C207">
        <v>-2.6665070000000002</v>
      </c>
      <c r="D207">
        <v>18.623692999999999</v>
      </c>
      <c r="E207" s="1" t="s">
        <v>1428</v>
      </c>
      <c r="F207" s="1" t="s">
        <v>1429</v>
      </c>
      <c r="G207" s="1" t="s">
        <v>1479</v>
      </c>
    </row>
    <row r="208" spans="1:7" x14ac:dyDescent="0.25">
      <c r="A208" s="1" t="s">
        <v>1360</v>
      </c>
      <c r="B208" s="1" t="s">
        <v>24</v>
      </c>
      <c r="C208">
        <v>-7.3952039999999997</v>
      </c>
      <c r="D208">
        <v>21.651043999999999</v>
      </c>
      <c r="E208" s="1" t="s">
        <v>1426</v>
      </c>
      <c r="F208" s="1" t="s">
        <v>1427</v>
      </c>
      <c r="G208" s="1" t="s">
        <v>1479</v>
      </c>
    </row>
    <row r="209" spans="1:7" x14ac:dyDescent="0.25">
      <c r="A209" s="1" t="s">
        <v>885</v>
      </c>
      <c r="B209" s="1" t="s">
        <v>68</v>
      </c>
      <c r="C209">
        <v>3.0603760000000002</v>
      </c>
      <c r="D209">
        <v>19.708034000000001</v>
      </c>
      <c r="E209" s="1" t="s">
        <v>1428</v>
      </c>
      <c r="F209" s="1" t="s">
        <v>1429</v>
      </c>
      <c r="G209" s="1" t="s">
        <v>1479</v>
      </c>
    </row>
    <row r="210" spans="1:7" x14ac:dyDescent="0.25">
      <c r="A210" s="1" t="s">
        <v>1496</v>
      </c>
      <c r="B210" s="1" t="s">
        <v>41</v>
      </c>
      <c r="C210">
        <v>-3.269612</v>
      </c>
      <c r="D210">
        <v>25.571189</v>
      </c>
      <c r="E210" s="1" t="s">
        <v>1423</v>
      </c>
      <c r="F210" s="1" t="s">
        <v>1424</v>
      </c>
      <c r="G210" s="1" t="s">
        <v>1479</v>
      </c>
    </row>
    <row r="211" spans="1:7" x14ac:dyDescent="0.25">
      <c r="A211" s="1" t="s">
        <v>1497</v>
      </c>
      <c r="B211" s="1" t="s">
        <v>31</v>
      </c>
      <c r="C211">
        <v>-12.086929</v>
      </c>
      <c r="D211">
        <v>14.032645</v>
      </c>
      <c r="E211" s="1" t="s">
        <v>1428</v>
      </c>
      <c r="F211" s="1" t="s">
        <v>1429</v>
      </c>
      <c r="G211" s="1" t="s">
        <v>1479</v>
      </c>
    </row>
    <row r="212" spans="1:7" x14ac:dyDescent="0.25">
      <c r="A212" s="1" t="s">
        <v>796</v>
      </c>
      <c r="B212" s="1" t="s">
        <v>37</v>
      </c>
      <c r="C212">
        <v>-10.963041</v>
      </c>
      <c r="D212">
        <v>12.269857</v>
      </c>
      <c r="E212" s="1" t="s">
        <v>1426</v>
      </c>
      <c r="F212" s="1" t="s">
        <v>1427</v>
      </c>
      <c r="G212" s="1" t="s">
        <v>1498</v>
      </c>
    </row>
    <row r="213" spans="1:7" x14ac:dyDescent="0.25">
      <c r="A213" s="1" t="s">
        <v>1499</v>
      </c>
      <c r="B213" s="1" t="s">
        <v>15</v>
      </c>
      <c r="C213">
        <v>-4.332408</v>
      </c>
      <c r="D213">
        <v>14.119439</v>
      </c>
      <c r="E213" s="1" t="s">
        <v>1423</v>
      </c>
      <c r="F213" s="1" t="s">
        <v>1435</v>
      </c>
      <c r="G213" s="1" t="s">
        <v>1498</v>
      </c>
    </row>
    <row r="214" spans="1:7" x14ac:dyDescent="0.25">
      <c r="A214" s="1" t="s">
        <v>1242</v>
      </c>
      <c r="B214" s="1" t="s">
        <v>61</v>
      </c>
      <c r="C214">
        <v>-0.57104900000000003</v>
      </c>
      <c r="D214">
        <v>15.317663</v>
      </c>
      <c r="E214" s="1" t="s">
        <v>1423</v>
      </c>
      <c r="F214" s="1" t="s">
        <v>1435</v>
      </c>
      <c r="G214" s="1" t="s">
        <v>1498</v>
      </c>
    </row>
    <row r="215" spans="1:7" x14ac:dyDescent="0.25">
      <c r="A215" s="1" t="s">
        <v>911</v>
      </c>
      <c r="B215" s="1" t="s">
        <v>41</v>
      </c>
      <c r="C215">
        <v>-10.442425</v>
      </c>
      <c r="D215">
        <v>23.243632000000002</v>
      </c>
      <c r="E215" s="1" t="s">
        <v>1426</v>
      </c>
      <c r="F215" s="1" t="s">
        <v>1435</v>
      </c>
      <c r="G215" s="1" t="s">
        <v>1498</v>
      </c>
    </row>
    <row r="216" spans="1:7" x14ac:dyDescent="0.25">
      <c r="A216" s="1" t="s">
        <v>1032</v>
      </c>
      <c r="B216" s="1" t="s">
        <v>17</v>
      </c>
      <c r="C216">
        <v>0.16327700000000001</v>
      </c>
      <c r="D216">
        <v>14.871577</v>
      </c>
      <c r="E216" s="1" t="s">
        <v>1426</v>
      </c>
      <c r="F216" s="1" t="s">
        <v>1427</v>
      </c>
      <c r="G216" s="1" t="s">
        <v>1498</v>
      </c>
    </row>
    <row r="217" spans="1:7" x14ac:dyDescent="0.25">
      <c r="A217" s="1" t="s">
        <v>1500</v>
      </c>
      <c r="B217" s="1" t="s">
        <v>12</v>
      </c>
      <c r="C217">
        <v>4.7060310000000003</v>
      </c>
      <c r="D217">
        <v>27.348973000000001</v>
      </c>
      <c r="E217" s="1" t="s">
        <v>1426</v>
      </c>
      <c r="F217" s="1" t="s">
        <v>1427</v>
      </c>
      <c r="G217" s="1" t="s">
        <v>1498</v>
      </c>
    </row>
    <row r="218" spans="1:7" x14ac:dyDescent="0.25">
      <c r="A218" s="1" t="s">
        <v>1501</v>
      </c>
      <c r="B218" s="1" t="s">
        <v>9</v>
      </c>
      <c r="C218">
        <v>1.019657</v>
      </c>
      <c r="D218">
        <v>16.963799000000002</v>
      </c>
      <c r="E218" s="1" t="s">
        <v>1428</v>
      </c>
      <c r="F218" s="1" t="s">
        <v>1435</v>
      </c>
      <c r="G218" s="1" t="s">
        <v>1498</v>
      </c>
    </row>
    <row r="219" spans="1:7" x14ac:dyDescent="0.25">
      <c r="A219" s="1" t="s">
        <v>1354</v>
      </c>
      <c r="B219" s="1" t="s">
        <v>41</v>
      </c>
      <c r="C219">
        <v>-4.6311460000000002</v>
      </c>
      <c r="D219">
        <v>25.314723000000001</v>
      </c>
      <c r="E219" s="1" t="s">
        <v>1426</v>
      </c>
      <c r="F219" s="1" t="s">
        <v>1427</v>
      </c>
      <c r="G219" s="1" t="s">
        <v>1498</v>
      </c>
    </row>
    <row r="220" spans="1:7" x14ac:dyDescent="0.25">
      <c r="A220" s="1" t="s">
        <v>1502</v>
      </c>
      <c r="B220" s="1" t="s">
        <v>37</v>
      </c>
      <c r="C220">
        <v>-11.591777</v>
      </c>
      <c r="D220">
        <v>21.213452</v>
      </c>
      <c r="E220" s="1" t="s">
        <v>1423</v>
      </c>
      <c r="F220" s="1" t="s">
        <v>1424</v>
      </c>
      <c r="G220" s="1" t="s">
        <v>1498</v>
      </c>
    </row>
    <row r="221" spans="1:7" x14ac:dyDescent="0.25">
      <c r="A221" s="1" t="s">
        <v>1503</v>
      </c>
      <c r="B221" s="1" t="s">
        <v>41</v>
      </c>
      <c r="C221">
        <v>3.0184790000000001</v>
      </c>
      <c r="D221">
        <v>27.188068000000001</v>
      </c>
      <c r="E221" s="1" t="s">
        <v>1423</v>
      </c>
      <c r="F221" s="1" t="s">
        <v>1424</v>
      </c>
      <c r="G221" s="1" t="s">
        <v>1498</v>
      </c>
    </row>
    <row r="222" spans="1:7" x14ac:dyDescent="0.25">
      <c r="A222" s="1" t="s">
        <v>1173</v>
      </c>
      <c r="B222" s="1" t="s">
        <v>15</v>
      </c>
      <c r="C222">
        <v>-11.407966</v>
      </c>
      <c r="D222">
        <v>28.378274000000001</v>
      </c>
      <c r="E222" s="1" t="s">
        <v>1426</v>
      </c>
      <c r="F222" s="1" t="s">
        <v>1429</v>
      </c>
      <c r="G222" s="1" t="s">
        <v>1498</v>
      </c>
    </row>
    <row r="223" spans="1:7" x14ac:dyDescent="0.25">
      <c r="A223" s="1" t="s">
        <v>1169</v>
      </c>
      <c r="B223" s="1" t="s">
        <v>23</v>
      </c>
      <c r="C223">
        <v>-4.4958720000000003</v>
      </c>
      <c r="D223">
        <v>18.514112000000001</v>
      </c>
      <c r="E223" s="1" t="s">
        <v>1426</v>
      </c>
      <c r="F223" s="1" t="s">
        <v>1435</v>
      </c>
      <c r="G223" s="1" t="s">
        <v>1498</v>
      </c>
    </row>
    <row r="224" spans="1:7" x14ac:dyDescent="0.25">
      <c r="A224" s="1" t="s">
        <v>1504</v>
      </c>
      <c r="B224" s="1" t="s">
        <v>118</v>
      </c>
      <c r="C224">
        <v>4.2873989999999997</v>
      </c>
      <c r="D224">
        <v>14.756335</v>
      </c>
      <c r="E224" s="1" t="s">
        <v>1423</v>
      </c>
      <c r="F224" s="1" t="s">
        <v>1424</v>
      </c>
      <c r="G224" s="1" t="s">
        <v>1498</v>
      </c>
    </row>
    <row r="225" spans="1:7" x14ac:dyDescent="0.25">
      <c r="A225" s="1" t="s">
        <v>1025</v>
      </c>
      <c r="B225" s="1" t="s">
        <v>23</v>
      </c>
      <c r="C225">
        <v>-11.594525000000001</v>
      </c>
      <c r="D225">
        <v>29.744895</v>
      </c>
      <c r="E225" s="1" t="s">
        <v>1428</v>
      </c>
      <c r="F225" s="1" t="s">
        <v>1429</v>
      </c>
      <c r="G225" s="1" t="s">
        <v>1498</v>
      </c>
    </row>
    <row r="226" spans="1:7" x14ac:dyDescent="0.25">
      <c r="A226" s="1" t="s">
        <v>993</v>
      </c>
      <c r="B226" s="1" t="s">
        <v>35</v>
      </c>
      <c r="C226">
        <v>-1.5936220000000001</v>
      </c>
      <c r="D226">
        <v>14.928856</v>
      </c>
      <c r="E226" s="1" t="s">
        <v>1423</v>
      </c>
      <c r="F226" s="1" t="s">
        <v>1424</v>
      </c>
      <c r="G226" s="1" t="s">
        <v>1498</v>
      </c>
    </row>
    <row r="227" spans="1:7" x14ac:dyDescent="0.25">
      <c r="A227" s="1" t="s">
        <v>1505</v>
      </c>
      <c r="B227" s="1" t="s">
        <v>29</v>
      </c>
      <c r="C227">
        <v>1.3657680000000001</v>
      </c>
      <c r="D227">
        <v>21.423017000000002</v>
      </c>
      <c r="E227" s="1" t="s">
        <v>1423</v>
      </c>
      <c r="F227" s="1" t="s">
        <v>1424</v>
      </c>
      <c r="G227" s="1" t="s">
        <v>1498</v>
      </c>
    </row>
    <row r="228" spans="1:7" x14ac:dyDescent="0.25">
      <c r="A228" s="1" t="s">
        <v>1506</v>
      </c>
      <c r="B228" s="1" t="s">
        <v>9</v>
      </c>
      <c r="C228">
        <v>-7.3750049999999998</v>
      </c>
      <c r="D228">
        <v>30.878126000000002</v>
      </c>
      <c r="E228" s="1" t="s">
        <v>1423</v>
      </c>
      <c r="F228" s="1" t="s">
        <v>1427</v>
      </c>
      <c r="G228" s="1" t="s">
        <v>1498</v>
      </c>
    </row>
    <row r="229" spans="1:7" x14ac:dyDescent="0.25">
      <c r="A229" s="1" t="s">
        <v>1188</v>
      </c>
      <c r="B229" s="1" t="s">
        <v>29</v>
      </c>
      <c r="C229">
        <v>-12.050063</v>
      </c>
      <c r="D229">
        <v>26.636987999999999</v>
      </c>
      <c r="E229" s="1" t="s">
        <v>1428</v>
      </c>
      <c r="F229" s="1" t="s">
        <v>1435</v>
      </c>
      <c r="G229" s="1" t="s">
        <v>1498</v>
      </c>
    </row>
    <row r="230" spans="1:7" x14ac:dyDescent="0.25">
      <c r="A230" s="1" t="s">
        <v>1507</v>
      </c>
      <c r="B230" s="1" t="s">
        <v>27</v>
      </c>
      <c r="C230">
        <v>-6.8161690000000004</v>
      </c>
      <c r="D230">
        <v>16.521000999999998</v>
      </c>
      <c r="E230" s="1" t="s">
        <v>1423</v>
      </c>
      <c r="F230" s="1" t="s">
        <v>1424</v>
      </c>
      <c r="G230" s="1" t="s">
        <v>1498</v>
      </c>
    </row>
    <row r="231" spans="1:7" x14ac:dyDescent="0.25">
      <c r="A231" s="1" t="s">
        <v>1407</v>
      </c>
      <c r="B231" s="1" t="s">
        <v>118</v>
      </c>
      <c r="C231">
        <v>1.0134879999999999</v>
      </c>
      <c r="D231">
        <v>20.363515</v>
      </c>
      <c r="E231" s="1" t="s">
        <v>1426</v>
      </c>
      <c r="F231" s="1" t="s">
        <v>1435</v>
      </c>
      <c r="G231" s="1" t="s">
        <v>1498</v>
      </c>
    </row>
    <row r="232" spans="1:7" x14ac:dyDescent="0.25">
      <c r="A232" s="1" t="s">
        <v>898</v>
      </c>
      <c r="B232" s="1" t="s">
        <v>68</v>
      </c>
      <c r="C232">
        <v>-4.5603610000000003</v>
      </c>
      <c r="D232">
        <v>24.113918999999999</v>
      </c>
      <c r="E232" s="1" t="s">
        <v>1423</v>
      </c>
      <c r="F232" s="1" t="s">
        <v>1429</v>
      </c>
      <c r="G232" s="1" t="s">
        <v>1498</v>
      </c>
    </row>
    <row r="233" spans="1:7" x14ac:dyDescent="0.25">
      <c r="A233" s="1" t="s">
        <v>1005</v>
      </c>
      <c r="B233" s="1" t="s">
        <v>9</v>
      </c>
      <c r="C233">
        <v>-3.7720639999999999</v>
      </c>
      <c r="D233">
        <v>16.006277999999998</v>
      </c>
      <c r="E233" s="1" t="s">
        <v>1423</v>
      </c>
      <c r="F233" s="1" t="s">
        <v>1429</v>
      </c>
      <c r="G233" s="1" t="s">
        <v>1498</v>
      </c>
    </row>
    <row r="234" spans="1:7" x14ac:dyDescent="0.25">
      <c r="A234" s="1" t="s">
        <v>1508</v>
      </c>
      <c r="B234" s="1" t="s">
        <v>57</v>
      </c>
      <c r="C234">
        <v>-4.5538169999999996</v>
      </c>
      <c r="D234">
        <v>25.952860999999999</v>
      </c>
      <c r="E234" s="1" t="s">
        <v>1428</v>
      </c>
      <c r="F234" s="1" t="s">
        <v>1424</v>
      </c>
      <c r="G234" s="1" t="s">
        <v>1498</v>
      </c>
    </row>
    <row r="235" spans="1:7" x14ac:dyDescent="0.25">
      <c r="A235" s="1" t="s">
        <v>1128</v>
      </c>
      <c r="B235" s="1" t="s">
        <v>118</v>
      </c>
      <c r="C235">
        <v>0.20866199999999999</v>
      </c>
      <c r="D235">
        <v>18.556439000000001</v>
      </c>
      <c r="E235" s="1" t="s">
        <v>1426</v>
      </c>
      <c r="F235" s="1" t="s">
        <v>1435</v>
      </c>
      <c r="G235" s="1" t="s">
        <v>1498</v>
      </c>
    </row>
    <row r="236" spans="1:7" x14ac:dyDescent="0.25">
      <c r="A236" s="1" t="s">
        <v>1058</v>
      </c>
      <c r="B236" s="1" t="s">
        <v>20</v>
      </c>
      <c r="C236">
        <v>4.2904629999999999</v>
      </c>
      <c r="D236">
        <v>26.354195000000001</v>
      </c>
      <c r="E236" s="1" t="s">
        <v>1428</v>
      </c>
      <c r="F236" s="1" t="s">
        <v>1424</v>
      </c>
      <c r="G236" s="1" t="s">
        <v>1498</v>
      </c>
    </row>
    <row r="237" spans="1:7" x14ac:dyDescent="0.25">
      <c r="A237" s="1" t="s">
        <v>1509</v>
      </c>
      <c r="B237" s="1" t="s">
        <v>54</v>
      </c>
      <c r="C237">
        <v>1.368018</v>
      </c>
      <c r="D237">
        <v>14.203893000000001</v>
      </c>
      <c r="E237" s="1" t="s">
        <v>1423</v>
      </c>
      <c r="F237" s="1" t="s">
        <v>1427</v>
      </c>
      <c r="G237" s="1" t="s">
        <v>1498</v>
      </c>
    </row>
    <row r="238" spans="1:7" x14ac:dyDescent="0.25">
      <c r="A238" s="1" t="s">
        <v>1510</v>
      </c>
      <c r="B238" s="1" t="s">
        <v>27</v>
      </c>
      <c r="C238">
        <v>-7.7942479999999996</v>
      </c>
      <c r="D238">
        <v>15.184407999999999</v>
      </c>
      <c r="E238" s="1" t="s">
        <v>1428</v>
      </c>
      <c r="F238" s="1" t="s">
        <v>1429</v>
      </c>
      <c r="G238" s="1" t="s">
        <v>1498</v>
      </c>
    </row>
    <row r="239" spans="1:7" x14ac:dyDescent="0.25">
      <c r="A239" s="1" t="s">
        <v>1207</v>
      </c>
      <c r="B239" s="1" t="s">
        <v>9</v>
      </c>
      <c r="C239">
        <v>-12.364127999999999</v>
      </c>
      <c r="D239">
        <v>19.576150999999999</v>
      </c>
      <c r="E239" s="1" t="s">
        <v>1428</v>
      </c>
      <c r="F239" s="1" t="s">
        <v>1435</v>
      </c>
      <c r="G239" s="1" t="s">
        <v>1498</v>
      </c>
    </row>
    <row r="240" spans="1:7" x14ac:dyDescent="0.25">
      <c r="A240" s="1" t="s">
        <v>1215</v>
      </c>
      <c r="B240" s="1" t="s">
        <v>29</v>
      </c>
      <c r="C240">
        <v>3.611561</v>
      </c>
      <c r="D240">
        <v>17.725974999999998</v>
      </c>
      <c r="E240" s="1" t="s">
        <v>1428</v>
      </c>
      <c r="F240" s="1" t="s">
        <v>1429</v>
      </c>
      <c r="G240" s="1" t="s">
        <v>1498</v>
      </c>
    </row>
    <row r="241" spans="1:7" x14ac:dyDescent="0.25">
      <c r="A241" s="1" t="s">
        <v>1157</v>
      </c>
      <c r="B241" s="1" t="s">
        <v>83</v>
      </c>
      <c r="C241">
        <v>8.5490999999999998E-2</v>
      </c>
      <c r="D241">
        <v>26.296129000000001</v>
      </c>
      <c r="E241" s="1" t="s">
        <v>1428</v>
      </c>
      <c r="F241" s="1" t="s">
        <v>1429</v>
      </c>
      <c r="G241" s="1" t="s">
        <v>1498</v>
      </c>
    </row>
    <row r="242" spans="1:7" x14ac:dyDescent="0.25">
      <c r="A242" s="1" t="s">
        <v>1123</v>
      </c>
      <c r="B242" s="1" t="s">
        <v>24</v>
      </c>
      <c r="C242">
        <v>-2.8532869999999999</v>
      </c>
      <c r="D242">
        <v>22.117896000000002</v>
      </c>
      <c r="E242" s="1" t="s">
        <v>1423</v>
      </c>
      <c r="F242" s="1" t="s">
        <v>1427</v>
      </c>
      <c r="G242" s="1" t="s">
        <v>1498</v>
      </c>
    </row>
    <row r="243" spans="1:7" x14ac:dyDescent="0.25">
      <c r="A243" s="1" t="s">
        <v>1074</v>
      </c>
      <c r="B243" s="1" t="s">
        <v>35</v>
      </c>
      <c r="C243">
        <v>-9.9565739999999998</v>
      </c>
      <c r="D243">
        <v>21.017202000000001</v>
      </c>
      <c r="E243" s="1" t="s">
        <v>1426</v>
      </c>
      <c r="F243" s="1" t="s">
        <v>1427</v>
      </c>
      <c r="G243" s="1" t="s">
        <v>1498</v>
      </c>
    </row>
    <row r="244" spans="1:7" x14ac:dyDescent="0.25">
      <c r="A244" s="1" t="s">
        <v>1327</v>
      </c>
      <c r="B244" s="1" t="s">
        <v>68</v>
      </c>
      <c r="C244">
        <v>-12.070842000000001</v>
      </c>
      <c r="D244">
        <v>14.757847</v>
      </c>
      <c r="E244" s="1" t="s">
        <v>1426</v>
      </c>
      <c r="F244" s="1" t="s">
        <v>1429</v>
      </c>
      <c r="G244" s="1" t="s">
        <v>1498</v>
      </c>
    </row>
    <row r="245" spans="1:7" x14ac:dyDescent="0.25">
      <c r="A245" s="1" t="s">
        <v>1270</v>
      </c>
      <c r="B245" s="1" t="s">
        <v>62</v>
      </c>
      <c r="C245">
        <v>4.8265669999999998</v>
      </c>
      <c r="D245">
        <v>28.535277000000001</v>
      </c>
      <c r="E245" s="1" t="s">
        <v>1428</v>
      </c>
      <c r="F245" s="1" t="s">
        <v>1427</v>
      </c>
      <c r="G245" s="1" t="s">
        <v>1498</v>
      </c>
    </row>
    <row r="246" spans="1:7" x14ac:dyDescent="0.25">
      <c r="A246" s="1" t="s">
        <v>1511</v>
      </c>
      <c r="B246" s="1" t="s">
        <v>9</v>
      </c>
      <c r="C246">
        <v>1.5601240000000001</v>
      </c>
      <c r="D246">
        <v>12.225398</v>
      </c>
      <c r="E246" s="1" t="s">
        <v>1423</v>
      </c>
      <c r="F246" s="1" t="s">
        <v>1435</v>
      </c>
      <c r="G246" s="1" t="s">
        <v>1498</v>
      </c>
    </row>
    <row r="247" spans="1:7" x14ac:dyDescent="0.25">
      <c r="A247" s="1" t="s">
        <v>1512</v>
      </c>
      <c r="B247" s="1" t="s">
        <v>57</v>
      </c>
      <c r="C247">
        <v>-1.762294</v>
      </c>
      <c r="D247">
        <v>29.617228000000001</v>
      </c>
      <c r="E247" s="1" t="s">
        <v>1426</v>
      </c>
      <c r="F247" s="1" t="s">
        <v>1429</v>
      </c>
      <c r="G247" s="1" t="s">
        <v>1498</v>
      </c>
    </row>
    <row r="248" spans="1:7" x14ac:dyDescent="0.25">
      <c r="A248" s="1" t="s">
        <v>1374</v>
      </c>
      <c r="B248" s="1" t="s">
        <v>83</v>
      </c>
      <c r="C248">
        <v>-7.8373179999999998</v>
      </c>
      <c r="D248">
        <v>20.527591999999999</v>
      </c>
      <c r="E248" s="1" t="s">
        <v>1426</v>
      </c>
      <c r="F248" s="1" t="s">
        <v>1424</v>
      </c>
      <c r="G248" s="1" t="s">
        <v>1498</v>
      </c>
    </row>
    <row r="249" spans="1:7" x14ac:dyDescent="0.25">
      <c r="A249" s="1" t="s">
        <v>1246</v>
      </c>
      <c r="B249" s="1" t="s">
        <v>20</v>
      </c>
      <c r="C249">
        <v>-11.514817000000001</v>
      </c>
      <c r="D249">
        <v>24.891375</v>
      </c>
      <c r="E249" s="1" t="s">
        <v>1428</v>
      </c>
      <c r="F249" s="1" t="s">
        <v>1435</v>
      </c>
      <c r="G249" s="1" t="s">
        <v>1498</v>
      </c>
    </row>
    <row r="250" spans="1:7" x14ac:dyDescent="0.25">
      <c r="A250" s="1" t="s">
        <v>865</v>
      </c>
      <c r="B250" s="1" t="s">
        <v>83</v>
      </c>
      <c r="C250">
        <v>-7.9987219999999999</v>
      </c>
      <c r="D250">
        <v>12.779335</v>
      </c>
      <c r="E250" s="1" t="s">
        <v>1423</v>
      </c>
      <c r="F250" s="1" t="s">
        <v>1435</v>
      </c>
      <c r="G250" s="1" t="s">
        <v>1498</v>
      </c>
    </row>
    <row r="251" spans="1:7" x14ac:dyDescent="0.25">
      <c r="A251" s="1" t="s">
        <v>1513</v>
      </c>
      <c r="B251" s="1" t="s">
        <v>24</v>
      </c>
      <c r="C251">
        <v>-10.614302</v>
      </c>
      <c r="D251">
        <v>29.436530999999999</v>
      </c>
      <c r="E251" s="1" t="s">
        <v>1428</v>
      </c>
      <c r="F251" s="1" t="s">
        <v>1424</v>
      </c>
      <c r="G251" s="1" t="s">
        <v>1498</v>
      </c>
    </row>
    <row r="252" spans="1:7" x14ac:dyDescent="0.25">
      <c r="A252" s="1" t="s">
        <v>1177</v>
      </c>
      <c r="B252" s="1" t="s">
        <v>35</v>
      </c>
      <c r="C252">
        <v>-7.9425049999999997</v>
      </c>
      <c r="D252">
        <v>24.111059000000001</v>
      </c>
      <c r="E252" s="1" t="s">
        <v>1428</v>
      </c>
      <c r="F252" s="1" t="s">
        <v>1429</v>
      </c>
      <c r="G252" s="1" t="s">
        <v>1498</v>
      </c>
    </row>
    <row r="253" spans="1:7" x14ac:dyDescent="0.25">
      <c r="A253" s="1" t="s">
        <v>1156</v>
      </c>
      <c r="B253" s="1" t="s">
        <v>20</v>
      </c>
      <c r="C253">
        <v>2.4414509999999998</v>
      </c>
      <c r="D253">
        <v>30.167489</v>
      </c>
      <c r="E253" s="1" t="s">
        <v>1423</v>
      </c>
      <c r="F253" s="1" t="s">
        <v>1435</v>
      </c>
      <c r="G253" s="1" t="s">
        <v>1498</v>
      </c>
    </row>
    <row r="254" spans="1:7" x14ac:dyDescent="0.25">
      <c r="A254" s="1" t="s">
        <v>835</v>
      </c>
      <c r="B254" s="1" t="s">
        <v>61</v>
      </c>
      <c r="C254">
        <v>-1.339734</v>
      </c>
      <c r="D254">
        <v>15.243098</v>
      </c>
      <c r="E254" s="1" t="s">
        <v>1428</v>
      </c>
      <c r="F254" s="1" t="s">
        <v>1435</v>
      </c>
      <c r="G254" s="1" t="s">
        <v>1514</v>
      </c>
    </row>
    <row r="255" spans="1:7" x14ac:dyDescent="0.25">
      <c r="A255" s="1" t="s">
        <v>1133</v>
      </c>
      <c r="B255" s="1" t="s">
        <v>59</v>
      </c>
      <c r="C255">
        <v>-9.8208710000000004</v>
      </c>
      <c r="D255">
        <v>23.229807000000001</v>
      </c>
      <c r="E255" s="1" t="s">
        <v>1423</v>
      </c>
      <c r="F255" s="1" t="s">
        <v>1435</v>
      </c>
      <c r="G255" s="1" t="s">
        <v>1514</v>
      </c>
    </row>
    <row r="256" spans="1:7" x14ac:dyDescent="0.25">
      <c r="A256" s="1" t="s">
        <v>991</v>
      </c>
      <c r="B256" s="1" t="s">
        <v>12</v>
      </c>
      <c r="C256">
        <v>-12.292039000000001</v>
      </c>
      <c r="D256">
        <v>27.538202999999999</v>
      </c>
      <c r="E256" s="1" t="s">
        <v>1428</v>
      </c>
      <c r="F256" s="1" t="s">
        <v>1427</v>
      </c>
      <c r="G256" s="1" t="s">
        <v>1514</v>
      </c>
    </row>
    <row r="257" spans="1:7" x14ac:dyDescent="0.25">
      <c r="A257" s="1" t="s">
        <v>1515</v>
      </c>
      <c r="B257" s="1" t="s">
        <v>122</v>
      </c>
      <c r="C257">
        <v>-6.0850540000000004</v>
      </c>
      <c r="D257">
        <v>14.020293000000001</v>
      </c>
      <c r="E257" s="1" t="s">
        <v>1423</v>
      </c>
      <c r="F257" s="1" t="s">
        <v>1427</v>
      </c>
      <c r="G257" s="1" t="s">
        <v>1514</v>
      </c>
    </row>
    <row r="258" spans="1:7" x14ac:dyDescent="0.25">
      <c r="A258" s="1" t="s">
        <v>1287</v>
      </c>
      <c r="B258" s="1" t="s">
        <v>62</v>
      </c>
      <c r="C258">
        <v>-9.5619429999999994</v>
      </c>
      <c r="D258">
        <v>21.445726000000001</v>
      </c>
      <c r="E258" s="1" t="s">
        <v>1426</v>
      </c>
      <c r="F258" s="1" t="s">
        <v>1435</v>
      </c>
      <c r="G258" s="1" t="s">
        <v>1514</v>
      </c>
    </row>
    <row r="259" spans="1:7" x14ac:dyDescent="0.25">
      <c r="A259" s="1" t="s">
        <v>1170</v>
      </c>
      <c r="B259" s="1" t="s">
        <v>41</v>
      </c>
      <c r="C259">
        <v>-0.47411900000000001</v>
      </c>
      <c r="D259">
        <v>27.184329000000002</v>
      </c>
      <c r="E259" s="1" t="s">
        <v>1423</v>
      </c>
      <c r="F259" s="1" t="s">
        <v>1429</v>
      </c>
      <c r="G259" s="1" t="s">
        <v>1514</v>
      </c>
    </row>
    <row r="260" spans="1:7" x14ac:dyDescent="0.25">
      <c r="A260" s="1" t="s">
        <v>790</v>
      </c>
      <c r="B260" s="1" t="s">
        <v>35</v>
      </c>
      <c r="C260">
        <v>3.1362930000000002</v>
      </c>
      <c r="D260">
        <v>16.190878000000001</v>
      </c>
      <c r="E260" s="1" t="s">
        <v>1428</v>
      </c>
      <c r="F260" s="1" t="s">
        <v>1435</v>
      </c>
      <c r="G260" s="1" t="s">
        <v>1514</v>
      </c>
    </row>
    <row r="261" spans="1:7" x14ac:dyDescent="0.25">
      <c r="A261" s="1" t="s">
        <v>1187</v>
      </c>
      <c r="B261" s="1" t="s">
        <v>72</v>
      </c>
      <c r="C261">
        <v>-1.6488929999999999</v>
      </c>
      <c r="D261">
        <v>27.284617000000001</v>
      </c>
      <c r="E261" s="1" t="s">
        <v>1423</v>
      </c>
      <c r="F261" s="1" t="s">
        <v>1435</v>
      </c>
      <c r="G261" s="1" t="s">
        <v>1514</v>
      </c>
    </row>
    <row r="262" spans="1:7" x14ac:dyDescent="0.25">
      <c r="A262" s="1" t="s">
        <v>866</v>
      </c>
      <c r="B262" s="1" t="s">
        <v>61</v>
      </c>
      <c r="C262">
        <v>-1.6097570000000001</v>
      </c>
      <c r="D262">
        <v>30.661662</v>
      </c>
      <c r="E262" s="1" t="s">
        <v>1426</v>
      </c>
      <c r="F262" s="1" t="s">
        <v>1424</v>
      </c>
      <c r="G262" s="1" t="s">
        <v>1514</v>
      </c>
    </row>
    <row r="263" spans="1:7" x14ac:dyDescent="0.25">
      <c r="A263" s="1" t="s">
        <v>760</v>
      </c>
      <c r="B263" s="1" t="s">
        <v>68</v>
      </c>
      <c r="C263">
        <v>0.23583499999999999</v>
      </c>
      <c r="D263">
        <v>24.889558999999998</v>
      </c>
      <c r="E263" s="1" t="s">
        <v>1428</v>
      </c>
      <c r="F263" s="1" t="s">
        <v>1429</v>
      </c>
      <c r="G263" s="1" t="s">
        <v>1514</v>
      </c>
    </row>
    <row r="264" spans="1:7" x14ac:dyDescent="0.25">
      <c r="A264" s="1" t="s">
        <v>925</v>
      </c>
      <c r="B264" s="1" t="s">
        <v>35</v>
      </c>
      <c r="C264">
        <v>-10.481026999999999</v>
      </c>
      <c r="D264">
        <v>18.160464000000001</v>
      </c>
      <c r="E264" s="1" t="s">
        <v>1423</v>
      </c>
      <c r="F264" s="1" t="s">
        <v>1427</v>
      </c>
      <c r="G264" s="1" t="s">
        <v>1514</v>
      </c>
    </row>
    <row r="265" spans="1:7" x14ac:dyDescent="0.25">
      <c r="A265" s="1" t="s">
        <v>916</v>
      </c>
      <c r="B265" s="1" t="s">
        <v>126</v>
      </c>
      <c r="C265">
        <v>-9.5243310000000001</v>
      </c>
      <c r="D265">
        <v>30.541212000000002</v>
      </c>
      <c r="E265" s="1" t="s">
        <v>1428</v>
      </c>
      <c r="F265" s="1" t="s">
        <v>1424</v>
      </c>
      <c r="G265" s="1" t="s">
        <v>1514</v>
      </c>
    </row>
    <row r="266" spans="1:7" x14ac:dyDescent="0.25">
      <c r="A266" s="1" t="s">
        <v>817</v>
      </c>
      <c r="B266" s="1" t="s">
        <v>24</v>
      </c>
      <c r="C266">
        <v>-4.4697000000000001E-2</v>
      </c>
      <c r="D266">
        <v>22.943373000000001</v>
      </c>
      <c r="E266" s="1" t="s">
        <v>1428</v>
      </c>
      <c r="F266" s="1" t="s">
        <v>1427</v>
      </c>
      <c r="G266" s="1" t="s">
        <v>1514</v>
      </c>
    </row>
    <row r="267" spans="1:7" x14ac:dyDescent="0.25">
      <c r="A267" s="1" t="s">
        <v>1363</v>
      </c>
      <c r="B267" s="1" t="s">
        <v>24</v>
      </c>
      <c r="C267">
        <v>-2.3269820000000001</v>
      </c>
      <c r="D267">
        <v>14.609259</v>
      </c>
      <c r="E267" s="1" t="s">
        <v>1428</v>
      </c>
      <c r="F267" s="1" t="s">
        <v>1435</v>
      </c>
      <c r="G267" s="1" t="s">
        <v>1514</v>
      </c>
    </row>
    <row r="268" spans="1:7" x14ac:dyDescent="0.25">
      <c r="A268" s="1" t="s">
        <v>1516</v>
      </c>
      <c r="B268" s="1" t="s">
        <v>9</v>
      </c>
      <c r="C268">
        <v>-4.1938139999999997</v>
      </c>
      <c r="D268">
        <v>27.892115</v>
      </c>
      <c r="E268" s="1" t="s">
        <v>1423</v>
      </c>
      <c r="F268" s="1" t="s">
        <v>1424</v>
      </c>
      <c r="G268" s="1" t="s">
        <v>1514</v>
      </c>
    </row>
    <row r="269" spans="1:7" x14ac:dyDescent="0.25">
      <c r="A269" s="1" t="s">
        <v>778</v>
      </c>
      <c r="B269" s="1" t="s">
        <v>122</v>
      </c>
      <c r="C269">
        <v>-11.866133</v>
      </c>
      <c r="D269">
        <v>27.068932</v>
      </c>
      <c r="E269" s="1" t="s">
        <v>1428</v>
      </c>
      <c r="F269" s="1" t="s">
        <v>1427</v>
      </c>
      <c r="G269" s="1" t="s">
        <v>1514</v>
      </c>
    </row>
    <row r="270" spans="1:7" x14ac:dyDescent="0.25">
      <c r="A270" s="1" t="s">
        <v>876</v>
      </c>
      <c r="B270" s="1" t="s">
        <v>23</v>
      </c>
      <c r="C270">
        <v>-3.3890790000000002</v>
      </c>
      <c r="D270">
        <v>18.374571</v>
      </c>
      <c r="E270" s="1" t="s">
        <v>1423</v>
      </c>
      <c r="F270" s="1" t="s">
        <v>1429</v>
      </c>
      <c r="G270" s="1" t="s">
        <v>1514</v>
      </c>
    </row>
    <row r="271" spans="1:7" x14ac:dyDescent="0.25">
      <c r="A271" s="1" t="s">
        <v>983</v>
      </c>
      <c r="B271" s="1" t="s">
        <v>23</v>
      </c>
      <c r="C271">
        <v>2.016505</v>
      </c>
      <c r="D271">
        <v>14.294164</v>
      </c>
      <c r="E271" s="1" t="s">
        <v>1423</v>
      </c>
      <c r="F271" s="1" t="s">
        <v>1427</v>
      </c>
      <c r="G271" s="1" t="s">
        <v>1514</v>
      </c>
    </row>
    <row r="272" spans="1:7" x14ac:dyDescent="0.25">
      <c r="A272" s="1" t="s">
        <v>1517</v>
      </c>
      <c r="B272" s="1" t="s">
        <v>37</v>
      </c>
      <c r="C272">
        <v>-4.9124689999999998</v>
      </c>
      <c r="D272">
        <v>14.683498999999999</v>
      </c>
      <c r="E272" s="1" t="s">
        <v>1428</v>
      </c>
      <c r="F272" s="1" t="s">
        <v>1429</v>
      </c>
      <c r="G272" s="1" t="s">
        <v>1514</v>
      </c>
    </row>
    <row r="273" spans="1:7" x14ac:dyDescent="0.25">
      <c r="A273" s="1" t="s">
        <v>773</v>
      </c>
      <c r="B273" s="1" t="s">
        <v>57</v>
      </c>
      <c r="C273">
        <v>4.9250049999999996</v>
      </c>
      <c r="D273">
        <v>19.887931999999999</v>
      </c>
      <c r="E273" s="1" t="s">
        <v>1426</v>
      </c>
      <c r="F273" s="1" t="s">
        <v>1427</v>
      </c>
      <c r="G273" s="1" t="s">
        <v>1514</v>
      </c>
    </row>
    <row r="274" spans="1:7" x14ac:dyDescent="0.25">
      <c r="A274" s="1" t="s">
        <v>1518</v>
      </c>
      <c r="B274" s="1" t="s">
        <v>122</v>
      </c>
      <c r="C274">
        <v>1.1800139999999999</v>
      </c>
      <c r="D274">
        <v>20.334562999999999</v>
      </c>
      <c r="E274" s="1" t="s">
        <v>1428</v>
      </c>
      <c r="F274" s="1" t="s">
        <v>1429</v>
      </c>
      <c r="G274" s="1" t="s">
        <v>1514</v>
      </c>
    </row>
    <row r="275" spans="1:7" x14ac:dyDescent="0.25">
      <c r="A275" s="1" t="s">
        <v>1043</v>
      </c>
      <c r="B275" s="1" t="s">
        <v>35</v>
      </c>
      <c r="C275">
        <v>-12.229338</v>
      </c>
      <c r="D275">
        <v>29.587834999999998</v>
      </c>
      <c r="E275" s="1" t="s">
        <v>1426</v>
      </c>
      <c r="F275" s="1" t="s">
        <v>1435</v>
      </c>
      <c r="G275" s="1" t="s">
        <v>1514</v>
      </c>
    </row>
    <row r="276" spans="1:7" x14ac:dyDescent="0.25">
      <c r="A276" s="1" t="s">
        <v>910</v>
      </c>
      <c r="B276" s="1" t="s">
        <v>126</v>
      </c>
      <c r="C276">
        <v>-10.872631999999999</v>
      </c>
      <c r="D276">
        <v>12.773279</v>
      </c>
      <c r="E276" s="1" t="s">
        <v>1428</v>
      </c>
      <c r="F276" s="1" t="s">
        <v>1429</v>
      </c>
      <c r="G276" s="1" t="s">
        <v>1514</v>
      </c>
    </row>
    <row r="277" spans="1:7" x14ac:dyDescent="0.25">
      <c r="A277" s="1" t="s">
        <v>922</v>
      </c>
      <c r="B277" s="1" t="s">
        <v>24</v>
      </c>
      <c r="C277">
        <v>1.5278670000000001</v>
      </c>
      <c r="D277">
        <v>13.899388999999999</v>
      </c>
      <c r="E277" s="1" t="s">
        <v>1428</v>
      </c>
      <c r="F277" s="1" t="s">
        <v>1427</v>
      </c>
      <c r="G277" s="1" t="s">
        <v>1514</v>
      </c>
    </row>
    <row r="278" spans="1:7" x14ac:dyDescent="0.25">
      <c r="A278" s="1" t="s">
        <v>1061</v>
      </c>
      <c r="B278" s="1" t="s">
        <v>48</v>
      </c>
      <c r="C278">
        <v>-0.98830399999999996</v>
      </c>
      <c r="D278">
        <v>28.099966999999999</v>
      </c>
      <c r="E278" s="1" t="s">
        <v>1428</v>
      </c>
      <c r="F278" s="1" t="s">
        <v>1427</v>
      </c>
      <c r="G278" s="1" t="s">
        <v>1514</v>
      </c>
    </row>
    <row r="279" spans="1:7" x14ac:dyDescent="0.25">
      <c r="A279" s="1" t="s">
        <v>1519</v>
      </c>
      <c r="B279" s="1" t="s">
        <v>83</v>
      </c>
      <c r="C279">
        <v>-4.749333</v>
      </c>
      <c r="D279">
        <v>23.636389000000001</v>
      </c>
      <c r="E279" s="1" t="s">
        <v>1428</v>
      </c>
      <c r="F279" s="1" t="s">
        <v>1429</v>
      </c>
      <c r="G279" s="1" t="s">
        <v>1514</v>
      </c>
    </row>
    <row r="280" spans="1:7" x14ac:dyDescent="0.25">
      <c r="A280" s="1" t="s">
        <v>1120</v>
      </c>
      <c r="B280" s="1" t="s">
        <v>57</v>
      </c>
      <c r="C280">
        <v>-0.79459900000000006</v>
      </c>
      <c r="D280">
        <v>26.775570999999999</v>
      </c>
      <c r="E280" s="1" t="s">
        <v>1423</v>
      </c>
      <c r="F280" s="1" t="s">
        <v>1427</v>
      </c>
      <c r="G280" s="1" t="s">
        <v>1514</v>
      </c>
    </row>
    <row r="281" spans="1:7" x14ac:dyDescent="0.25">
      <c r="A281" s="1" t="s">
        <v>1520</v>
      </c>
      <c r="B281" s="1" t="s">
        <v>20</v>
      </c>
      <c r="C281">
        <v>2.7365970000000002</v>
      </c>
      <c r="D281">
        <v>12.296976000000001</v>
      </c>
      <c r="E281" s="1" t="s">
        <v>1426</v>
      </c>
      <c r="F281" s="1" t="s">
        <v>1429</v>
      </c>
      <c r="G281" s="1" t="s">
        <v>1514</v>
      </c>
    </row>
    <row r="282" spans="1:7" x14ac:dyDescent="0.25">
      <c r="A282" s="1" t="s">
        <v>1371</v>
      </c>
      <c r="B282" s="1" t="s">
        <v>72</v>
      </c>
      <c r="C282">
        <v>-10.318835</v>
      </c>
      <c r="D282">
        <v>21.252382000000001</v>
      </c>
      <c r="E282" s="1" t="s">
        <v>1426</v>
      </c>
      <c r="F282" s="1" t="s">
        <v>1424</v>
      </c>
      <c r="G282" s="1" t="s">
        <v>1514</v>
      </c>
    </row>
    <row r="283" spans="1:7" x14ac:dyDescent="0.25">
      <c r="A283" s="1" t="s">
        <v>1015</v>
      </c>
      <c r="B283" s="1" t="s">
        <v>12</v>
      </c>
      <c r="C283">
        <v>-2.571777</v>
      </c>
      <c r="D283">
        <v>12.120642</v>
      </c>
      <c r="E283" s="1" t="s">
        <v>1428</v>
      </c>
      <c r="F283" s="1" t="s">
        <v>1427</v>
      </c>
      <c r="G283" s="1" t="s">
        <v>1514</v>
      </c>
    </row>
    <row r="284" spans="1:7" x14ac:dyDescent="0.25">
      <c r="A284" s="1" t="s">
        <v>1521</v>
      </c>
      <c r="B284" s="1" t="s">
        <v>33</v>
      </c>
      <c r="C284">
        <v>3.6466850000000002</v>
      </c>
      <c r="D284">
        <v>15.408844</v>
      </c>
      <c r="E284" s="1" t="s">
        <v>1428</v>
      </c>
      <c r="F284" s="1" t="s">
        <v>1429</v>
      </c>
      <c r="G284" s="1" t="s">
        <v>1514</v>
      </c>
    </row>
    <row r="285" spans="1:7" x14ac:dyDescent="0.25">
      <c r="A285" s="1" t="s">
        <v>900</v>
      </c>
      <c r="B285" s="1" t="s">
        <v>122</v>
      </c>
      <c r="C285">
        <v>-12.336202</v>
      </c>
      <c r="D285">
        <v>13.693683999999999</v>
      </c>
      <c r="E285" s="1" t="s">
        <v>1423</v>
      </c>
      <c r="F285" s="1" t="s">
        <v>1427</v>
      </c>
      <c r="G285" s="1" t="s">
        <v>1514</v>
      </c>
    </row>
    <row r="286" spans="1:7" x14ac:dyDescent="0.25">
      <c r="A286" s="1" t="s">
        <v>1046</v>
      </c>
      <c r="B286" s="1" t="s">
        <v>15</v>
      </c>
      <c r="C286">
        <v>-1.231033</v>
      </c>
      <c r="D286">
        <v>28.851388</v>
      </c>
      <c r="E286" s="1" t="s">
        <v>1428</v>
      </c>
      <c r="F286" s="1" t="s">
        <v>1424</v>
      </c>
      <c r="G286" s="1" t="s">
        <v>1514</v>
      </c>
    </row>
    <row r="287" spans="1:7" x14ac:dyDescent="0.25">
      <c r="A287" s="1" t="s">
        <v>1522</v>
      </c>
      <c r="B287" s="1" t="s">
        <v>15</v>
      </c>
      <c r="C287">
        <v>-4.5180470000000001</v>
      </c>
      <c r="D287">
        <v>19.908223</v>
      </c>
      <c r="E287" s="1" t="s">
        <v>1423</v>
      </c>
      <c r="F287" s="1" t="s">
        <v>1427</v>
      </c>
      <c r="G287" s="1" t="s">
        <v>1514</v>
      </c>
    </row>
    <row r="288" spans="1:7" x14ac:dyDescent="0.25">
      <c r="A288" s="1" t="s">
        <v>1523</v>
      </c>
      <c r="B288" s="1" t="s">
        <v>37</v>
      </c>
      <c r="C288">
        <v>3.524343</v>
      </c>
      <c r="D288">
        <v>27.340824000000001</v>
      </c>
      <c r="E288" s="1" t="s">
        <v>1426</v>
      </c>
      <c r="F288" s="1" t="s">
        <v>1424</v>
      </c>
      <c r="G288" s="1" t="s">
        <v>1514</v>
      </c>
    </row>
    <row r="289" spans="1:7" x14ac:dyDescent="0.25">
      <c r="A289" s="1" t="s">
        <v>932</v>
      </c>
      <c r="B289" s="1" t="s">
        <v>57</v>
      </c>
      <c r="C289">
        <v>-0.37665700000000002</v>
      </c>
      <c r="D289">
        <v>25.154807999999999</v>
      </c>
      <c r="E289" s="1" t="s">
        <v>1428</v>
      </c>
      <c r="F289" s="1" t="s">
        <v>1435</v>
      </c>
      <c r="G289" s="1" t="s">
        <v>1514</v>
      </c>
    </row>
    <row r="290" spans="1:7" x14ac:dyDescent="0.25">
      <c r="A290" s="1" t="s">
        <v>1365</v>
      </c>
      <c r="B290" s="1" t="s">
        <v>72</v>
      </c>
      <c r="C290">
        <v>-10.650321</v>
      </c>
      <c r="D290">
        <v>15.917044000000001</v>
      </c>
      <c r="E290" s="1" t="s">
        <v>1426</v>
      </c>
      <c r="F290" s="1" t="s">
        <v>1435</v>
      </c>
      <c r="G290" s="1" t="s">
        <v>1514</v>
      </c>
    </row>
    <row r="291" spans="1:7" x14ac:dyDescent="0.25">
      <c r="A291" s="1" t="s">
        <v>1524</v>
      </c>
      <c r="B291" s="1" t="s">
        <v>37</v>
      </c>
      <c r="C291">
        <v>-9.8995180000000005</v>
      </c>
      <c r="D291">
        <v>24.156687999999999</v>
      </c>
      <c r="E291" s="1" t="s">
        <v>1426</v>
      </c>
      <c r="F291" s="1" t="s">
        <v>1424</v>
      </c>
      <c r="G291" s="1" t="s">
        <v>1514</v>
      </c>
    </row>
    <row r="292" spans="1:7" x14ac:dyDescent="0.25">
      <c r="A292" s="1" t="s">
        <v>1525</v>
      </c>
      <c r="B292" s="1" t="s">
        <v>126</v>
      </c>
      <c r="C292">
        <v>-7.4679279999999997</v>
      </c>
      <c r="D292">
        <v>19.828595</v>
      </c>
      <c r="E292" s="1" t="s">
        <v>1423</v>
      </c>
      <c r="F292" s="1" t="s">
        <v>1435</v>
      </c>
      <c r="G292" s="1" t="s">
        <v>1514</v>
      </c>
    </row>
    <row r="293" spans="1:7" x14ac:dyDescent="0.25">
      <c r="A293" s="1" t="s">
        <v>1066</v>
      </c>
      <c r="B293" s="1" t="s">
        <v>126</v>
      </c>
      <c r="C293">
        <v>1.286548</v>
      </c>
      <c r="D293">
        <v>29.823702999999998</v>
      </c>
      <c r="E293" s="1" t="s">
        <v>1426</v>
      </c>
      <c r="F293" s="1" t="s">
        <v>1429</v>
      </c>
      <c r="G293" s="1" t="s">
        <v>1514</v>
      </c>
    </row>
    <row r="294" spans="1:7" x14ac:dyDescent="0.25">
      <c r="A294" s="1" t="s">
        <v>1010</v>
      </c>
      <c r="B294" s="1" t="s">
        <v>33</v>
      </c>
      <c r="C294">
        <v>-4.7886769999999999</v>
      </c>
      <c r="D294">
        <v>23.600221999999999</v>
      </c>
      <c r="E294" s="1" t="s">
        <v>1428</v>
      </c>
      <c r="F294" s="1" t="s">
        <v>1429</v>
      </c>
      <c r="G294" s="1" t="s">
        <v>1514</v>
      </c>
    </row>
    <row r="295" spans="1:7" x14ac:dyDescent="0.25">
      <c r="A295" s="1" t="s">
        <v>1339</v>
      </c>
      <c r="B295" s="1" t="s">
        <v>54</v>
      </c>
      <c r="C295">
        <v>1.7832440000000001</v>
      </c>
      <c r="D295">
        <v>25.477405999999998</v>
      </c>
      <c r="E295" s="1" t="s">
        <v>1423</v>
      </c>
      <c r="F295" s="1" t="s">
        <v>1427</v>
      </c>
      <c r="G295" s="1" t="s">
        <v>1526</v>
      </c>
    </row>
    <row r="296" spans="1:7" x14ac:dyDescent="0.25">
      <c r="A296" s="1" t="s">
        <v>1527</v>
      </c>
      <c r="B296" s="1" t="s">
        <v>33</v>
      </c>
      <c r="C296">
        <v>-4.8560549999999996</v>
      </c>
      <c r="D296">
        <v>15.889538999999999</v>
      </c>
      <c r="E296" s="1" t="s">
        <v>1428</v>
      </c>
      <c r="F296" s="1" t="s">
        <v>1427</v>
      </c>
      <c r="G296" s="1" t="s">
        <v>1526</v>
      </c>
    </row>
    <row r="297" spans="1:7" x14ac:dyDescent="0.25">
      <c r="A297" s="1" t="s">
        <v>1528</v>
      </c>
      <c r="B297" s="1" t="s">
        <v>29</v>
      </c>
      <c r="C297">
        <v>-8.6707929999999998</v>
      </c>
      <c r="D297">
        <v>30.643781000000001</v>
      </c>
      <c r="E297" s="1" t="s">
        <v>1426</v>
      </c>
      <c r="F297" s="1" t="s">
        <v>1427</v>
      </c>
      <c r="G297" s="1" t="s">
        <v>1526</v>
      </c>
    </row>
    <row r="298" spans="1:7" x14ac:dyDescent="0.25">
      <c r="A298" s="1" t="s">
        <v>1529</v>
      </c>
      <c r="B298" s="1" t="s">
        <v>27</v>
      </c>
      <c r="C298">
        <v>-2.947235</v>
      </c>
      <c r="D298">
        <v>16.534020999999999</v>
      </c>
      <c r="E298" s="1" t="s">
        <v>1428</v>
      </c>
      <c r="F298" s="1" t="s">
        <v>1435</v>
      </c>
      <c r="G298" s="1" t="s">
        <v>1526</v>
      </c>
    </row>
    <row r="299" spans="1:7" x14ac:dyDescent="0.25">
      <c r="A299" s="1" t="s">
        <v>1530</v>
      </c>
      <c r="B299" s="1" t="s">
        <v>23</v>
      </c>
      <c r="C299">
        <v>-12.776386</v>
      </c>
      <c r="D299">
        <v>14.157596</v>
      </c>
      <c r="E299" s="1" t="s">
        <v>1428</v>
      </c>
      <c r="F299" s="1" t="s">
        <v>1435</v>
      </c>
      <c r="G299" s="1" t="s">
        <v>1526</v>
      </c>
    </row>
    <row r="300" spans="1:7" x14ac:dyDescent="0.25">
      <c r="A300" s="1" t="s">
        <v>753</v>
      </c>
      <c r="B300" s="1" t="s">
        <v>23</v>
      </c>
      <c r="C300">
        <v>0.172153</v>
      </c>
      <c r="D300">
        <v>21.091376</v>
      </c>
      <c r="E300" s="1" t="s">
        <v>1428</v>
      </c>
      <c r="F300" s="1" t="s">
        <v>1424</v>
      </c>
      <c r="G300" s="1" t="s">
        <v>1526</v>
      </c>
    </row>
    <row r="301" spans="1:7" x14ac:dyDescent="0.25">
      <c r="A301" s="1" t="s">
        <v>1092</v>
      </c>
      <c r="B301" s="1" t="s">
        <v>29</v>
      </c>
      <c r="C301">
        <v>-10.611184</v>
      </c>
      <c r="D301">
        <v>23.022268</v>
      </c>
      <c r="E301" s="1" t="s">
        <v>1423</v>
      </c>
      <c r="F301" s="1" t="s">
        <v>1429</v>
      </c>
      <c r="G301" s="1" t="s">
        <v>1526</v>
      </c>
    </row>
    <row r="302" spans="1:7" x14ac:dyDescent="0.25">
      <c r="A302" s="1" t="s">
        <v>1264</v>
      </c>
      <c r="B302" s="1" t="s">
        <v>27</v>
      </c>
      <c r="C302">
        <v>-7.6757720000000003</v>
      </c>
      <c r="D302">
        <v>30.222971000000001</v>
      </c>
      <c r="E302" s="1" t="s">
        <v>1423</v>
      </c>
      <c r="F302" s="1" t="s">
        <v>1424</v>
      </c>
      <c r="G302" s="1" t="s">
        <v>1526</v>
      </c>
    </row>
    <row r="303" spans="1:7" x14ac:dyDescent="0.25">
      <c r="A303" s="1" t="s">
        <v>879</v>
      </c>
      <c r="B303" s="1" t="s">
        <v>83</v>
      </c>
      <c r="C303">
        <v>-1.342476</v>
      </c>
      <c r="D303">
        <v>15.986086</v>
      </c>
      <c r="E303" s="1" t="s">
        <v>1426</v>
      </c>
      <c r="F303" s="1" t="s">
        <v>1424</v>
      </c>
      <c r="G303" s="1" t="s">
        <v>1526</v>
      </c>
    </row>
    <row r="304" spans="1:7" x14ac:dyDescent="0.25">
      <c r="A304" s="1" t="s">
        <v>1531</v>
      </c>
      <c r="B304" s="1" t="s">
        <v>57</v>
      </c>
      <c r="C304">
        <v>-11.366868999999999</v>
      </c>
      <c r="D304">
        <v>26.155318000000001</v>
      </c>
      <c r="E304" s="1" t="s">
        <v>1426</v>
      </c>
      <c r="F304" s="1" t="s">
        <v>1427</v>
      </c>
      <c r="G304" s="1" t="s">
        <v>1526</v>
      </c>
    </row>
    <row r="305" spans="1:7" x14ac:dyDescent="0.25">
      <c r="A305" s="1" t="s">
        <v>1171</v>
      </c>
      <c r="B305" s="1" t="s">
        <v>54</v>
      </c>
      <c r="C305">
        <v>-4.3639070000000002</v>
      </c>
      <c r="D305">
        <v>16.283307000000001</v>
      </c>
      <c r="E305" s="1" t="s">
        <v>1423</v>
      </c>
      <c r="F305" s="1" t="s">
        <v>1427</v>
      </c>
      <c r="G305" s="1" t="s">
        <v>1526</v>
      </c>
    </row>
    <row r="306" spans="1:7" x14ac:dyDescent="0.25">
      <c r="A306" s="1" t="s">
        <v>994</v>
      </c>
      <c r="B306" s="1" t="s">
        <v>37</v>
      </c>
      <c r="C306">
        <v>-7.5129409999999996</v>
      </c>
      <c r="D306">
        <v>18.701522000000001</v>
      </c>
      <c r="E306" s="1" t="s">
        <v>1426</v>
      </c>
      <c r="F306" s="1" t="s">
        <v>1435</v>
      </c>
      <c r="G306" s="1" t="s">
        <v>1526</v>
      </c>
    </row>
    <row r="307" spans="1:7" x14ac:dyDescent="0.25">
      <c r="A307" s="1" t="s">
        <v>1068</v>
      </c>
      <c r="B307" s="1" t="s">
        <v>9</v>
      </c>
      <c r="C307">
        <v>-0.34051900000000002</v>
      </c>
      <c r="D307">
        <v>17.079799000000001</v>
      </c>
      <c r="E307" s="1" t="s">
        <v>1423</v>
      </c>
      <c r="F307" s="1" t="s">
        <v>1424</v>
      </c>
      <c r="G307" s="1" t="s">
        <v>1526</v>
      </c>
    </row>
    <row r="308" spans="1:7" x14ac:dyDescent="0.25">
      <c r="A308" s="1" t="s">
        <v>962</v>
      </c>
      <c r="B308" s="1" t="s">
        <v>68</v>
      </c>
      <c r="C308">
        <v>2.4425979999999998</v>
      </c>
      <c r="D308">
        <v>24.924308</v>
      </c>
      <c r="E308" s="1" t="s">
        <v>1423</v>
      </c>
      <c r="F308" s="1" t="s">
        <v>1424</v>
      </c>
      <c r="G308" s="1" t="s">
        <v>1526</v>
      </c>
    </row>
    <row r="309" spans="1:7" x14ac:dyDescent="0.25">
      <c r="A309" s="1" t="s">
        <v>1253</v>
      </c>
      <c r="B309" s="1" t="s">
        <v>24</v>
      </c>
      <c r="C309">
        <v>0.45116099999999998</v>
      </c>
      <c r="D309">
        <v>17.265761000000001</v>
      </c>
      <c r="E309" s="1" t="s">
        <v>1426</v>
      </c>
      <c r="F309" s="1" t="s">
        <v>1427</v>
      </c>
      <c r="G309" s="1" t="s">
        <v>1526</v>
      </c>
    </row>
    <row r="310" spans="1:7" x14ac:dyDescent="0.25">
      <c r="A310" s="1" t="s">
        <v>1240</v>
      </c>
      <c r="B310" s="1" t="s">
        <v>31</v>
      </c>
      <c r="C310">
        <v>-12.560556999999999</v>
      </c>
      <c r="D310">
        <v>13.204014000000001</v>
      </c>
      <c r="E310" s="1" t="s">
        <v>1426</v>
      </c>
      <c r="F310" s="1" t="s">
        <v>1424</v>
      </c>
      <c r="G310" s="1" t="s">
        <v>1526</v>
      </c>
    </row>
    <row r="311" spans="1:7" x14ac:dyDescent="0.25">
      <c r="A311" s="1" t="s">
        <v>1009</v>
      </c>
      <c r="B311" s="1" t="s">
        <v>83</v>
      </c>
      <c r="C311">
        <v>-4.8128659999999996</v>
      </c>
      <c r="D311">
        <v>18.559304999999998</v>
      </c>
      <c r="E311" s="1" t="s">
        <v>1423</v>
      </c>
      <c r="F311" s="1" t="s">
        <v>1429</v>
      </c>
      <c r="G311" s="1" t="s">
        <v>1526</v>
      </c>
    </row>
    <row r="312" spans="1:7" x14ac:dyDescent="0.25">
      <c r="A312" s="1" t="s">
        <v>1532</v>
      </c>
      <c r="B312" s="1" t="s">
        <v>118</v>
      </c>
      <c r="C312">
        <v>2.7355830000000001</v>
      </c>
      <c r="D312">
        <v>22.006969000000002</v>
      </c>
      <c r="E312" s="1" t="s">
        <v>1423</v>
      </c>
      <c r="F312" s="1" t="s">
        <v>1424</v>
      </c>
      <c r="G312" s="1" t="s">
        <v>1526</v>
      </c>
    </row>
    <row r="313" spans="1:7" x14ac:dyDescent="0.25">
      <c r="A313" s="1" t="s">
        <v>860</v>
      </c>
      <c r="B313" s="1" t="s">
        <v>62</v>
      </c>
      <c r="C313">
        <v>-5.7035130000000001</v>
      </c>
      <c r="D313">
        <v>14.331479</v>
      </c>
      <c r="E313" s="1" t="s">
        <v>1423</v>
      </c>
      <c r="F313" s="1" t="s">
        <v>1435</v>
      </c>
      <c r="G313" s="1" t="s">
        <v>1526</v>
      </c>
    </row>
    <row r="314" spans="1:7" x14ac:dyDescent="0.25">
      <c r="A314" s="1" t="s">
        <v>952</v>
      </c>
      <c r="B314" s="1" t="s">
        <v>17</v>
      </c>
      <c r="C314">
        <v>-6.3324319999999998</v>
      </c>
      <c r="D314">
        <v>24.887858000000001</v>
      </c>
      <c r="E314" s="1" t="s">
        <v>1426</v>
      </c>
      <c r="F314" s="1" t="s">
        <v>1429</v>
      </c>
      <c r="G314" s="1" t="s">
        <v>1526</v>
      </c>
    </row>
    <row r="315" spans="1:7" x14ac:dyDescent="0.25">
      <c r="A315" s="1" t="s">
        <v>1395</v>
      </c>
      <c r="B315" s="1" t="s">
        <v>9</v>
      </c>
      <c r="C315">
        <v>-4.6426759999999998</v>
      </c>
      <c r="D315">
        <v>22.124254000000001</v>
      </c>
      <c r="E315" s="1" t="s">
        <v>1426</v>
      </c>
      <c r="F315" s="1" t="s">
        <v>1429</v>
      </c>
      <c r="G315" s="1" t="s">
        <v>1526</v>
      </c>
    </row>
    <row r="316" spans="1:7" x14ac:dyDescent="0.25">
      <c r="A316" s="1" t="s">
        <v>1533</v>
      </c>
      <c r="B316" s="1" t="s">
        <v>17</v>
      </c>
      <c r="C316">
        <v>-1.598759</v>
      </c>
      <c r="D316">
        <v>17.553023</v>
      </c>
      <c r="E316" s="1" t="s">
        <v>1426</v>
      </c>
      <c r="F316" s="1" t="s">
        <v>1427</v>
      </c>
      <c r="G316" s="1" t="s">
        <v>1526</v>
      </c>
    </row>
    <row r="317" spans="1:7" x14ac:dyDescent="0.25">
      <c r="A317" s="1" t="s">
        <v>1055</v>
      </c>
      <c r="B317" s="1" t="s">
        <v>54</v>
      </c>
      <c r="C317">
        <v>2.486888</v>
      </c>
      <c r="D317">
        <v>23.798074</v>
      </c>
      <c r="E317" s="1" t="s">
        <v>1423</v>
      </c>
      <c r="F317" s="1" t="s">
        <v>1429</v>
      </c>
      <c r="G317" s="1" t="s">
        <v>1526</v>
      </c>
    </row>
    <row r="318" spans="1:7" x14ac:dyDescent="0.25">
      <c r="A318" s="1" t="s">
        <v>1534</v>
      </c>
      <c r="B318" s="1" t="s">
        <v>54</v>
      </c>
      <c r="C318">
        <v>-11.727425</v>
      </c>
      <c r="D318">
        <v>27.198173000000001</v>
      </c>
      <c r="E318" s="1" t="s">
        <v>1428</v>
      </c>
      <c r="F318" s="1" t="s">
        <v>1424</v>
      </c>
      <c r="G318" s="1" t="s">
        <v>1526</v>
      </c>
    </row>
    <row r="319" spans="1:7" x14ac:dyDescent="0.25">
      <c r="A319" s="1" t="s">
        <v>1535</v>
      </c>
      <c r="B319" s="1" t="s">
        <v>83</v>
      </c>
      <c r="C319">
        <v>-12.411144999999999</v>
      </c>
      <c r="D319">
        <v>29.876642</v>
      </c>
      <c r="E319" s="1" t="s">
        <v>1426</v>
      </c>
      <c r="F319" s="1" t="s">
        <v>1424</v>
      </c>
      <c r="G319" s="1" t="s">
        <v>1526</v>
      </c>
    </row>
    <row r="320" spans="1:7" x14ac:dyDescent="0.25">
      <c r="A320" s="1" t="s">
        <v>1536</v>
      </c>
      <c r="B320" s="1" t="s">
        <v>54</v>
      </c>
      <c r="C320">
        <v>-5.3337589999999997</v>
      </c>
      <c r="D320">
        <v>13.246924</v>
      </c>
      <c r="E320" s="1" t="s">
        <v>1428</v>
      </c>
      <c r="F320" s="1" t="s">
        <v>1424</v>
      </c>
      <c r="G320" s="1" t="s">
        <v>1526</v>
      </c>
    </row>
    <row r="321" spans="1:7" x14ac:dyDescent="0.25">
      <c r="A321" s="1" t="s">
        <v>763</v>
      </c>
      <c r="B321" s="1" t="s">
        <v>83</v>
      </c>
      <c r="C321">
        <v>-8.1437910000000002</v>
      </c>
      <c r="D321">
        <v>28.946161</v>
      </c>
      <c r="E321" s="1" t="s">
        <v>1426</v>
      </c>
      <c r="F321" s="1" t="s">
        <v>1429</v>
      </c>
      <c r="G321" s="1" t="s">
        <v>1526</v>
      </c>
    </row>
    <row r="322" spans="1:7" x14ac:dyDescent="0.25">
      <c r="A322" s="1" t="s">
        <v>1537</v>
      </c>
      <c r="B322" s="1" t="s">
        <v>41</v>
      </c>
      <c r="C322">
        <v>4.0297190000000001</v>
      </c>
      <c r="D322">
        <v>20.699608000000001</v>
      </c>
      <c r="E322" s="1" t="s">
        <v>1426</v>
      </c>
      <c r="F322" s="1" t="s">
        <v>1424</v>
      </c>
      <c r="G322" s="1" t="s">
        <v>1526</v>
      </c>
    </row>
    <row r="323" spans="1:7" x14ac:dyDescent="0.25">
      <c r="A323" s="1" t="s">
        <v>1538</v>
      </c>
      <c r="B323" s="1" t="s">
        <v>83</v>
      </c>
      <c r="C323">
        <v>-3.2361680000000002</v>
      </c>
      <c r="D323">
        <v>13.523237999999999</v>
      </c>
      <c r="E323" s="1" t="s">
        <v>1426</v>
      </c>
      <c r="F323" s="1" t="s">
        <v>1427</v>
      </c>
      <c r="G323" s="1" t="s">
        <v>1526</v>
      </c>
    </row>
    <row r="324" spans="1:7" x14ac:dyDescent="0.25">
      <c r="A324" s="1" t="s">
        <v>1148</v>
      </c>
      <c r="B324" s="1" t="s">
        <v>61</v>
      </c>
      <c r="C324">
        <v>1.3006180000000001</v>
      </c>
      <c r="D324">
        <v>29.060970999999999</v>
      </c>
      <c r="E324" s="1" t="s">
        <v>1428</v>
      </c>
      <c r="F324" s="1" t="s">
        <v>1429</v>
      </c>
      <c r="G324" s="1" t="s">
        <v>1526</v>
      </c>
    </row>
    <row r="325" spans="1:7" x14ac:dyDescent="0.25">
      <c r="A325" s="1" t="s">
        <v>1539</v>
      </c>
      <c r="B325" s="1" t="s">
        <v>9</v>
      </c>
      <c r="C325">
        <v>1.178453</v>
      </c>
      <c r="D325">
        <v>17.479081000000001</v>
      </c>
      <c r="E325" s="1" t="s">
        <v>1428</v>
      </c>
      <c r="F325" s="1" t="s">
        <v>1424</v>
      </c>
      <c r="G325" s="1" t="s">
        <v>1526</v>
      </c>
    </row>
    <row r="326" spans="1:7" x14ac:dyDescent="0.25">
      <c r="A326" s="1" t="s">
        <v>1540</v>
      </c>
      <c r="B326" s="1" t="s">
        <v>59</v>
      </c>
      <c r="C326">
        <v>-11.542737000000001</v>
      </c>
      <c r="D326">
        <v>30.175912</v>
      </c>
      <c r="E326" s="1" t="s">
        <v>1426</v>
      </c>
      <c r="F326" s="1" t="s">
        <v>1435</v>
      </c>
      <c r="G326" s="1" t="s">
        <v>1526</v>
      </c>
    </row>
    <row r="327" spans="1:7" x14ac:dyDescent="0.25">
      <c r="A327" s="1" t="s">
        <v>1541</v>
      </c>
      <c r="B327" s="1" t="s">
        <v>24</v>
      </c>
      <c r="C327">
        <v>0.24369399999999999</v>
      </c>
      <c r="D327">
        <v>17.242912</v>
      </c>
      <c r="E327" s="1" t="s">
        <v>1426</v>
      </c>
      <c r="F327" s="1" t="s">
        <v>1435</v>
      </c>
      <c r="G327" s="1" t="s">
        <v>1526</v>
      </c>
    </row>
    <row r="328" spans="1:7" x14ac:dyDescent="0.25">
      <c r="A328" s="1" t="s">
        <v>1542</v>
      </c>
      <c r="B328" s="1" t="s">
        <v>59</v>
      </c>
      <c r="C328">
        <v>2.9836019999999999</v>
      </c>
      <c r="D328">
        <v>21.893065</v>
      </c>
      <c r="E328" s="1" t="s">
        <v>1423</v>
      </c>
      <c r="F328" s="1" t="s">
        <v>1435</v>
      </c>
      <c r="G328" s="1" t="s">
        <v>1526</v>
      </c>
    </row>
    <row r="329" spans="1:7" x14ac:dyDescent="0.25">
      <c r="A329" s="1" t="s">
        <v>1063</v>
      </c>
      <c r="B329" s="1" t="s">
        <v>9</v>
      </c>
      <c r="C329">
        <v>-11.002602</v>
      </c>
      <c r="D329">
        <v>23.918247999999998</v>
      </c>
      <c r="E329" s="1" t="s">
        <v>1423</v>
      </c>
      <c r="F329" s="1" t="s">
        <v>1429</v>
      </c>
      <c r="G329" s="1" t="s">
        <v>1526</v>
      </c>
    </row>
    <row r="330" spans="1:7" x14ac:dyDescent="0.25">
      <c r="A330" s="1" t="s">
        <v>1543</v>
      </c>
      <c r="B330" s="1" t="s">
        <v>68</v>
      </c>
      <c r="C330">
        <v>-6.419365</v>
      </c>
      <c r="D330">
        <v>17.570219000000002</v>
      </c>
      <c r="E330" s="1" t="s">
        <v>1426</v>
      </c>
      <c r="F330" s="1" t="s">
        <v>1427</v>
      </c>
      <c r="G330" s="1" t="s">
        <v>1526</v>
      </c>
    </row>
    <row r="331" spans="1:7" x14ac:dyDescent="0.25">
      <c r="A331" s="1" t="s">
        <v>927</v>
      </c>
      <c r="B331" s="1" t="s">
        <v>122</v>
      </c>
      <c r="C331">
        <v>-1.8555980000000001</v>
      </c>
      <c r="D331">
        <v>30.421918000000002</v>
      </c>
      <c r="E331" s="1" t="s">
        <v>1428</v>
      </c>
      <c r="F331" s="1" t="s">
        <v>1429</v>
      </c>
      <c r="G331" s="1" t="s">
        <v>1526</v>
      </c>
    </row>
    <row r="332" spans="1:7" x14ac:dyDescent="0.25">
      <c r="A332" s="1" t="s">
        <v>1057</v>
      </c>
      <c r="B332" s="1" t="s">
        <v>24</v>
      </c>
      <c r="C332">
        <v>-6.4197189999999997</v>
      </c>
      <c r="D332">
        <v>22.287264</v>
      </c>
      <c r="E332" s="1" t="s">
        <v>1428</v>
      </c>
      <c r="F332" s="1" t="s">
        <v>1424</v>
      </c>
      <c r="G332" s="1" t="s">
        <v>1526</v>
      </c>
    </row>
    <row r="333" spans="1:7" x14ac:dyDescent="0.25">
      <c r="A333" s="1" t="s">
        <v>795</v>
      </c>
      <c r="B333" s="1" t="s">
        <v>23</v>
      </c>
      <c r="C333">
        <v>-2.9417719999999998</v>
      </c>
      <c r="D333">
        <v>18.587305000000001</v>
      </c>
      <c r="E333" s="1" t="s">
        <v>1423</v>
      </c>
      <c r="F333" s="1" t="s">
        <v>1424</v>
      </c>
      <c r="G333" s="1" t="s">
        <v>1526</v>
      </c>
    </row>
    <row r="334" spans="1:7" x14ac:dyDescent="0.25">
      <c r="A334" s="1" t="s">
        <v>1141</v>
      </c>
      <c r="B334" s="1" t="s">
        <v>35</v>
      </c>
      <c r="C334">
        <v>-11.793894</v>
      </c>
      <c r="D334">
        <v>20.433340999999999</v>
      </c>
      <c r="E334" s="1" t="s">
        <v>1423</v>
      </c>
      <c r="F334" s="1" t="s">
        <v>1435</v>
      </c>
      <c r="G334" s="1" t="s">
        <v>1526</v>
      </c>
    </row>
    <row r="335" spans="1:7" x14ac:dyDescent="0.25">
      <c r="A335" s="1" t="s">
        <v>1545</v>
      </c>
      <c r="B335" s="1" t="s">
        <v>54</v>
      </c>
      <c r="C335">
        <v>0.114899</v>
      </c>
      <c r="D335">
        <v>30.510916000000002</v>
      </c>
      <c r="E335" s="1" t="s">
        <v>1428</v>
      </c>
      <c r="F335" s="1" t="s">
        <v>1435</v>
      </c>
      <c r="G335" s="1" t="s">
        <v>1544</v>
      </c>
    </row>
    <row r="336" spans="1:7" x14ac:dyDescent="0.25">
      <c r="A336" s="1" t="s">
        <v>792</v>
      </c>
      <c r="B336" s="1" t="s">
        <v>23</v>
      </c>
      <c r="C336">
        <v>-5.5445120000000001</v>
      </c>
      <c r="D336">
        <v>27.547335</v>
      </c>
      <c r="E336" s="1" t="s">
        <v>1426</v>
      </c>
      <c r="F336" s="1" t="s">
        <v>1424</v>
      </c>
      <c r="G336" s="1" t="s">
        <v>1544</v>
      </c>
    </row>
    <row r="337" spans="1:7" x14ac:dyDescent="0.25">
      <c r="A337" s="1" t="s">
        <v>1117</v>
      </c>
      <c r="B337" s="1" t="s">
        <v>126</v>
      </c>
      <c r="C337">
        <v>2.0392079999999999</v>
      </c>
      <c r="D337">
        <v>19.090841999999999</v>
      </c>
      <c r="E337" s="1" t="s">
        <v>1426</v>
      </c>
      <c r="F337" s="1" t="s">
        <v>1435</v>
      </c>
      <c r="G337" s="1" t="s">
        <v>1544</v>
      </c>
    </row>
    <row r="338" spans="1:7" x14ac:dyDescent="0.25">
      <c r="A338" s="1" t="s">
        <v>749</v>
      </c>
      <c r="B338" s="1" t="s">
        <v>62</v>
      </c>
      <c r="C338">
        <v>-2.2371569999999998</v>
      </c>
      <c r="D338">
        <v>25.926188</v>
      </c>
      <c r="E338" s="1" t="s">
        <v>1428</v>
      </c>
      <c r="F338" s="1" t="s">
        <v>1435</v>
      </c>
      <c r="G338" s="1" t="s">
        <v>1544</v>
      </c>
    </row>
    <row r="339" spans="1:7" x14ac:dyDescent="0.25">
      <c r="A339" s="1" t="s">
        <v>863</v>
      </c>
      <c r="B339" s="1" t="s">
        <v>31</v>
      </c>
      <c r="C339">
        <v>-10.414493</v>
      </c>
      <c r="D339">
        <v>12.333356999999999</v>
      </c>
      <c r="E339" s="1" t="s">
        <v>1428</v>
      </c>
      <c r="F339" s="1" t="s">
        <v>1424</v>
      </c>
      <c r="G339" s="1" t="s">
        <v>1544</v>
      </c>
    </row>
    <row r="340" spans="1:7" x14ac:dyDescent="0.25">
      <c r="A340" s="1" t="s">
        <v>1546</v>
      </c>
      <c r="B340" s="1" t="s">
        <v>37</v>
      </c>
      <c r="C340">
        <v>4.7908840000000001</v>
      </c>
      <c r="D340">
        <v>23.051435000000001</v>
      </c>
      <c r="E340" s="1" t="s">
        <v>1428</v>
      </c>
      <c r="F340" s="1" t="s">
        <v>1435</v>
      </c>
      <c r="G340" s="1" t="s">
        <v>1544</v>
      </c>
    </row>
    <row r="341" spans="1:7" x14ac:dyDescent="0.25">
      <c r="A341" s="1" t="s">
        <v>1547</v>
      </c>
      <c r="B341" s="1" t="s">
        <v>57</v>
      </c>
      <c r="C341">
        <v>-3.544581</v>
      </c>
      <c r="D341">
        <v>14.776605</v>
      </c>
      <c r="E341" s="1" t="s">
        <v>1426</v>
      </c>
      <c r="F341" s="1" t="s">
        <v>1435</v>
      </c>
      <c r="G341" s="1" t="s">
        <v>1544</v>
      </c>
    </row>
    <row r="342" spans="1:7" x14ac:dyDescent="0.25">
      <c r="A342" s="1" t="s">
        <v>1075</v>
      </c>
      <c r="B342" s="1" t="s">
        <v>118</v>
      </c>
      <c r="C342">
        <v>-6.9624990000000002</v>
      </c>
      <c r="D342">
        <v>20.759834999999999</v>
      </c>
      <c r="E342" s="1" t="s">
        <v>1426</v>
      </c>
      <c r="F342" s="1" t="s">
        <v>1427</v>
      </c>
      <c r="G342" s="1" t="s">
        <v>1544</v>
      </c>
    </row>
    <row r="343" spans="1:7" x14ac:dyDescent="0.25">
      <c r="A343" s="1" t="s">
        <v>1548</v>
      </c>
      <c r="B343" s="1" t="s">
        <v>12</v>
      </c>
      <c r="C343">
        <v>3.796754</v>
      </c>
      <c r="D343">
        <v>25.172377999999998</v>
      </c>
      <c r="E343" s="1" t="s">
        <v>1426</v>
      </c>
      <c r="F343" s="1" t="s">
        <v>1427</v>
      </c>
      <c r="G343" s="1" t="s">
        <v>1544</v>
      </c>
    </row>
    <row r="344" spans="1:7" x14ac:dyDescent="0.25">
      <c r="A344" s="1" t="s">
        <v>1549</v>
      </c>
      <c r="B344" s="1" t="s">
        <v>37</v>
      </c>
      <c r="C344">
        <v>-6.236097</v>
      </c>
      <c r="D344">
        <v>13.004878</v>
      </c>
      <c r="E344" s="1" t="s">
        <v>1426</v>
      </c>
      <c r="F344" s="1" t="s">
        <v>1424</v>
      </c>
      <c r="G344" s="1" t="s">
        <v>1544</v>
      </c>
    </row>
    <row r="345" spans="1:7" x14ac:dyDescent="0.25">
      <c r="A345" s="1" t="s">
        <v>1550</v>
      </c>
      <c r="B345" s="1" t="s">
        <v>122</v>
      </c>
      <c r="C345">
        <v>-1.501492</v>
      </c>
      <c r="D345">
        <v>24.088695999999999</v>
      </c>
      <c r="E345" s="1" t="s">
        <v>1426</v>
      </c>
      <c r="F345" s="1" t="s">
        <v>1435</v>
      </c>
      <c r="G345" s="1" t="s">
        <v>1544</v>
      </c>
    </row>
    <row r="346" spans="1:7" x14ac:dyDescent="0.25">
      <c r="A346" s="1" t="s">
        <v>1397</v>
      </c>
      <c r="B346" s="1" t="s">
        <v>31</v>
      </c>
      <c r="C346">
        <v>-8.0800809999999998</v>
      </c>
      <c r="D346">
        <v>30.147970999999998</v>
      </c>
      <c r="E346" s="1" t="s">
        <v>1423</v>
      </c>
      <c r="F346" s="1" t="s">
        <v>1427</v>
      </c>
      <c r="G346" s="1" t="s">
        <v>1544</v>
      </c>
    </row>
    <row r="347" spans="1:7" x14ac:dyDescent="0.25">
      <c r="A347" s="1" t="s">
        <v>1551</v>
      </c>
      <c r="B347" s="1" t="s">
        <v>24</v>
      </c>
      <c r="C347">
        <v>-9.8519260000000006</v>
      </c>
      <c r="D347">
        <v>12.925583</v>
      </c>
      <c r="E347" s="1" t="s">
        <v>1423</v>
      </c>
      <c r="F347" s="1" t="s">
        <v>1424</v>
      </c>
      <c r="G347" s="1" t="s">
        <v>1544</v>
      </c>
    </row>
    <row r="348" spans="1:7" x14ac:dyDescent="0.25">
      <c r="A348" s="1" t="s">
        <v>886</v>
      </c>
      <c r="B348" s="1" t="s">
        <v>72</v>
      </c>
      <c r="C348">
        <v>-4.6818410000000004</v>
      </c>
      <c r="D348">
        <v>17.541618</v>
      </c>
      <c r="E348" s="1" t="s">
        <v>1426</v>
      </c>
      <c r="F348" s="1" t="s">
        <v>1424</v>
      </c>
      <c r="G348" s="1" t="s">
        <v>1544</v>
      </c>
    </row>
    <row r="349" spans="1:7" x14ac:dyDescent="0.25">
      <c r="A349" s="1" t="s">
        <v>1552</v>
      </c>
      <c r="B349" s="1" t="s">
        <v>29</v>
      </c>
      <c r="C349">
        <v>-2.7775059999999998</v>
      </c>
      <c r="D349">
        <v>24.139983999999998</v>
      </c>
      <c r="E349" s="1" t="s">
        <v>1428</v>
      </c>
      <c r="F349" s="1" t="s">
        <v>1424</v>
      </c>
      <c r="G349" s="1" t="s">
        <v>1544</v>
      </c>
    </row>
    <row r="350" spans="1:7" x14ac:dyDescent="0.25">
      <c r="A350" s="1" t="s">
        <v>1553</v>
      </c>
      <c r="B350" s="1" t="s">
        <v>29</v>
      </c>
      <c r="C350">
        <v>3.4676979999999999</v>
      </c>
      <c r="D350">
        <v>13.459707</v>
      </c>
      <c r="E350" s="1" t="s">
        <v>1423</v>
      </c>
      <c r="F350" s="1" t="s">
        <v>1427</v>
      </c>
      <c r="G350" s="1" t="s">
        <v>1544</v>
      </c>
    </row>
    <row r="351" spans="1:7" x14ac:dyDescent="0.25">
      <c r="A351" s="1" t="s">
        <v>1073</v>
      </c>
      <c r="B351" s="1" t="s">
        <v>68</v>
      </c>
      <c r="C351">
        <v>-9.4133639999999996</v>
      </c>
      <c r="D351">
        <v>15.682482</v>
      </c>
      <c r="E351" s="1" t="s">
        <v>1426</v>
      </c>
      <c r="F351" s="1" t="s">
        <v>1427</v>
      </c>
      <c r="G351" s="1" t="s">
        <v>1544</v>
      </c>
    </row>
    <row r="352" spans="1:7" x14ac:dyDescent="0.25">
      <c r="A352" s="1" t="s">
        <v>1272</v>
      </c>
      <c r="B352" s="1" t="s">
        <v>59</v>
      </c>
      <c r="C352">
        <v>1.981107</v>
      </c>
      <c r="D352">
        <v>23.932569000000001</v>
      </c>
      <c r="E352" s="1" t="s">
        <v>1428</v>
      </c>
      <c r="F352" s="1" t="s">
        <v>1435</v>
      </c>
      <c r="G352" s="1" t="s">
        <v>1544</v>
      </c>
    </row>
    <row r="353" spans="1:7" x14ac:dyDescent="0.25">
      <c r="A353" s="1" t="s">
        <v>1143</v>
      </c>
      <c r="B353" s="1" t="s">
        <v>12</v>
      </c>
      <c r="C353">
        <v>-7.789663</v>
      </c>
      <c r="D353">
        <v>26.529098000000001</v>
      </c>
      <c r="E353" s="1" t="s">
        <v>1423</v>
      </c>
      <c r="F353" s="1" t="s">
        <v>1435</v>
      </c>
      <c r="G353" s="1" t="s">
        <v>1544</v>
      </c>
    </row>
    <row r="354" spans="1:7" x14ac:dyDescent="0.25">
      <c r="A354" s="1" t="s">
        <v>1045</v>
      </c>
      <c r="B354" s="1" t="s">
        <v>20</v>
      </c>
      <c r="C354">
        <v>-4.1694589999999998</v>
      </c>
      <c r="D354">
        <v>23.376487000000001</v>
      </c>
      <c r="E354" s="1" t="s">
        <v>1428</v>
      </c>
      <c r="F354" s="1" t="s">
        <v>1435</v>
      </c>
      <c r="G354" s="1" t="s">
        <v>1544</v>
      </c>
    </row>
    <row r="355" spans="1:7" x14ac:dyDescent="0.25">
      <c r="A355" s="1" t="s">
        <v>830</v>
      </c>
      <c r="B355" s="1" t="s">
        <v>122</v>
      </c>
      <c r="C355">
        <v>1.8103860000000001</v>
      </c>
      <c r="D355">
        <v>15.175582</v>
      </c>
      <c r="E355" s="1" t="s">
        <v>1428</v>
      </c>
      <c r="F355" s="1" t="s">
        <v>1427</v>
      </c>
      <c r="G355" s="1" t="s">
        <v>1544</v>
      </c>
    </row>
    <row r="356" spans="1:7" x14ac:dyDescent="0.25">
      <c r="A356" s="1" t="s">
        <v>762</v>
      </c>
      <c r="B356" s="1" t="s">
        <v>35</v>
      </c>
      <c r="C356">
        <v>-2.4662510000000002</v>
      </c>
      <c r="D356">
        <v>18.007998000000001</v>
      </c>
      <c r="E356" s="1" t="s">
        <v>1423</v>
      </c>
      <c r="F356" s="1" t="s">
        <v>1424</v>
      </c>
      <c r="G356" s="1" t="s">
        <v>1544</v>
      </c>
    </row>
    <row r="357" spans="1:7" x14ac:dyDescent="0.25">
      <c r="A357" s="1" t="s">
        <v>1554</v>
      </c>
      <c r="B357" s="1" t="s">
        <v>9</v>
      </c>
      <c r="C357">
        <v>-4.1061909999999999</v>
      </c>
      <c r="D357">
        <v>28.054902999999999</v>
      </c>
      <c r="E357" s="1" t="s">
        <v>1428</v>
      </c>
      <c r="F357" s="1" t="s">
        <v>1427</v>
      </c>
      <c r="G357" s="1" t="s">
        <v>1544</v>
      </c>
    </row>
    <row r="358" spans="1:7" x14ac:dyDescent="0.25">
      <c r="A358" s="1" t="s">
        <v>1020</v>
      </c>
      <c r="B358" s="1" t="s">
        <v>20</v>
      </c>
      <c r="C358">
        <v>0.31740800000000002</v>
      </c>
      <c r="D358">
        <v>27.197666999999999</v>
      </c>
      <c r="E358" s="1" t="s">
        <v>1423</v>
      </c>
      <c r="F358" s="1" t="s">
        <v>1435</v>
      </c>
      <c r="G358" s="1" t="s">
        <v>1544</v>
      </c>
    </row>
    <row r="359" spans="1:7" x14ac:dyDescent="0.25">
      <c r="A359" s="1" t="s">
        <v>1007</v>
      </c>
      <c r="B359" s="1" t="s">
        <v>20</v>
      </c>
      <c r="C359">
        <v>1.2419519999999999</v>
      </c>
      <c r="D359">
        <v>25.261382999999999</v>
      </c>
      <c r="E359" s="1" t="s">
        <v>1426</v>
      </c>
      <c r="F359" s="1" t="s">
        <v>1427</v>
      </c>
      <c r="G359" s="1" t="s">
        <v>1544</v>
      </c>
    </row>
    <row r="360" spans="1:7" x14ac:dyDescent="0.25">
      <c r="A360" s="1" t="s">
        <v>1293</v>
      </c>
      <c r="B360" s="1" t="s">
        <v>61</v>
      </c>
      <c r="C360">
        <v>-10.227569000000001</v>
      </c>
      <c r="D360">
        <v>18.887930999999998</v>
      </c>
      <c r="E360" s="1" t="s">
        <v>1428</v>
      </c>
      <c r="F360" s="1" t="s">
        <v>1429</v>
      </c>
      <c r="G360" s="1" t="s">
        <v>1544</v>
      </c>
    </row>
    <row r="361" spans="1:7" x14ac:dyDescent="0.25">
      <c r="A361" s="1" t="s">
        <v>967</v>
      </c>
      <c r="B361" s="1" t="s">
        <v>33</v>
      </c>
      <c r="C361">
        <v>-7.5969509999999998</v>
      </c>
      <c r="D361">
        <v>22.153986</v>
      </c>
      <c r="E361" s="1" t="s">
        <v>1428</v>
      </c>
      <c r="F361" s="1" t="s">
        <v>1424</v>
      </c>
      <c r="G361" s="1" t="s">
        <v>1544</v>
      </c>
    </row>
    <row r="362" spans="1:7" x14ac:dyDescent="0.25">
      <c r="A362" s="1" t="s">
        <v>1283</v>
      </c>
      <c r="B362" s="1" t="s">
        <v>20</v>
      </c>
      <c r="C362">
        <v>-1.4700059999999999</v>
      </c>
      <c r="D362">
        <v>18.680958</v>
      </c>
      <c r="E362" s="1" t="s">
        <v>1428</v>
      </c>
      <c r="F362" s="1" t="s">
        <v>1427</v>
      </c>
      <c r="G362" s="1" t="s">
        <v>1544</v>
      </c>
    </row>
    <row r="363" spans="1:7" x14ac:dyDescent="0.25">
      <c r="A363" s="1" t="s">
        <v>997</v>
      </c>
      <c r="B363" s="1" t="s">
        <v>20</v>
      </c>
      <c r="C363">
        <v>-1.5419050000000001</v>
      </c>
      <c r="D363">
        <v>14.730632999999999</v>
      </c>
      <c r="E363" s="1" t="s">
        <v>1428</v>
      </c>
      <c r="F363" s="1" t="s">
        <v>1429</v>
      </c>
      <c r="G363" s="1" t="s">
        <v>1544</v>
      </c>
    </row>
    <row r="364" spans="1:7" x14ac:dyDescent="0.25">
      <c r="A364" s="1" t="s">
        <v>1403</v>
      </c>
      <c r="B364" s="1" t="s">
        <v>33</v>
      </c>
      <c r="C364">
        <v>-10.764815</v>
      </c>
      <c r="D364">
        <v>14.602039</v>
      </c>
      <c r="E364" s="1" t="s">
        <v>1426</v>
      </c>
      <c r="F364" s="1" t="s">
        <v>1435</v>
      </c>
      <c r="G364" s="1" t="s">
        <v>1544</v>
      </c>
    </row>
    <row r="365" spans="1:7" x14ac:dyDescent="0.25">
      <c r="A365" s="1" t="s">
        <v>1037</v>
      </c>
      <c r="B365" s="1" t="s">
        <v>118</v>
      </c>
      <c r="C365">
        <v>-1.013558</v>
      </c>
      <c r="D365">
        <v>17.346937</v>
      </c>
      <c r="E365" s="1" t="s">
        <v>1423</v>
      </c>
      <c r="F365" s="1" t="s">
        <v>1427</v>
      </c>
      <c r="G365" s="1" t="s">
        <v>1544</v>
      </c>
    </row>
    <row r="366" spans="1:7" x14ac:dyDescent="0.25">
      <c r="A366" s="1" t="s">
        <v>1400</v>
      </c>
      <c r="B366" s="1" t="s">
        <v>57</v>
      </c>
      <c r="C366">
        <v>-7.8215969999999997</v>
      </c>
      <c r="D366">
        <v>26.797349000000001</v>
      </c>
      <c r="E366" s="1" t="s">
        <v>1428</v>
      </c>
      <c r="F366" s="1" t="s">
        <v>1424</v>
      </c>
      <c r="G366" s="1" t="s">
        <v>1544</v>
      </c>
    </row>
    <row r="367" spans="1:7" x14ac:dyDescent="0.25">
      <c r="A367" s="1" t="s">
        <v>809</v>
      </c>
      <c r="B367" s="1" t="s">
        <v>37</v>
      </c>
      <c r="C367">
        <v>-9.7712979999999998</v>
      </c>
      <c r="D367">
        <v>19.827895999999999</v>
      </c>
      <c r="E367" s="1" t="s">
        <v>1428</v>
      </c>
      <c r="F367" s="1" t="s">
        <v>1429</v>
      </c>
      <c r="G367" s="1" t="s">
        <v>1544</v>
      </c>
    </row>
    <row r="368" spans="1:7" x14ac:dyDescent="0.25">
      <c r="A368" s="1" t="s">
        <v>1271</v>
      </c>
      <c r="B368" s="1" t="s">
        <v>17</v>
      </c>
      <c r="C368">
        <v>-1.3938550000000001</v>
      </c>
      <c r="D368">
        <v>15.097554000000001</v>
      </c>
      <c r="E368" s="1" t="s">
        <v>1426</v>
      </c>
      <c r="F368" s="1" t="s">
        <v>1427</v>
      </c>
      <c r="G368" s="1" t="s">
        <v>1544</v>
      </c>
    </row>
    <row r="369" spans="1:7" x14ac:dyDescent="0.25">
      <c r="A369" s="1" t="s">
        <v>1174</v>
      </c>
      <c r="B369" s="1" t="s">
        <v>118</v>
      </c>
      <c r="C369">
        <v>-12.488033</v>
      </c>
      <c r="D369">
        <v>16.139648000000001</v>
      </c>
      <c r="E369" s="1" t="s">
        <v>1426</v>
      </c>
      <c r="F369" s="1" t="s">
        <v>1427</v>
      </c>
      <c r="G369" s="1" t="s">
        <v>1544</v>
      </c>
    </row>
    <row r="370" spans="1:7" x14ac:dyDescent="0.25">
      <c r="A370" s="1" t="s">
        <v>1027</v>
      </c>
      <c r="B370" s="1" t="s">
        <v>9</v>
      </c>
      <c r="C370">
        <v>-4.1250960000000001</v>
      </c>
      <c r="D370">
        <v>27.799897999999999</v>
      </c>
      <c r="E370" s="1" t="s">
        <v>1428</v>
      </c>
      <c r="F370" s="1" t="s">
        <v>1435</v>
      </c>
      <c r="G370" s="1" t="s">
        <v>1544</v>
      </c>
    </row>
    <row r="371" spans="1:7" x14ac:dyDescent="0.25">
      <c r="A371" s="1" t="s">
        <v>805</v>
      </c>
      <c r="B371" s="1" t="s">
        <v>23</v>
      </c>
      <c r="C371">
        <v>4.4712560000000003</v>
      </c>
      <c r="D371">
        <v>27.107028</v>
      </c>
      <c r="E371" s="1" t="s">
        <v>1428</v>
      </c>
      <c r="F371" s="1" t="s">
        <v>1424</v>
      </c>
      <c r="G371" s="1" t="s">
        <v>1544</v>
      </c>
    </row>
    <row r="372" spans="1:7" x14ac:dyDescent="0.25">
      <c r="A372" s="1" t="s">
        <v>1324</v>
      </c>
      <c r="B372" s="1" t="s">
        <v>118</v>
      </c>
      <c r="C372">
        <v>-2.2199559999999998</v>
      </c>
      <c r="D372">
        <v>22.614449</v>
      </c>
      <c r="E372" s="1" t="s">
        <v>1428</v>
      </c>
      <c r="F372" s="1" t="s">
        <v>1435</v>
      </c>
      <c r="G372" s="1" t="s">
        <v>1544</v>
      </c>
    </row>
    <row r="373" spans="1:7" x14ac:dyDescent="0.25">
      <c r="A373" s="1" t="s">
        <v>1095</v>
      </c>
      <c r="B373" s="1" t="s">
        <v>33</v>
      </c>
      <c r="C373">
        <v>-6.4883290000000002</v>
      </c>
      <c r="D373">
        <v>25.103404000000001</v>
      </c>
      <c r="E373" s="1" t="s">
        <v>1423</v>
      </c>
      <c r="F373" s="1" t="s">
        <v>1429</v>
      </c>
      <c r="G373" s="1" t="s">
        <v>1544</v>
      </c>
    </row>
    <row r="374" spans="1:7" x14ac:dyDescent="0.25">
      <c r="A374" s="1" t="s">
        <v>930</v>
      </c>
      <c r="B374" s="1" t="s">
        <v>27</v>
      </c>
      <c r="C374">
        <v>-4.351254</v>
      </c>
      <c r="D374">
        <v>30.097408999999999</v>
      </c>
      <c r="E374" s="1" t="s">
        <v>1423</v>
      </c>
      <c r="F374" s="1" t="s">
        <v>1435</v>
      </c>
      <c r="G374" s="1" t="s">
        <v>1544</v>
      </c>
    </row>
    <row r="375" spans="1:7" x14ac:dyDescent="0.25">
      <c r="A375" s="1" t="s">
        <v>1383</v>
      </c>
      <c r="B375" s="1" t="s">
        <v>23</v>
      </c>
      <c r="C375">
        <v>-5.1507670000000001</v>
      </c>
      <c r="D375">
        <v>28.075324999999999</v>
      </c>
      <c r="E375" s="1" t="s">
        <v>1423</v>
      </c>
      <c r="F375" s="1" t="s">
        <v>1427</v>
      </c>
      <c r="G375" s="1" t="s">
        <v>1544</v>
      </c>
    </row>
    <row r="376" spans="1:7" x14ac:dyDescent="0.25">
      <c r="A376" s="1" t="s">
        <v>1555</v>
      </c>
      <c r="B376" s="1" t="s">
        <v>17</v>
      </c>
      <c r="C376">
        <v>-8.3575920000000004</v>
      </c>
      <c r="D376">
        <v>25.538395000000001</v>
      </c>
      <c r="E376" s="1" t="s">
        <v>1428</v>
      </c>
      <c r="F376" s="1" t="s">
        <v>1429</v>
      </c>
      <c r="G376" s="1" t="s">
        <v>1544</v>
      </c>
    </row>
    <row r="377" spans="1:7" x14ac:dyDescent="0.25">
      <c r="A377" s="1" t="s">
        <v>1556</v>
      </c>
      <c r="B377" s="1" t="s">
        <v>9</v>
      </c>
      <c r="C377">
        <v>-0.65356899999999996</v>
      </c>
      <c r="D377">
        <v>25.343032999999998</v>
      </c>
      <c r="E377" s="1" t="s">
        <v>1426</v>
      </c>
      <c r="F377" s="1" t="s">
        <v>1424</v>
      </c>
      <c r="G377" s="1" t="s">
        <v>1544</v>
      </c>
    </row>
    <row r="378" spans="1:7" x14ac:dyDescent="0.25">
      <c r="A378" s="1" t="s">
        <v>1558</v>
      </c>
      <c r="B378" s="1" t="s">
        <v>59</v>
      </c>
      <c r="C378">
        <v>-2.290705</v>
      </c>
      <c r="D378">
        <v>19.150395</v>
      </c>
      <c r="E378" s="1" t="s">
        <v>1423</v>
      </c>
      <c r="F378" s="1" t="s">
        <v>1424</v>
      </c>
      <c r="G378" s="1" t="s">
        <v>1557</v>
      </c>
    </row>
    <row r="379" spans="1:7" x14ac:dyDescent="0.25">
      <c r="A379" s="1" t="s">
        <v>744</v>
      </c>
      <c r="B379" s="1" t="s">
        <v>37</v>
      </c>
      <c r="C379">
        <v>4.8319039999999998</v>
      </c>
      <c r="D379">
        <v>20.733468999999999</v>
      </c>
      <c r="E379" s="1" t="s">
        <v>1423</v>
      </c>
      <c r="F379" s="1" t="s">
        <v>1424</v>
      </c>
      <c r="G379" s="1" t="s">
        <v>1557</v>
      </c>
    </row>
    <row r="380" spans="1:7" x14ac:dyDescent="0.25">
      <c r="A380" s="1" t="s">
        <v>1559</v>
      </c>
      <c r="B380" s="1" t="s">
        <v>72</v>
      </c>
      <c r="C380">
        <v>-10.790281</v>
      </c>
      <c r="D380">
        <v>12.624336</v>
      </c>
      <c r="E380" s="1" t="s">
        <v>1426</v>
      </c>
      <c r="F380" s="1" t="s">
        <v>1435</v>
      </c>
      <c r="G380" s="1" t="s">
        <v>1557</v>
      </c>
    </row>
    <row r="381" spans="1:7" x14ac:dyDescent="0.25">
      <c r="A381" s="1" t="s">
        <v>1560</v>
      </c>
      <c r="B381" s="1" t="s">
        <v>24</v>
      </c>
      <c r="C381">
        <v>2.0859640000000002</v>
      </c>
      <c r="D381">
        <v>22.576664000000001</v>
      </c>
      <c r="E381" s="1" t="s">
        <v>1426</v>
      </c>
      <c r="F381" s="1" t="s">
        <v>1429</v>
      </c>
      <c r="G381" s="1" t="s">
        <v>1557</v>
      </c>
    </row>
    <row r="382" spans="1:7" x14ac:dyDescent="0.25">
      <c r="A382" s="1" t="s">
        <v>1182</v>
      </c>
      <c r="B382" s="1" t="s">
        <v>48</v>
      </c>
      <c r="C382">
        <v>5.3608999999999997E-2</v>
      </c>
      <c r="D382">
        <v>28.346852999999999</v>
      </c>
      <c r="E382" s="1" t="s">
        <v>1428</v>
      </c>
      <c r="F382" s="1" t="s">
        <v>1429</v>
      </c>
      <c r="G382" s="1" t="s">
        <v>1557</v>
      </c>
    </row>
    <row r="383" spans="1:7" x14ac:dyDescent="0.25">
      <c r="A383" s="1" t="s">
        <v>1309</v>
      </c>
      <c r="B383" s="1" t="s">
        <v>33</v>
      </c>
      <c r="C383">
        <v>-0.157111</v>
      </c>
      <c r="D383">
        <v>25.415125</v>
      </c>
      <c r="E383" s="1" t="s">
        <v>1426</v>
      </c>
      <c r="F383" s="1" t="s">
        <v>1424</v>
      </c>
      <c r="G383" s="1" t="s">
        <v>1557</v>
      </c>
    </row>
    <row r="384" spans="1:7" x14ac:dyDescent="0.25">
      <c r="A384" s="1" t="s">
        <v>1561</v>
      </c>
      <c r="B384" s="1" t="s">
        <v>118</v>
      </c>
      <c r="C384">
        <v>-2.5254650000000001</v>
      </c>
      <c r="D384">
        <v>21.338113</v>
      </c>
      <c r="E384" s="1" t="s">
        <v>1423</v>
      </c>
      <c r="F384" s="1" t="s">
        <v>1435</v>
      </c>
      <c r="G384" s="1" t="s">
        <v>1557</v>
      </c>
    </row>
    <row r="385" spans="1:7" x14ac:dyDescent="0.25">
      <c r="A385" s="1" t="s">
        <v>923</v>
      </c>
      <c r="B385" s="1" t="s">
        <v>17</v>
      </c>
      <c r="C385">
        <v>1.210869</v>
      </c>
      <c r="D385">
        <v>25.598741</v>
      </c>
      <c r="E385" s="1" t="s">
        <v>1426</v>
      </c>
      <c r="F385" s="1" t="s">
        <v>1424</v>
      </c>
      <c r="G385" s="1" t="s">
        <v>1557</v>
      </c>
    </row>
    <row r="386" spans="1:7" x14ac:dyDescent="0.25">
      <c r="A386" s="1" t="s">
        <v>1042</v>
      </c>
      <c r="B386" s="1" t="s">
        <v>33</v>
      </c>
      <c r="C386">
        <v>-1.4110389999999999</v>
      </c>
      <c r="D386">
        <v>21.261644</v>
      </c>
      <c r="E386" s="1" t="s">
        <v>1426</v>
      </c>
      <c r="F386" s="1" t="s">
        <v>1429</v>
      </c>
      <c r="G386" s="1" t="s">
        <v>1557</v>
      </c>
    </row>
    <row r="387" spans="1:7" x14ac:dyDescent="0.25">
      <c r="A387" s="1" t="s">
        <v>873</v>
      </c>
      <c r="B387" s="1" t="s">
        <v>118</v>
      </c>
      <c r="C387">
        <v>-4.4351269999999996</v>
      </c>
      <c r="D387">
        <v>24.825467</v>
      </c>
      <c r="E387" s="1" t="s">
        <v>1426</v>
      </c>
      <c r="F387" s="1" t="s">
        <v>1427</v>
      </c>
      <c r="G387" s="1" t="s">
        <v>1557</v>
      </c>
    </row>
    <row r="388" spans="1:7" x14ac:dyDescent="0.25">
      <c r="A388" s="1" t="s">
        <v>1562</v>
      </c>
      <c r="B388" s="1" t="s">
        <v>54</v>
      </c>
      <c r="C388">
        <v>-2.1430220000000002</v>
      </c>
      <c r="D388">
        <v>24.541492999999999</v>
      </c>
      <c r="E388" s="1" t="s">
        <v>1426</v>
      </c>
      <c r="F388" s="1" t="s">
        <v>1429</v>
      </c>
      <c r="G388" s="1" t="s">
        <v>1557</v>
      </c>
    </row>
    <row r="389" spans="1:7" x14ac:dyDescent="0.25">
      <c r="A389" s="1" t="s">
        <v>1124</v>
      </c>
      <c r="B389" s="1" t="s">
        <v>57</v>
      </c>
      <c r="C389">
        <v>-5.7200150000000001</v>
      </c>
      <c r="D389">
        <v>25.022109</v>
      </c>
      <c r="E389" s="1" t="s">
        <v>1423</v>
      </c>
      <c r="F389" s="1" t="s">
        <v>1429</v>
      </c>
      <c r="G389" s="1" t="s">
        <v>1557</v>
      </c>
    </row>
    <row r="390" spans="1:7" x14ac:dyDescent="0.25">
      <c r="A390" s="1" t="s">
        <v>1563</v>
      </c>
      <c r="B390" s="1" t="s">
        <v>9</v>
      </c>
      <c r="C390">
        <v>-4.2784089999999999</v>
      </c>
      <c r="D390">
        <v>22.871994000000001</v>
      </c>
      <c r="E390" s="1" t="s">
        <v>1428</v>
      </c>
      <c r="F390" s="1" t="s">
        <v>1424</v>
      </c>
      <c r="G390" s="1" t="s">
        <v>1557</v>
      </c>
    </row>
    <row r="391" spans="1:7" x14ac:dyDescent="0.25">
      <c r="A391" s="1" t="s">
        <v>1564</v>
      </c>
      <c r="B391" s="1" t="s">
        <v>9</v>
      </c>
      <c r="C391">
        <v>0.82399199999999995</v>
      </c>
      <c r="D391">
        <v>28.232678</v>
      </c>
      <c r="E391" s="1" t="s">
        <v>1428</v>
      </c>
      <c r="F391" s="1" t="s">
        <v>1427</v>
      </c>
      <c r="G391" s="1" t="s">
        <v>1557</v>
      </c>
    </row>
    <row r="392" spans="1:7" x14ac:dyDescent="0.25">
      <c r="A392" s="1" t="s">
        <v>1565</v>
      </c>
      <c r="B392" s="1" t="s">
        <v>23</v>
      </c>
      <c r="C392">
        <v>-4.0490719999999998</v>
      </c>
      <c r="D392">
        <v>21.399131000000001</v>
      </c>
      <c r="E392" s="1" t="s">
        <v>1428</v>
      </c>
      <c r="F392" s="1" t="s">
        <v>1429</v>
      </c>
      <c r="G392" s="1" t="s">
        <v>1557</v>
      </c>
    </row>
    <row r="393" spans="1:7" x14ac:dyDescent="0.25">
      <c r="A393" s="1" t="s">
        <v>1384</v>
      </c>
      <c r="B393" s="1" t="s">
        <v>24</v>
      </c>
      <c r="C393">
        <v>-1.6893210000000001</v>
      </c>
      <c r="D393">
        <v>30.446543999999999</v>
      </c>
      <c r="E393" s="1" t="s">
        <v>1426</v>
      </c>
      <c r="F393" s="1" t="s">
        <v>1427</v>
      </c>
      <c r="G393" s="1" t="s">
        <v>1557</v>
      </c>
    </row>
    <row r="394" spans="1:7" x14ac:dyDescent="0.25">
      <c r="A394" s="1" t="s">
        <v>1017</v>
      </c>
      <c r="B394" s="1" t="s">
        <v>12</v>
      </c>
      <c r="C394">
        <v>-10.577049000000001</v>
      </c>
      <c r="D394">
        <v>23.721854</v>
      </c>
      <c r="E394" s="1" t="s">
        <v>1426</v>
      </c>
      <c r="F394" s="1" t="s">
        <v>1429</v>
      </c>
      <c r="G394" s="1" t="s">
        <v>1557</v>
      </c>
    </row>
    <row r="395" spans="1:7" x14ac:dyDescent="0.25">
      <c r="A395" s="1" t="s">
        <v>1301</v>
      </c>
      <c r="B395" s="1" t="s">
        <v>20</v>
      </c>
      <c r="C395">
        <v>-11.207139</v>
      </c>
      <c r="D395">
        <v>18.702511999999999</v>
      </c>
      <c r="E395" s="1" t="s">
        <v>1423</v>
      </c>
      <c r="F395" s="1" t="s">
        <v>1424</v>
      </c>
      <c r="G395" s="1" t="s">
        <v>1557</v>
      </c>
    </row>
    <row r="396" spans="1:7" x14ac:dyDescent="0.25">
      <c r="A396" s="1" t="s">
        <v>1566</v>
      </c>
      <c r="B396" s="1" t="s">
        <v>27</v>
      </c>
      <c r="C396">
        <v>-12.048655999999999</v>
      </c>
      <c r="D396">
        <v>30.577876</v>
      </c>
      <c r="E396" s="1" t="s">
        <v>1423</v>
      </c>
      <c r="F396" s="1" t="s">
        <v>1429</v>
      </c>
      <c r="G396" s="1" t="s">
        <v>1557</v>
      </c>
    </row>
    <row r="397" spans="1:7" x14ac:dyDescent="0.25">
      <c r="A397" s="1" t="s">
        <v>1567</v>
      </c>
      <c r="B397" s="1" t="s">
        <v>61</v>
      </c>
      <c r="C397">
        <v>-11.771884</v>
      </c>
      <c r="D397">
        <v>18.089172999999999</v>
      </c>
      <c r="E397" s="1" t="s">
        <v>1426</v>
      </c>
      <c r="F397" s="1" t="s">
        <v>1435</v>
      </c>
      <c r="G397" s="1" t="s">
        <v>1557</v>
      </c>
    </row>
    <row r="398" spans="1:7" x14ac:dyDescent="0.25">
      <c r="A398" s="1" t="s">
        <v>892</v>
      </c>
      <c r="B398" s="1" t="s">
        <v>12</v>
      </c>
      <c r="C398">
        <v>-0.79406600000000005</v>
      </c>
      <c r="D398">
        <v>12.534793000000001</v>
      </c>
      <c r="E398" s="1" t="s">
        <v>1428</v>
      </c>
      <c r="F398" s="1" t="s">
        <v>1427</v>
      </c>
      <c r="G398" s="1" t="s">
        <v>1557</v>
      </c>
    </row>
    <row r="399" spans="1:7" x14ac:dyDescent="0.25">
      <c r="A399" s="1" t="s">
        <v>1050</v>
      </c>
      <c r="B399" s="1" t="s">
        <v>24</v>
      </c>
      <c r="C399">
        <v>4.497306</v>
      </c>
      <c r="D399">
        <v>12.857251</v>
      </c>
      <c r="E399" s="1" t="s">
        <v>1423</v>
      </c>
      <c r="F399" s="1" t="s">
        <v>1424</v>
      </c>
      <c r="G399" s="1" t="s">
        <v>1557</v>
      </c>
    </row>
    <row r="400" spans="1:7" x14ac:dyDescent="0.25">
      <c r="A400" s="1" t="s">
        <v>1568</v>
      </c>
      <c r="B400" s="1" t="s">
        <v>12</v>
      </c>
      <c r="C400">
        <v>-6.1126060000000004</v>
      </c>
      <c r="D400">
        <v>27.901748999999999</v>
      </c>
      <c r="E400" s="1" t="s">
        <v>1426</v>
      </c>
      <c r="F400" s="1" t="s">
        <v>1429</v>
      </c>
      <c r="G400" s="1" t="s">
        <v>1557</v>
      </c>
    </row>
    <row r="401" spans="1:7" x14ac:dyDescent="0.25">
      <c r="A401" s="1" t="s">
        <v>769</v>
      </c>
      <c r="B401" s="1" t="s">
        <v>48</v>
      </c>
      <c r="C401">
        <v>-0.77432100000000004</v>
      </c>
      <c r="D401">
        <v>18.628658999999999</v>
      </c>
      <c r="E401" s="1" t="s">
        <v>1426</v>
      </c>
      <c r="F401" s="1" t="s">
        <v>1427</v>
      </c>
      <c r="G401" s="1" t="s">
        <v>1557</v>
      </c>
    </row>
    <row r="402" spans="1:7" x14ac:dyDescent="0.25">
      <c r="A402" s="1" t="s">
        <v>881</v>
      </c>
      <c r="B402" s="1" t="s">
        <v>118</v>
      </c>
      <c r="C402">
        <v>-1.8045979999999999</v>
      </c>
      <c r="D402">
        <v>12.511096999999999</v>
      </c>
      <c r="E402" s="1" t="s">
        <v>1428</v>
      </c>
      <c r="F402" s="1" t="s">
        <v>1427</v>
      </c>
      <c r="G402" s="1" t="s">
        <v>1557</v>
      </c>
    </row>
    <row r="403" spans="1:7" x14ac:dyDescent="0.25">
      <c r="A403" s="1" t="s">
        <v>1214</v>
      </c>
      <c r="B403" s="1" t="s">
        <v>68</v>
      </c>
      <c r="C403">
        <v>-11.265995</v>
      </c>
      <c r="D403">
        <v>28.935514999999999</v>
      </c>
      <c r="E403" s="1" t="s">
        <v>1426</v>
      </c>
      <c r="F403" s="1" t="s">
        <v>1424</v>
      </c>
      <c r="G403" s="1" t="s">
        <v>1557</v>
      </c>
    </row>
    <row r="404" spans="1:7" x14ac:dyDescent="0.25">
      <c r="A404" s="1" t="s">
        <v>862</v>
      </c>
      <c r="B404" s="1" t="s">
        <v>12</v>
      </c>
      <c r="C404">
        <v>-11.622688999999999</v>
      </c>
      <c r="D404">
        <v>18.483874</v>
      </c>
      <c r="E404" s="1" t="s">
        <v>1423</v>
      </c>
      <c r="F404" s="1" t="s">
        <v>1429</v>
      </c>
      <c r="G404" s="1" t="s">
        <v>1557</v>
      </c>
    </row>
    <row r="405" spans="1:7" x14ac:dyDescent="0.25">
      <c r="A405" s="1" t="s">
        <v>912</v>
      </c>
      <c r="B405" s="1" t="s">
        <v>12</v>
      </c>
      <c r="C405">
        <v>0.52897499999999997</v>
      </c>
      <c r="D405">
        <v>13.849651</v>
      </c>
      <c r="E405" s="1" t="s">
        <v>1428</v>
      </c>
      <c r="F405" s="1" t="s">
        <v>1429</v>
      </c>
      <c r="G405" s="1" t="s">
        <v>1557</v>
      </c>
    </row>
    <row r="406" spans="1:7" x14ac:dyDescent="0.25">
      <c r="A406" s="1" t="s">
        <v>1569</v>
      </c>
      <c r="B406" s="1" t="s">
        <v>37</v>
      </c>
      <c r="C406">
        <v>0.81629799999999997</v>
      </c>
      <c r="D406">
        <v>18.557718000000001</v>
      </c>
      <c r="E406" s="1" t="s">
        <v>1423</v>
      </c>
      <c r="F406" s="1" t="s">
        <v>1424</v>
      </c>
      <c r="G406" s="1" t="s">
        <v>1557</v>
      </c>
    </row>
    <row r="407" spans="1:7" x14ac:dyDescent="0.25">
      <c r="A407" s="1" t="s">
        <v>1413</v>
      </c>
      <c r="B407" s="1" t="s">
        <v>48</v>
      </c>
      <c r="C407">
        <v>1.2691650000000001</v>
      </c>
      <c r="D407">
        <v>18.789956</v>
      </c>
      <c r="E407" s="1" t="s">
        <v>1428</v>
      </c>
      <c r="F407" s="1" t="s">
        <v>1435</v>
      </c>
      <c r="G407" s="1" t="s">
        <v>1557</v>
      </c>
    </row>
    <row r="408" spans="1:7" x14ac:dyDescent="0.25">
      <c r="A408" s="1" t="s">
        <v>917</v>
      </c>
      <c r="B408" s="1" t="s">
        <v>41</v>
      </c>
      <c r="C408">
        <v>-9.3652280000000001</v>
      </c>
      <c r="D408">
        <v>18.674116000000001</v>
      </c>
      <c r="E408" s="1" t="s">
        <v>1426</v>
      </c>
      <c r="F408" s="1" t="s">
        <v>1427</v>
      </c>
      <c r="G408" s="1" t="s">
        <v>1557</v>
      </c>
    </row>
    <row r="409" spans="1:7" x14ac:dyDescent="0.25">
      <c r="A409" s="1" t="s">
        <v>995</v>
      </c>
      <c r="B409" s="1" t="s">
        <v>122</v>
      </c>
      <c r="C409">
        <v>-4.1754939999999996</v>
      </c>
      <c r="D409">
        <v>16.704664999999999</v>
      </c>
      <c r="E409" s="1" t="s">
        <v>1428</v>
      </c>
      <c r="F409" s="1" t="s">
        <v>1424</v>
      </c>
      <c r="G409" s="1" t="s">
        <v>1557</v>
      </c>
    </row>
    <row r="410" spans="1:7" x14ac:dyDescent="0.25">
      <c r="A410" s="1" t="s">
        <v>1570</v>
      </c>
      <c r="B410" s="1" t="s">
        <v>35</v>
      </c>
      <c r="C410">
        <v>-8.290025</v>
      </c>
      <c r="D410">
        <v>24.313573999999999</v>
      </c>
      <c r="E410" s="1" t="s">
        <v>1426</v>
      </c>
      <c r="F410" s="1" t="s">
        <v>1424</v>
      </c>
      <c r="G410" s="1" t="s">
        <v>1557</v>
      </c>
    </row>
    <row r="411" spans="1:7" x14ac:dyDescent="0.25">
      <c r="A411" s="1" t="s">
        <v>1357</v>
      </c>
      <c r="B411" s="1" t="s">
        <v>83</v>
      </c>
      <c r="C411">
        <v>-6.8149179999999996</v>
      </c>
      <c r="D411">
        <v>23.258102000000001</v>
      </c>
      <c r="E411" s="1" t="s">
        <v>1423</v>
      </c>
      <c r="F411" s="1" t="s">
        <v>1427</v>
      </c>
      <c r="G411" s="1" t="s">
        <v>1557</v>
      </c>
    </row>
    <row r="412" spans="1:7" x14ac:dyDescent="0.25">
      <c r="A412" s="1" t="s">
        <v>847</v>
      </c>
      <c r="B412" s="1" t="s">
        <v>48</v>
      </c>
      <c r="C412">
        <v>2.4741019999999998</v>
      </c>
      <c r="D412">
        <v>29.297391000000001</v>
      </c>
      <c r="E412" s="1" t="s">
        <v>1426</v>
      </c>
      <c r="F412" s="1" t="s">
        <v>1424</v>
      </c>
      <c r="G412" s="1" t="s">
        <v>1557</v>
      </c>
    </row>
    <row r="413" spans="1:7" x14ac:dyDescent="0.25">
      <c r="A413" s="1" t="s">
        <v>1325</v>
      </c>
      <c r="B413" s="1" t="s">
        <v>17</v>
      </c>
      <c r="C413">
        <v>-3.1608390000000002</v>
      </c>
      <c r="D413">
        <v>13.244503999999999</v>
      </c>
      <c r="E413" s="1" t="s">
        <v>1428</v>
      </c>
      <c r="F413" s="1" t="s">
        <v>1427</v>
      </c>
      <c r="G413" s="1" t="s">
        <v>1557</v>
      </c>
    </row>
    <row r="414" spans="1:7" x14ac:dyDescent="0.25">
      <c r="A414" s="1" t="s">
        <v>1571</v>
      </c>
      <c r="B414" s="1" t="s">
        <v>27</v>
      </c>
      <c r="C414">
        <v>4.1464489999999996</v>
      </c>
      <c r="D414">
        <v>17.793337000000001</v>
      </c>
      <c r="E414" s="1" t="s">
        <v>1423</v>
      </c>
      <c r="F414" s="1" t="s">
        <v>1429</v>
      </c>
      <c r="G414" s="1" t="s">
        <v>1557</v>
      </c>
    </row>
    <row r="415" spans="1:7" x14ac:dyDescent="0.25">
      <c r="A415" s="1" t="s">
        <v>976</v>
      </c>
      <c r="B415" s="1" t="s">
        <v>37</v>
      </c>
      <c r="C415">
        <v>-12.431227</v>
      </c>
      <c r="D415">
        <v>18.414290999999999</v>
      </c>
      <c r="E415" s="1" t="s">
        <v>1423</v>
      </c>
      <c r="F415" s="1" t="s">
        <v>1427</v>
      </c>
      <c r="G415" s="1" t="s">
        <v>1557</v>
      </c>
    </row>
    <row r="416" spans="1:7" x14ac:dyDescent="0.25">
      <c r="A416" s="1" t="s">
        <v>819</v>
      </c>
      <c r="B416" s="1" t="s">
        <v>20</v>
      </c>
      <c r="C416">
        <v>-5.2526849999999996</v>
      </c>
      <c r="D416">
        <v>12.374528</v>
      </c>
      <c r="E416" s="1" t="s">
        <v>1428</v>
      </c>
      <c r="F416" s="1" t="s">
        <v>1435</v>
      </c>
      <c r="G416" s="1" t="s">
        <v>1557</v>
      </c>
    </row>
    <row r="417" spans="1:7" x14ac:dyDescent="0.25">
      <c r="A417" s="1" t="s">
        <v>1572</v>
      </c>
      <c r="B417" s="1" t="s">
        <v>72</v>
      </c>
      <c r="C417">
        <v>-6.0946619999999996</v>
      </c>
      <c r="D417">
        <v>20.757277999999999</v>
      </c>
      <c r="E417" s="1" t="s">
        <v>1423</v>
      </c>
      <c r="F417" s="1" t="s">
        <v>1427</v>
      </c>
      <c r="G417" s="1" t="s">
        <v>1557</v>
      </c>
    </row>
    <row r="418" spans="1:7" x14ac:dyDescent="0.25">
      <c r="A418" s="1" t="s">
        <v>1239</v>
      </c>
      <c r="B418" s="1" t="s">
        <v>31</v>
      </c>
      <c r="C418">
        <v>-7.3379339999999997</v>
      </c>
      <c r="D418">
        <v>28.404001999999998</v>
      </c>
      <c r="E418" s="1" t="s">
        <v>1428</v>
      </c>
      <c r="F418" s="1" t="s">
        <v>1435</v>
      </c>
      <c r="G418" s="1" t="s">
        <v>1557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A3CB-A85D-4484-94DC-DF0C28FD6464}">
  <dimension ref="A1:K1069"/>
  <sheetViews>
    <sheetView topLeftCell="B1" workbookViewId="0">
      <selection activeCell="L1024" sqref="L1024"/>
    </sheetView>
  </sheetViews>
  <sheetFormatPr baseColWidth="10" defaultRowHeight="15" x14ac:dyDescent="0.25"/>
  <cols>
    <col min="1" max="1" width="24.140625" bestFit="1" customWidth="1"/>
    <col min="2" max="2" width="14.85546875" customWidth="1"/>
    <col min="3" max="3" width="24.140625" customWidth="1"/>
    <col min="4" max="4" width="22" customWidth="1"/>
    <col min="6" max="6" width="26.140625" customWidth="1"/>
    <col min="7" max="7" width="21.7109375" customWidth="1"/>
  </cols>
  <sheetData>
    <row r="1" spans="1:11" x14ac:dyDescent="0.25">
      <c r="A1" t="s">
        <v>0</v>
      </c>
      <c r="B1" t="s">
        <v>727</v>
      </c>
      <c r="C1" t="s">
        <v>1415</v>
      </c>
      <c r="D1" t="s">
        <v>726</v>
      </c>
      <c r="E1" t="s">
        <v>728</v>
      </c>
      <c r="F1" t="s">
        <v>729</v>
      </c>
      <c r="G1" t="s">
        <v>1417</v>
      </c>
      <c r="H1" t="s">
        <v>1418</v>
      </c>
      <c r="I1" t="s">
        <v>1419</v>
      </c>
      <c r="J1" t="s">
        <v>1420</v>
      </c>
      <c r="K1" t="s">
        <v>1575</v>
      </c>
    </row>
    <row r="2" spans="1:11" x14ac:dyDescent="0.25">
      <c r="A2" s="1" t="s">
        <v>1024</v>
      </c>
      <c r="B2" s="1" t="s">
        <v>1029</v>
      </c>
      <c r="C2" s="2">
        <v>45230.997916666667</v>
      </c>
      <c r="D2" s="3">
        <v>45230.997916666667</v>
      </c>
      <c r="E2">
        <v>72</v>
      </c>
      <c r="F2" s="1" t="s">
        <v>737</v>
      </c>
      <c r="G2" t="str">
        <f>IFERROR(VLOOKUP(Logs_Registre[[#This Row],[Cell_ID]],Registre_Maintenance[],2,FALSE),"")</f>
        <v>Ituri</v>
      </c>
      <c r="H2">
        <f>IFERROR(VLOOKUP(Logs_Registre[[#This Row],[Cell_ID]],Registre_Maintenance[],3,FALSE),"")</f>
        <v>-1.9120569999999999</v>
      </c>
      <c r="I2">
        <f>IFERROR(VLOOKUP(Logs_Registre[[#This Row],[Cell_ID]],Registre_Maintenance[],4,FALSE),"")</f>
        <v>15.236072999999999</v>
      </c>
      <c r="J2" t="str">
        <f>IFERROR(VLOOKUP(Logs_Registre[[#This Row],[Cell_ID]],Registre_Maintenance[],5,FALSE),"")</f>
        <v>5G</v>
      </c>
      <c r="K2" t="str">
        <f>IFERROR(VLOOKUP(Logs_Registre[[#This Row],[Cell_ID]],Registre_Maintenance[],6,FALSE),"")</f>
        <v>Huawei</v>
      </c>
    </row>
    <row r="3" spans="1:11" x14ac:dyDescent="0.25">
      <c r="A3" s="1" t="s">
        <v>861</v>
      </c>
      <c r="B3" s="1" t="s">
        <v>889</v>
      </c>
      <c r="C3" s="2">
        <v>45230.925000000003</v>
      </c>
      <c r="D3" s="3">
        <v>45230.925000000003</v>
      </c>
      <c r="E3">
        <v>90</v>
      </c>
      <c r="F3" s="1" t="s">
        <v>732</v>
      </c>
      <c r="G3" t="str">
        <f>IFERROR(VLOOKUP(Logs_Registre[[#This Row],[Cell_ID]],Registre_Maintenance[],2,FALSE),"")</f>
        <v/>
      </c>
      <c r="H3" t="str">
        <f>IFERROR(VLOOKUP(Logs_Registre[[#This Row],[Cell_ID]],Registre_Maintenance[],3,FALSE),"")</f>
        <v/>
      </c>
      <c r="I3" t="str">
        <f>IFERROR(VLOOKUP(Logs_Registre[[#This Row],[Cell_ID]],Registre_Maintenance[],4,FALSE),"")</f>
        <v/>
      </c>
      <c r="J3" t="str">
        <f>IFERROR(VLOOKUP(Logs_Registre[[#This Row],[Cell_ID]],Registre_Maintenance[],5,FALSE),"")</f>
        <v/>
      </c>
      <c r="K3" t="str">
        <f>IFERROR(VLOOKUP(Logs_Registre[[#This Row],[Cell_ID]],Registre_Maintenance[],6,FALSE),"")</f>
        <v/>
      </c>
    </row>
    <row r="4" spans="1:11" x14ac:dyDescent="0.25">
      <c r="A4" s="1" t="s">
        <v>1361</v>
      </c>
      <c r="B4" s="1" t="s">
        <v>1146</v>
      </c>
      <c r="C4" s="2">
        <v>45230.913194444453</v>
      </c>
      <c r="D4" s="3">
        <v>45230.913194444453</v>
      </c>
      <c r="E4">
        <v>62</v>
      </c>
      <c r="F4" s="1" t="s">
        <v>732</v>
      </c>
      <c r="G4" t="str">
        <f>IFERROR(VLOOKUP(Logs_Registre[[#This Row],[Cell_ID]],Registre_Maintenance[],2,FALSE),"")</f>
        <v>Tshuapa</v>
      </c>
      <c r="H4">
        <f>IFERROR(VLOOKUP(Logs_Registre[[#This Row],[Cell_ID]],Registre_Maintenance[],3,FALSE),"")</f>
        <v>-1.9540519999999999</v>
      </c>
      <c r="I4">
        <f>IFERROR(VLOOKUP(Logs_Registre[[#This Row],[Cell_ID]],Registre_Maintenance[],4,FALSE),"")</f>
        <v>12.667945</v>
      </c>
      <c r="J4" t="str">
        <f>IFERROR(VLOOKUP(Logs_Registre[[#This Row],[Cell_ID]],Registre_Maintenance[],5,FALSE),"")</f>
        <v>4G</v>
      </c>
      <c r="K4" t="str">
        <f>IFERROR(VLOOKUP(Logs_Registre[[#This Row],[Cell_ID]],Registre_Maintenance[],6,FALSE),"")</f>
        <v>Huawei</v>
      </c>
    </row>
    <row r="5" spans="1:11" x14ac:dyDescent="0.25">
      <c r="A5" s="1" t="s">
        <v>902</v>
      </c>
      <c r="B5" s="1" t="s">
        <v>938</v>
      </c>
      <c r="C5" s="2">
        <v>45230.911805555559</v>
      </c>
      <c r="D5" s="3">
        <v>45230.911805555559</v>
      </c>
      <c r="E5">
        <v>16</v>
      </c>
      <c r="F5" s="1" t="s">
        <v>735</v>
      </c>
      <c r="G5" t="str">
        <f>IFERROR(VLOOKUP(Logs_Registre[[#This Row],[Cell_ID]],Registre_Maintenance[],2,FALSE),"")</f>
        <v/>
      </c>
      <c r="H5" t="str">
        <f>IFERROR(VLOOKUP(Logs_Registre[[#This Row],[Cell_ID]],Registre_Maintenance[],3,FALSE),"")</f>
        <v/>
      </c>
      <c r="I5" t="str">
        <f>IFERROR(VLOOKUP(Logs_Registre[[#This Row],[Cell_ID]],Registre_Maintenance[],4,FALSE),"")</f>
        <v/>
      </c>
      <c r="J5" t="str">
        <f>IFERROR(VLOOKUP(Logs_Registre[[#This Row],[Cell_ID]],Registre_Maintenance[],5,FALSE),"")</f>
        <v/>
      </c>
      <c r="K5" t="str">
        <f>IFERROR(VLOOKUP(Logs_Registre[[#This Row],[Cell_ID]],Registre_Maintenance[],6,FALSE),"")</f>
        <v/>
      </c>
    </row>
    <row r="6" spans="1:11" x14ac:dyDescent="0.25">
      <c r="A6" s="1" t="s">
        <v>1382</v>
      </c>
      <c r="B6" s="1" t="s">
        <v>1334</v>
      </c>
      <c r="C6" s="2">
        <v>45230.90625</v>
      </c>
      <c r="D6" s="3">
        <v>45230.90625</v>
      </c>
      <c r="E6">
        <v>87</v>
      </c>
      <c r="F6" s="1" t="s">
        <v>732</v>
      </c>
      <c r="G6" t="str">
        <f>IFERROR(VLOOKUP(Logs_Registre[[#This Row],[Cell_ID]],Registre_Maintenance[],2,FALSE),"")</f>
        <v/>
      </c>
      <c r="H6" t="str">
        <f>IFERROR(VLOOKUP(Logs_Registre[[#This Row],[Cell_ID]],Registre_Maintenance[],3,FALSE),"")</f>
        <v/>
      </c>
      <c r="I6" t="str">
        <f>IFERROR(VLOOKUP(Logs_Registre[[#This Row],[Cell_ID]],Registre_Maintenance[],4,FALSE),"")</f>
        <v/>
      </c>
      <c r="J6" t="str">
        <f>IFERROR(VLOOKUP(Logs_Registre[[#This Row],[Cell_ID]],Registre_Maintenance[],5,FALSE),"")</f>
        <v/>
      </c>
      <c r="K6" t="str">
        <f>IFERROR(VLOOKUP(Logs_Registre[[#This Row],[Cell_ID]],Registre_Maintenance[],6,FALSE),"")</f>
        <v/>
      </c>
    </row>
    <row r="7" spans="1:11" x14ac:dyDescent="0.25">
      <c r="A7" s="1" t="s">
        <v>1114</v>
      </c>
      <c r="B7" s="1" t="s">
        <v>1123</v>
      </c>
      <c r="C7" s="2">
        <v>45230.868055555547</v>
      </c>
      <c r="D7" s="3">
        <v>45230.868055555547</v>
      </c>
      <c r="E7">
        <v>103</v>
      </c>
      <c r="F7" s="1" t="s">
        <v>737</v>
      </c>
      <c r="G7" t="str">
        <f>IFERROR(VLOOKUP(Logs_Registre[[#This Row],[Cell_ID]],Registre_Maintenance[],2,FALSE),"")</f>
        <v>Bas-Uele</v>
      </c>
      <c r="H7">
        <f>IFERROR(VLOOKUP(Logs_Registre[[#This Row],[Cell_ID]],Registre_Maintenance[],3,FALSE),"")</f>
        <v>-2.8532869999999999</v>
      </c>
      <c r="I7">
        <f>IFERROR(VLOOKUP(Logs_Registre[[#This Row],[Cell_ID]],Registre_Maintenance[],4,FALSE),"")</f>
        <v>22.117896000000002</v>
      </c>
      <c r="J7" t="str">
        <f>IFERROR(VLOOKUP(Logs_Registre[[#This Row],[Cell_ID]],Registre_Maintenance[],5,FALSE),"")</f>
        <v>5G</v>
      </c>
      <c r="K7" t="str">
        <f>IFERROR(VLOOKUP(Logs_Registre[[#This Row],[Cell_ID]],Registre_Maintenance[],6,FALSE),"")</f>
        <v>Huawei</v>
      </c>
    </row>
    <row r="8" spans="1:11" x14ac:dyDescent="0.25">
      <c r="A8" s="1" t="s">
        <v>1024</v>
      </c>
      <c r="B8" s="1" t="s">
        <v>1045</v>
      </c>
      <c r="C8" s="2">
        <v>45230.863888888889</v>
      </c>
      <c r="D8" s="3">
        <v>45230.863888888889</v>
      </c>
      <c r="E8">
        <v>57</v>
      </c>
      <c r="F8" s="1" t="s">
        <v>732</v>
      </c>
      <c r="G8" t="str">
        <f>IFERROR(VLOOKUP(Logs_Registre[[#This Row],[Cell_ID]],Registre_Maintenance[],2,FALSE),"")</f>
        <v>Sud-Kivu</v>
      </c>
      <c r="H8">
        <f>IFERROR(VLOOKUP(Logs_Registre[[#This Row],[Cell_ID]],Registre_Maintenance[],3,FALSE),"")</f>
        <v>-4.1694589999999998</v>
      </c>
      <c r="I8">
        <f>IFERROR(VLOOKUP(Logs_Registre[[#This Row],[Cell_ID]],Registre_Maintenance[],4,FALSE),"")</f>
        <v>23.376487000000001</v>
      </c>
      <c r="J8" t="str">
        <f>IFERROR(VLOOKUP(Logs_Registre[[#This Row],[Cell_ID]],Registre_Maintenance[],5,FALSE),"")</f>
        <v>3G</v>
      </c>
      <c r="K8" t="str">
        <f>IFERROR(VLOOKUP(Logs_Registre[[#This Row],[Cell_ID]],Registre_Maintenance[],6,FALSE),"")</f>
        <v>Nokia</v>
      </c>
    </row>
    <row r="9" spans="1:11" x14ac:dyDescent="0.25">
      <c r="A9" s="1" t="s">
        <v>1165</v>
      </c>
      <c r="B9" s="1" t="s">
        <v>801</v>
      </c>
      <c r="C9" s="2">
        <v>45230.862500000003</v>
      </c>
      <c r="D9" s="3">
        <v>45230.862500000003</v>
      </c>
      <c r="E9">
        <v>67</v>
      </c>
      <c r="F9" s="1" t="s">
        <v>732</v>
      </c>
      <c r="G9" t="str">
        <f>IFERROR(VLOOKUP(Logs_Registre[[#This Row],[Cell_ID]],Registre_Maintenance[],2,FALSE),"")</f>
        <v/>
      </c>
      <c r="H9" t="str">
        <f>IFERROR(VLOOKUP(Logs_Registre[[#This Row],[Cell_ID]],Registre_Maintenance[],3,FALSE),"")</f>
        <v/>
      </c>
      <c r="I9" t="str">
        <f>IFERROR(VLOOKUP(Logs_Registre[[#This Row],[Cell_ID]],Registre_Maintenance[],4,FALSE),"")</f>
        <v/>
      </c>
      <c r="J9" t="str">
        <f>IFERROR(VLOOKUP(Logs_Registre[[#This Row],[Cell_ID]],Registre_Maintenance[],5,FALSE),"")</f>
        <v/>
      </c>
      <c r="K9" t="str">
        <f>IFERROR(VLOOKUP(Logs_Registre[[#This Row],[Cell_ID]],Registre_Maintenance[],6,FALSE),"")</f>
        <v/>
      </c>
    </row>
    <row r="10" spans="1:11" x14ac:dyDescent="0.25">
      <c r="A10" s="1" t="s">
        <v>1219</v>
      </c>
      <c r="B10" s="1" t="s">
        <v>791</v>
      </c>
      <c r="C10" s="2">
        <v>45230.847222222219</v>
      </c>
      <c r="D10" s="3">
        <v>45230.847222222219</v>
      </c>
      <c r="E10">
        <v>58</v>
      </c>
      <c r="F10" s="1" t="s">
        <v>737</v>
      </c>
      <c r="G10" t="str">
        <f>IFERROR(VLOOKUP(Logs_Registre[[#This Row],[Cell_ID]],Registre_Maintenance[],2,FALSE),"")</f>
        <v/>
      </c>
      <c r="H10" t="str">
        <f>IFERROR(VLOOKUP(Logs_Registre[[#This Row],[Cell_ID]],Registre_Maintenance[],3,FALSE),"")</f>
        <v/>
      </c>
      <c r="I10" t="str">
        <f>IFERROR(VLOOKUP(Logs_Registre[[#This Row],[Cell_ID]],Registre_Maintenance[],4,FALSE),"")</f>
        <v/>
      </c>
      <c r="J10" t="str">
        <f>IFERROR(VLOOKUP(Logs_Registre[[#This Row],[Cell_ID]],Registre_Maintenance[],5,FALSE),"")</f>
        <v/>
      </c>
      <c r="K10" t="str">
        <f>IFERROR(VLOOKUP(Logs_Registre[[#This Row],[Cell_ID]],Registre_Maintenance[],6,FALSE),"")</f>
        <v/>
      </c>
    </row>
    <row r="11" spans="1:11" x14ac:dyDescent="0.25">
      <c r="A11" s="1" t="s">
        <v>1404</v>
      </c>
      <c r="B11" s="1" t="s">
        <v>1120</v>
      </c>
      <c r="C11" s="2">
        <v>45230.839583333327</v>
      </c>
      <c r="D11" s="3">
        <v>45230.839583333327</v>
      </c>
      <c r="E11">
        <v>83</v>
      </c>
      <c r="F11" s="1" t="s">
        <v>737</v>
      </c>
      <c r="G11" t="str">
        <f>IFERROR(VLOOKUP(Logs_Registre[[#This Row],[Cell_ID]],Registre_Maintenance[],2,FALSE),"")</f>
        <v>Equateur</v>
      </c>
      <c r="H11">
        <f>IFERROR(VLOOKUP(Logs_Registre[[#This Row],[Cell_ID]],Registre_Maintenance[],3,FALSE),"")</f>
        <v>-0.79459900000000006</v>
      </c>
      <c r="I11">
        <f>IFERROR(VLOOKUP(Logs_Registre[[#This Row],[Cell_ID]],Registre_Maintenance[],4,FALSE),"")</f>
        <v>26.775570999999999</v>
      </c>
      <c r="J11" t="str">
        <f>IFERROR(VLOOKUP(Logs_Registre[[#This Row],[Cell_ID]],Registre_Maintenance[],5,FALSE),"")</f>
        <v>5G</v>
      </c>
      <c r="K11" t="str">
        <f>IFERROR(VLOOKUP(Logs_Registre[[#This Row],[Cell_ID]],Registre_Maintenance[],6,FALSE),"")</f>
        <v>Huawei</v>
      </c>
    </row>
    <row r="12" spans="1:11" x14ac:dyDescent="0.25">
      <c r="A12" s="1" t="s">
        <v>861</v>
      </c>
      <c r="B12" s="1" t="s">
        <v>776</v>
      </c>
      <c r="C12" s="2">
        <v>45230.834722222222</v>
      </c>
      <c r="D12" s="3">
        <v>45230.834722222222</v>
      </c>
      <c r="E12">
        <v>46</v>
      </c>
      <c r="F12" s="1" t="s">
        <v>735</v>
      </c>
      <c r="G12" t="str">
        <f>IFERROR(VLOOKUP(Logs_Registre[[#This Row],[Cell_ID]],Registre_Maintenance[],2,FALSE),"")</f>
        <v/>
      </c>
      <c r="H12" t="str">
        <f>IFERROR(VLOOKUP(Logs_Registre[[#This Row],[Cell_ID]],Registre_Maintenance[],3,FALSE),"")</f>
        <v/>
      </c>
      <c r="I12" t="str">
        <f>IFERROR(VLOOKUP(Logs_Registre[[#This Row],[Cell_ID]],Registre_Maintenance[],4,FALSE),"")</f>
        <v/>
      </c>
      <c r="J12" t="str">
        <f>IFERROR(VLOOKUP(Logs_Registre[[#This Row],[Cell_ID]],Registre_Maintenance[],5,FALSE),"")</f>
        <v/>
      </c>
      <c r="K12" t="str">
        <f>IFERROR(VLOOKUP(Logs_Registre[[#This Row],[Cell_ID]],Registre_Maintenance[],6,FALSE),"")</f>
        <v/>
      </c>
    </row>
    <row r="13" spans="1:11" x14ac:dyDescent="0.25">
      <c r="A13" s="1" t="s">
        <v>730</v>
      </c>
      <c r="B13" s="1" t="s">
        <v>774</v>
      </c>
      <c r="C13" s="2">
        <v>45230.788888888892</v>
      </c>
      <c r="D13" s="3">
        <v>45230.788888888892</v>
      </c>
      <c r="E13">
        <v>87</v>
      </c>
      <c r="F13" s="1" t="s">
        <v>735</v>
      </c>
      <c r="G13" t="str">
        <f>IFERROR(VLOOKUP(Logs_Registre[[#This Row],[Cell_ID]],Registre_Maintenance[],2,FALSE),"")</f>
        <v/>
      </c>
      <c r="H13" t="str">
        <f>IFERROR(VLOOKUP(Logs_Registre[[#This Row],[Cell_ID]],Registre_Maintenance[],3,FALSE),"")</f>
        <v/>
      </c>
      <c r="I13" t="str">
        <f>IFERROR(VLOOKUP(Logs_Registre[[#This Row],[Cell_ID]],Registre_Maintenance[],4,FALSE),"")</f>
        <v/>
      </c>
      <c r="J13" t="str">
        <f>IFERROR(VLOOKUP(Logs_Registre[[#This Row],[Cell_ID]],Registre_Maintenance[],5,FALSE),"")</f>
        <v/>
      </c>
      <c r="K13" t="str">
        <f>IFERROR(VLOOKUP(Logs_Registre[[#This Row],[Cell_ID]],Registre_Maintenance[],6,FALSE),"")</f>
        <v/>
      </c>
    </row>
    <row r="14" spans="1:11" x14ac:dyDescent="0.25">
      <c r="A14" s="1" t="s">
        <v>999</v>
      </c>
      <c r="B14" s="1" t="s">
        <v>1016</v>
      </c>
      <c r="C14" s="2">
        <v>45230.776388888888</v>
      </c>
      <c r="D14" s="3">
        <v>45230.776388888888</v>
      </c>
      <c r="E14">
        <v>55</v>
      </c>
      <c r="F14" s="1" t="s">
        <v>735</v>
      </c>
      <c r="G14" t="str">
        <f>IFERROR(VLOOKUP(Logs_Registre[[#This Row],[Cell_ID]],Registre_Maintenance[],2,FALSE),"")</f>
        <v/>
      </c>
      <c r="H14" t="str">
        <f>IFERROR(VLOOKUP(Logs_Registre[[#This Row],[Cell_ID]],Registre_Maintenance[],3,FALSE),"")</f>
        <v/>
      </c>
      <c r="I14" t="str">
        <f>IFERROR(VLOOKUP(Logs_Registre[[#This Row],[Cell_ID]],Registre_Maintenance[],4,FALSE),"")</f>
        <v/>
      </c>
      <c r="J14" t="str">
        <f>IFERROR(VLOOKUP(Logs_Registre[[#This Row],[Cell_ID]],Registre_Maintenance[],5,FALSE),"")</f>
        <v/>
      </c>
      <c r="K14" t="str">
        <f>IFERROR(VLOOKUP(Logs_Registre[[#This Row],[Cell_ID]],Registre_Maintenance[],6,FALSE),"")</f>
        <v/>
      </c>
    </row>
    <row r="15" spans="1:11" x14ac:dyDescent="0.25">
      <c r="A15" s="1" t="s">
        <v>1308</v>
      </c>
      <c r="B15" s="1" t="s">
        <v>1311</v>
      </c>
      <c r="C15" s="2">
        <v>45230.767361111109</v>
      </c>
      <c r="D15" s="3">
        <v>45230.767361111109</v>
      </c>
      <c r="E15">
        <v>16</v>
      </c>
      <c r="F15" s="1" t="s">
        <v>737</v>
      </c>
      <c r="G15" t="str">
        <f>IFERROR(VLOOKUP(Logs_Registre[[#This Row],[Cell_ID]],Registre_Maintenance[],2,FALSE),"")</f>
        <v/>
      </c>
      <c r="H15" t="str">
        <f>IFERROR(VLOOKUP(Logs_Registre[[#This Row],[Cell_ID]],Registre_Maintenance[],3,FALSE),"")</f>
        <v/>
      </c>
      <c r="I15" t="str">
        <f>IFERROR(VLOOKUP(Logs_Registre[[#This Row],[Cell_ID]],Registre_Maintenance[],4,FALSE),"")</f>
        <v/>
      </c>
      <c r="J15" t="str">
        <f>IFERROR(VLOOKUP(Logs_Registre[[#This Row],[Cell_ID]],Registre_Maintenance[],5,FALSE),"")</f>
        <v/>
      </c>
      <c r="K15" t="str">
        <f>IFERROR(VLOOKUP(Logs_Registre[[#This Row],[Cell_ID]],Registre_Maintenance[],6,FALSE),"")</f>
        <v/>
      </c>
    </row>
    <row r="16" spans="1:11" x14ac:dyDescent="0.25">
      <c r="A16" s="1" t="s">
        <v>1404</v>
      </c>
      <c r="B16" s="1" t="s">
        <v>1030</v>
      </c>
      <c r="C16" s="2">
        <v>45230.731944444437</v>
      </c>
      <c r="D16" s="3">
        <v>45230.731944444437</v>
      </c>
      <c r="E16">
        <v>52</v>
      </c>
      <c r="F16" s="1" t="s">
        <v>732</v>
      </c>
      <c r="G16" t="str">
        <f>IFERROR(VLOOKUP(Logs_Registre[[#This Row],[Cell_ID]],Registre_Maintenance[],2,FALSE),"")</f>
        <v/>
      </c>
      <c r="H16" t="str">
        <f>IFERROR(VLOOKUP(Logs_Registre[[#This Row],[Cell_ID]],Registre_Maintenance[],3,FALSE),"")</f>
        <v/>
      </c>
      <c r="I16" t="str">
        <f>IFERROR(VLOOKUP(Logs_Registre[[#This Row],[Cell_ID]],Registre_Maintenance[],4,FALSE),"")</f>
        <v/>
      </c>
      <c r="J16" t="str">
        <f>IFERROR(VLOOKUP(Logs_Registre[[#This Row],[Cell_ID]],Registre_Maintenance[],5,FALSE),"")</f>
        <v/>
      </c>
      <c r="K16" t="str">
        <f>IFERROR(VLOOKUP(Logs_Registre[[#This Row],[Cell_ID]],Registre_Maintenance[],6,FALSE),"")</f>
        <v/>
      </c>
    </row>
    <row r="17" spans="1:11" x14ac:dyDescent="0.25">
      <c r="A17" s="1" t="s">
        <v>978</v>
      </c>
      <c r="B17" s="1" t="s">
        <v>957</v>
      </c>
      <c r="C17" s="2">
        <v>45230.726388888892</v>
      </c>
      <c r="D17" s="3">
        <v>45230.726388888892</v>
      </c>
      <c r="E17">
        <v>19</v>
      </c>
      <c r="F17" s="1" t="s">
        <v>735</v>
      </c>
      <c r="G17" t="str">
        <f>IFERROR(VLOOKUP(Logs_Registre[[#This Row],[Cell_ID]],Registre_Maintenance[],2,FALSE),"")</f>
        <v/>
      </c>
      <c r="H17" t="str">
        <f>IFERROR(VLOOKUP(Logs_Registre[[#This Row],[Cell_ID]],Registre_Maintenance[],3,FALSE),"")</f>
        <v/>
      </c>
      <c r="I17" t="str">
        <f>IFERROR(VLOOKUP(Logs_Registre[[#This Row],[Cell_ID]],Registre_Maintenance[],4,FALSE),"")</f>
        <v/>
      </c>
      <c r="J17" t="str">
        <f>IFERROR(VLOOKUP(Logs_Registre[[#This Row],[Cell_ID]],Registre_Maintenance[],5,FALSE),"")</f>
        <v/>
      </c>
      <c r="K17" t="str">
        <f>IFERROR(VLOOKUP(Logs_Registre[[#This Row],[Cell_ID]],Registre_Maintenance[],6,FALSE),"")</f>
        <v/>
      </c>
    </row>
    <row r="18" spans="1:11" x14ac:dyDescent="0.25">
      <c r="A18" s="1" t="s">
        <v>1345</v>
      </c>
      <c r="B18" s="1" t="s">
        <v>1357</v>
      </c>
      <c r="C18" s="2">
        <v>45230.64166666667</v>
      </c>
      <c r="D18" s="3">
        <v>45230.64166666667</v>
      </c>
      <c r="E18">
        <v>106</v>
      </c>
      <c r="F18" s="1" t="s">
        <v>732</v>
      </c>
      <c r="G18" t="str">
        <f>IFERROR(VLOOKUP(Logs_Registre[[#This Row],[Cell_ID]],Registre_Maintenance[],2,FALSE),"")</f>
        <v>Nord-Ubangi</v>
      </c>
      <c r="H18">
        <f>IFERROR(VLOOKUP(Logs_Registre[[#This Row],[Cell_ID]],Registre_Maintenance[],3,FALSE),"")</f>
        <v>-6.8149179999999996</v>
      </c>
      <c r="I18">
        <f>IFERROR(VLOOKUP(Logs_Registre[[#This Row],[Cell_ID]],Registre_Maintenance[],4,FALSE),"")</f>
        <v>23.258102000000001</v>
      </c>
      <c r="J18" t="str">
        <f>IFERROR(VLOOKUP(Logs_Registre[[#This Row],[Cell_ID]],Registre_Maintenance[],5,FALSE),"")</f>
        <v>5G</v>
      </c>
      <c r="K18" t="str">
        <f>IFERROR(VLOOKUP(Logs_Registre[[#This Row],[Cell_ID]],Registre_Maintenance[],6,FALSE),"")</f>
        <v>Huawei</v>
      </c>
    </row>
    <row r="19" spans="1:11" x14ac:dyDescent="0.25">
      <c r="A19" s="1" t="s">
        <v>1241</v>
      </c>
      <c r="B19" s="1" t="s">
        <v>1242</v>
      </c>
      <c r="C19" s="2">
        <v>45230.638888888891</v>
      </c>
      <c r="D19" s="3">
        <v>45230.638888888891</v>
      </c>
      <c r="E19">
        <v>77</v>
      </c>
      <c r="F19" s="1" t="s">
        <v>735</v>
      </c>
      <c r="G19" t="str">
        <f>IFERROR(VLOOKUP(Logs_Registre[[#This Row],[Cell_ID]],Registre_Maintenance[],2,FALSE),"")</f>
        <v>Kinshasa</v>
      </c>
      <c r="H19">
        <f>IFERROR(VLOOKUP(Logs_Registre[[#This Row],[Cell_ID]],Registre_Maintenance[],3,FALSE),"")</f>
        <v>-0.57104900000000003</v>
      </c>
      <c r="I19">
        <f>IFERROR(VLOOKUP(Logs_Registre[[#This Row],[Cell_ID]],Registre_Maintenance[],4,FALSE),"")</f>
        <v>15.317663</v>
      </c>
      <c r="J19" t="str">
        <f>IFERROR(VLOOKUP(Logs_Registre[[#This Row],[Cell_ID]],Registre_Maintenance[],5,FALSE),"")</f>
        <v>5G</v>
      </c>
      <c r="K19" t="str">
        <f>IFERROR(VLOOKUP(Logs_Registre[[#This Row],[Cell_ID]],Registre_Maintenance[],6,FALSE),"")</f>
        <v>Nokia</v>
      </c>
    </row>
    <row r="20" spans="1:11" x14ac:dyDescent="0.25">
      <c r="A20" s="1" t="s">
        <v>1024</v>
      </c>
      <c r="B20" s="1" t="s">
        <v>1055</v>
      </c>
      <c r="C20" s="2">
        <v>45230.633333333331</v>
      </c>
      <c r="D20" s="3">
        <v>45230.633333333331</v>
      </c>
      <c r="E20">
        <v>34</v>
      </c>
      <c r="F20" s="1" t="s">
        <v>732</v>
      </c>
      <c r="G20" t="str">
        <f>IFERROR(VLOOKUP(Logs_Registre[[#This Row],[Cell_ID]],Registre_Maintenance[],2,FALSE),"")</f>
        <v>Kasai-Oriental</v>
      </c>
      <c r="H20">
        <f>IFERROR(VLOOKUP(Logs_Registre[[#This Row],[Cell_ID]],Registre_Maintenance[],3,FALSE),"")</f>
        <v>2.486888</v>
      </c>
      <c r="I20">
        <f>IFERROR(VLOOKUP(Logs_Registre[[#This Row],[Cell_ID]],Registre_Maintenance[],4,FALSE),"")</f>
        <v>23.798074</v>
      </c>
      <c r="J20" t="str">
        <f>IFERROR(VLOOKUP(Logs_Registre[[#This Row],[Cell_ID]],Registre_Maintenance[],5,FALSE),"")</f>
        <v>5G</v>
      </c>
      <c r="K20" t="str">
        <f>IFERROR(VLOOKUP(Logs_Registre[[#This Row],[Cell_ID]],Registre_Maintenance[],6,FALSE),"")</f>
        <v>ZTE</v>
      </c>
    </row>
    <row r="21" spans="1:11" x14ac:dyDescent="0.25">
      <c r="A21" s="1" t="s">
        <v>902</v>
      </c>
      <c r="B21" s="1" t="s">
        <v>904</v>
      </c>
      <c r="C21" s="2">
        <v>45230.629861111112</v>
      </c>
      <c r="D21" s="3">
        <v>45230.629861111112</v>
      </c>
      <c r="E21">
        <v>91</v>
      </c>
      <c r="F21" s="1" t="s">
        <v>732</v>
      </c>
      <c r="G21" t="str">
        <f>IFERROR(VLOOKUP(Logs_Registre[[#This Row],[Cell_ID]],Registre_Maintenance[],2,FALSE),"")</f>
        <v/>
      </c>
      <c r="H21" t="str">
        <f>IFERROR(VLOOKUP(Logs_Registre[[#This Row],[Cell_ID]],Registre_Maintenance[],3,FALSE),"")</f>
        <v/>
      </c>
      <c r="I21" t="str">
        <f>IFERROR(VLOOKUP(Logs_Registre[[#This Row],[Cell_ID]],Registre_Maintenance[],4,FALSE),"")</f>
        <v/>
      </c>
      <c r="J21" t="str">
        <f>IFERROR(VLOOKUP(Logs_Registre[[#This Row],[Cell_ID]],Registre_Maintenance[],5,FALSE),"")</f>
        <v/>
      </c>
      <c r="K21" t="str">
        <f>IFERROR(VLOOKUP(Logs_Registre[[#This Row],[Cell_ID]],Registre_Maintenance[],6,FALSE),"")</f>
        <v/>
      </c>
    </row>
    <row r="22" spans="1:11" x14ac:dyDescent="0.25">
      <c r="A22" s="1" t="s">
        <v>1361</v>
      </c>
      <c r="B22" s="1" t="s">
        <v>1364</v>
      </c>
      <c r="C22" s="2">
        <v>45230.595138888893</v>
      </c>
      <c r="D22" s="3">
        <v>45230.595138888893</v>
      </c>
      <c r="E22">
        <v>14</v>
      </c>
      <c r="F22" s="1" t="s">
        <v>732</v>
      </c>
      <c r="G22" t="str">
        <f>IFERROR(VLOOKUP(Logs_Registre[[#This Row],[Cell_ID]],Registre_Maintenance[],2,FALSE),"")</f>
        <v>Kinshasa</v>
      </c>
      <c r="H22">
        <f>IFERROR(VLOOKUP(Logs_Registre[[#This Row],[Cell_ID]],Registre_Maintenance[],3,FALSE),"")</f>
        <v>-7.1079169999999996</v>
      </c>
      <c r="I22">
        <f>IFERROR(VLOOKUP(Logs_Registre[[#This Row],[Cell_ID]],Registre_Maintenance[],4,FALSE),"")</f>
        <v>13.636272</v>
      </c>
      <c r="J22" t="str">
        <f>IFERROR(VLOOKUP(Logs_Registre[[#This Row],[Cell_ID]],Registre_Maintenance[],5,FALSE),"")</f>
        <v>5G</v>
      </c>
      <c r="K22" t="str">
        <f>IFERROR(VLOOKUP(Logs_Registre[[#This Row],[Cell_ID]],Registre_Maintenance[],6,FALSE),"")</f>
        <v>Nokia</v>
      </c>
    </row>
    <row r="23" spans="1:11" x14ac:dyDescent="0.25">
      <c r="A23" s="1" t="s">
        <v>1241</v>
      </c>
      <c r="B23" s="1" t="s">
        <v>1245</v>
      </c>
      <c r="C23" s="2">
        <v>45230.577777777777</v>
      </c>
      <c r="D23" s="3">
        <v>45230.577777777777</v>
      </c>
      <c r="E23">
        <v>97</v>
      </c>
      <c r="F23" s="1" t="s">
        <v>732</v>
      </c>
      <c r="G23" t="str">
        <f>IFERROR(VLOOKUP(Logs_Registre[[#This Row],[Cell_ID]],Registre_Maintenance[],2,FALSE),"")</f>
        <v/>
      </c>
      <c r="H23" t="str">
        <f>IFERROR(VLOOKUP(Logs_Registre[[#This Row],[Cell_ID]],Registre_Maintenance[],3,FALSE),"")</f>
        <v/>
      </c>
      <c r="I23" t="str">
        <f>IFERROR(VLOOKUP(Logs_Registre[[#This Row],[Cell_ID]],Registre_Maintenance[],4,FALSE),"")</f>
        <v/>
      </c>
      <c r="J23" t="str">
        <f>IFERROR(VLOOKUP(Logs_Registre[[#This Row],[Cell_ID]],Registre_Maintenance[],5,FALSE),"")</f>
        <v/>
      </c>
      <c r="K23" t="str">
        <f>IFERROR(VLOOKUP(Logs_Registre[[#This Row],[Cell_ID]],Registre_Maintenance[],6,FALSE),"")</f>
        <v/>
      </c>
    </row>
    <row r="24" spans="1:11" x14ac:dyDescent="0.25">
      <c r="A24" s="1" t="s">
        <v>1165</v>
      </c>
      <c r="B24" s="1" t="s">
        <v>884</v>
      </c>
      <c r="C24" s="2">
        <v>45230.565972222219</v>
      </c>
      <c r="D24" s="3">
        <v>45230.565972222219</v>
      </c>
      <c r="E24">
        <v>74</v>
      </c>
      <c r="F24" s="1" t="s">
        <v>732</v>
      </c>
      <c r="G24" t="str">
        <f>IFERROR(VLOOKUP(Logs_Registre[[#This Row],[Cell_ID]],Registre_Maintenance[],2,FALSE),"")</f>
        <v/>
      </c>
      <c r="H24" t="str">
        <f>IFERROR(VLOOKUP(Logs_Registre[[#This Row],[Cell_ID]],Registre_Maintenance[],3,FALSE),"")</f>
        <v/>
      </c>
      <c r="I24" t="str">
        <f>IFERROR(VLOOKUP(Logs_Registre[[#This Row],[Cell_ID]],Registre_Maintenance[],4,FALSE),"")</f>
        <v/>
      </c>
      <c r="J24" t="str">
        <f>IFERROR(VLOOKUP(Logs_Registre[[#This Row],[Cell_ID]],Registre_Maintenance[],5,FALSE),"")</f>
        <v/>
      </c>
      <c r="K24" t="str">
        <f>IFERROR(VLOOKUP(Logs_Registre[[#This Row],[Cell_ID]],Registre_Maintenance[],6,FALSE),"")</f>
        <v/>
      </c>
    </row>
    <row r="25" spans="1:11" x14ac:dyDescent="0.25">
      <c r="A25" s="1" t="s">
        <v>1288</v>
      </c>
      <c r="B25" s="1" t="s">
        <v>1289</v>
      </c>
      <c r="C25" s="2">
        <v>45230.537499999999</v>
      </c>
      <c r="D25" s="3">
        <v>45230.537499999999</v>
      </c>
      <c r="E25">
        <v>33</v>
      </c>
      <c r="F25" s="1" t="s">
        <v>735</v>
      </c>
      <c r="G25" t="str">
        <f>IFERROR(VLOOKUP(Logs_Registre[[#This Row],[Cell_ID]],Registre_Maintenance[],2,FALSE),"")</f>
        <v/>
      </c>
      <c r="H25" t="str">
        <f>IFERROR(VLOOKUP(Logs_Registre[[#This Row],[Cell_ID]],Registre_Maintenance[],3,FALSE),"")</f>
        <v/>
      </c>
      <c r="I25" t="str">
        <f>IFERROR(VLOOKUP(Logs_Registre[[#This Row],[Cell_ID]],Registre_Maintenance[],4,FALSE),"")</f>
        <v/>
      </c>
      <c r="J25" t="str">
        <f>IFERROR(VLOOKUP(Logs_Registre[[#This Row],[Cell_ID]],Registre_Maintenance[],5,FALSE),"")</f>
        <v/>
      </c>
      <c r="K25" t="str">
        <f>IFERROR(VLOOKUP(Logs_Registre[[#This Row],[Cell_ID]],Registre_Maintenance[],6,FALSE),"")</f>
        <v/>
      </c>
    </row>
    <row r="26" spans="1:11" x14ac:dyDescent="0.25">
      <c r="A26" s="1" t="s">
        <v>1261</v>
      </c>
      <c r="B26" s="1" t="s">
        <v>1124</v>
      </c>
      <c r="C26" s="2">
        <v>45230.50277777778</v>
      </c>
      <c r="D26" s="3">
        <v>45230.50277777778</v>
      </c>
      <c r="E26">
        <v>99</v>
      </c>
      <c r="F26" s="1" t="s">
        <v>732</v>
      </c>
      <c r="G26" t="str">
        <f>IFERROR(VLOOKUP(Logs_Registre[[#This Row],[Cell_ID]],Registre_Maintenance[],2,FALSE),"")</f>
        <v>Equateur</v>
      </c>
      <c r="H26">
        <f>IFERROR(VLOOKUP(Logs_Registre[[#This Row],[Cell_ID]],Registre_Maintenance[],3,FALSE),"")</f>
        <v>-5.7200150000000001</v>
      </c>
      <c r="I26">
        <f>IFERROR(VLOOKUP(Logs_Registre[[#This Row],[Cell_ID]],Registre_Maintenance[],4,FALSE),"")</f>
        <v>25.022109</v>
      </c>
      <c r="J26" t="str">
        <f>IFERROR(VLOOKUP(Logs_Registre[[#This Row],[Cell_ID]],Registre_Maintenance[],5,FALSE),"")</f>
        <v>5G</v>
      </c>
      <c r="K26" t="str">
        <f>IFERROR(VLOOKUP(Logs_Registre[[#This Row],[Cell_ID]],Registre_Maintenance[],6,FALSE),"")</f>
        <v>ZTE</v>
      </c>
    </row>
    <row r="27" spans="1:11" x14ac:dyDescent="0.25">
      <c r="A27" s="1" t="s">
        <v>861</v>
      </c>
      <c r="B27" s="1" t="s">
        <v>900</v>
      </c>
      <c r="C27" s="2">
        <v>45230.486111111109</v>
      </c>
      <c r="D27" s="3">
        <v>45230.486111111109</v>
      </c>
      <c r="E27">
        <v>38</v>
      </c>
      <c r="F27" s="1" t="s">
        <v>732</v>
      </c>
      <c r="G27" t="str">
        <f>IFERROR(VLOOKUP(Logs_Registre[[#This Row],[Cell_ID]],Registre_Maintenance[],2,FALSE),"")</f>
        <v>Nord-Kivu</v>
      </c>
      <c r="H27">
        <f>IFERROR(VLOOKUP(Logs_Registre[[#This Row],[Cell_ID]],Registre_Maintenance[],3,FALSE),"")</f>
        <v>-12.336202</v>
      </c>
      <c r="I27">
        <f>IFERROR(VLOOKUP(Logs_Registre[[#This Row],[Cell_ID]],Registre_Maintenance[],4,FALSE),"")</f>
        <v>13.693683999999999</v>
      </c>
      <c r="J27" t="str">
        <f>IFERROR(VLOOKUP(Logs_Registre[[#This Row],[Cell_ID]],Registre_Maintenance[],5,FALSE),"")</f>
        <v>5G</v>
      </c>
      <c r="K27" t="str">
        <f>IFERROR(VLOOKUP(Logs_Registre[[#This Row],[Cell_ID]],Registre_Maintenance[],6,FALSE),"")</f>
        <v>Huawei</v>
      </c>
    </row>
    <row r="28" spans="1:11" x14ac:dyDescent="0.25">
      <c r="A28" s="1" t="s">
        <v>939</v>
      </c>
      <c r="B28" s="1" t="s">
        <v>975</v>
      </c>
      <c r="C28" s="2">
        <v>45230.484027777777</v>
      </c>
      <c r="D28" s="3">
        <v>45230.484027777777</v>
      </c>
      <c r="E28">
        <v>37</v>
      </c>
      <c r="F28" s="1" t="s">
        <v>735</v>
      </c>
      <c r="G28" t="str">
        <f>IFERROR(VLOOKUP(Logs_Registre[[#This Row],[Cell_ID]],Registre_Maintenance[],2,FALSE),"")</f>
        <v>Kongo-Central</v>
      </c>
      <c r="H28">
        <f>IFERROR(VLOOKUP(Logs_Registre[[#This Row],[Cell_ID]],Registre_Maintenance[],3,FALSE),"")</f>
        <v>-12.564277000000001</v>
      </c>
      <c r="I28">
        <f>IFERROR(VLOOKUP(Logs_Registre[[#This Row],[Cell_ID]],Registre_Maintenance[],4,FALSE),"")</f>
        <v>28.480798</v>
      </c>
      <c r="J28" t="str">
        <f>IFERROR(VLOOKUP(Logs_Registre[[#This Row],[Cell_ID]],Registre_Maintenance[],5,FALSE),"")</f>
        <v>5G</v>
      </c>
      <c r="K28" t="str">
        <f>IFERROR(VLOOKUP(Logs_Registre[[#This Row],[Cell_ID]],Registre_Maintenance[],6,FALSE),"")</f>
        <v>ZTE</v>
      </c>
    </row>
    <row r="29" spans="1:11" x14ac:dyDescent="0.25">
      <c r="A29" s="1" t="s">
        <v>939</v>
      </c>
      <c r="B29" s="1" t="s">
        <v>928</v>
      </c>
      <c r="C29" s="2">
        <v>45230.444444444453</v>
      </c>
      <c r="D29" s="3">
        <v>45230.444444444453</v>
      </c>
      <c r="E29">
        <v>40</v>
      </c>
      <c r="F29" s="1" t="s">
        <v>732</v>
      </c>
      <c r="G29" t="str">
        <f>IFERROR(VLOOKUP(Logs_Registre[[#This Row],[Cell_ID]],Registre_Maintenance[],2,FALSE),"")</f>
        <v/>
      </c>
      <c r="H29" t="str">
        <f>IFERROR(VLOOKUP(Logs_Registre[[#This Row],[Cell_ID]],Registre_Maintenance[],3,FALSE),"")</f>
        <v/>
      </c>
      <c r="I29" t="str">
        <f>IFERROR(VLOOKUP(Logs_Registre[[#This Row],[Cell_ID]],Registre_Maintenance[],4,FALSE),"")</f>
        <v/>
      </c>
      <c r="J29" t="str">
        <f>IFERROR(VLOOKUP(Logs_Registre[[#This Row],[Cell_ID]],Registre_Maintenance[],5,FALSE),"")</f>
        <v/>
      </c>
      <c r="K29" t="str">
        <f>IFERROR(VLOOKUP(Logs_Registre[[#This Row],[Cell_ID]],Registre_Maintenance[],6,FALSE),"")</f>
        <v/>
      </c>
    </row>
    <row r="30" spans="1:11" x14ac:dyDescent="0.25">
      <c r="A30" s="1" t="s">
        <v>1382</v>
      </c>
      <c r="B30" s="1" t="s">
        <v>1123</v>
      </c>
      <c r="C30" s="2">
        <v>45230.429166666669</v>
      </c>
      <c r="D30" s="3">
        <v>45230.429166666669</v>
      </c>
      <c r="E30">
        <v>11</v>
      </c>
      <c r="F30" s="1" t="s">
        <v>737</v>
      </c>
      <c r="G30" t="str">
        <f>IFERROR(VLOOKUP(Logs_Registre[[#This Row],[Cell_ID]],Registre_Maintenance[],2,FALSE),"")</f>
        <v>Bas-Uele</v>
      </c>
      <c r="H30">
        <f>IFERROR(VLOOKUP(Logs_Registre[[#This Row],[Cell_ID]],Registre_Maintenance[],3,FALSE),"")</f>
        <v>-2.8532869999999999</v>
      </c>
      <c r="I30">
        <f>IFERROR(VLOOKUP(Logs_Registre[[#This Row],[Cell_ID]],Registre_Maintenance[],4,FALSE),"")</f>
        <v>22.117896000000002</v>
      </c>
      <c r="J30" t="str">
        <f>IFERROR(VLOOKUP(Logs_Registre[[#This Row],[Cell_ID]],Registre_Maintenance[],5,FALSE),"")</f>
        <v>5G</v>
      </c>
      <c r="K30" t="str">
        <f>IFERROR(VLOOKUP(Logs_Registre[[#This Row],[Cell_ID]],Registre_Maintenance[],6,FALSE),"")</f>
        <v>Huawei</v>
      </c>
    </row>
    <row r="31" spans="1:11" x14ac:dyDescent="0.25">
      <c r="A31" s="1" t="s">
        <v>1114</v>
      </c>
      <c r="B31" s="1" t="s">
        <v>1135</v>
      </c>
      <c r="C31" s="2">
        <v>45230.40902777778</v>
      </c>
      <c r="D31" s="3">
        <v>45230.40902777778</v>
      </c>
      <c r="E31">
        <v>80</v>
      </c>
      <c r="F31" s="1" t="s">
        <v>735</v>
      </c>
      <c r="G31" t="str">
        <f>IFERROR(VLOOKUP(Logs_Registre[[#This Row],[Cell_ID]],Registre_Maintenance[],2,FALSE),"")</f>
        <v>Kwilu</v>
      </c>
      <c r="H31">
        <f>IFERROR(VLOOKUP(Logs_Registre[[#This Row],[Cell_ID]],Registre_Maintenance[],3,FALSE),"")</f>
        <v>0.62055499999999997</v>
      </c>
      <c r="I31">
        <f>IFERROR(VLOOKUP(Logs_Registre[[#This Row],[Cell_ID]],Registre_Maintenance[],4,FALSE),"")</f>
        <v>21.222035000000002</v>
      </c>
      <c r="J31" t="str">
        <f>IFERROR(VLOOKUP(Logs_Registre[[#This Row],[Cell_ID]],Registre_Maintenance[],5,FALSE),"")</f>
        <v>5G</v>
      </c>
      <c r="K31" t="str">
        <f>IFERROR(VLOOKUP(Logs_Registre[[#This Row],[Cell_ID]],Registre_Maintenance[],6,FALSE),"")</f>
        <v>Nokia</v>
      </c>
    </row>
    <row r="32" spans="1:11" x14ac:dyDescent="0.25">
      <c r="A32" s="1" t="s">
        <v>1345</v>
      </c>
      <c r="B32" s="1" t="s">
        <v>1360</v>
      </c>
      <c r="C32" s="2">
        <v>45230.395138888889</v>
      </c>
      <c r="D32" s="3">
        <v>45230.395138888889</v>
      </c>
      <c r="E32">
        <v>89</v>
      </c>
      <c r="F32" s="1" t="s">
        <v>737</v>
      </c>
      <c r="G32" t="str">
        <f>IFERROR(VLOOKUP(Logs_Registre[[#This Row],[Cell_ID]],Registre_Maintenance[],2,FALSE),"")</f>
        <v>Bas-Uele</v>
      </c>
      <c r="H32">
        <f>IFERROR(VLOOKUP(Logs_Registre[[#This Row],[Cell_ID]],Registre_Maintenance[],3,FALSE),"")</f>
        <v>-7.3952039999999997</v>
      </c>
      <c r="I32">
        <f>IFERROR(VLOOKUP(Logs_Registre[[#This Row],[Cell_ID]],Registre_Maintenance[],4,FALSE),"")</f>
        <v>21.651043999999999</v>
      </c>
      <c r="J32" t="str">
        <f>IFERROR(VLOOKUP(Logs_Registre[[#This Row],[Cell_ID]],Registre_Maintenance[],5,FALSE),"")</f>
        <v>4G</v>
      </c>
      <c r="K32" t="str">
        <f>IFERROR(VLOOKUP(Logs_Registre[[#This Row],[Cell_ID]],Registre_Maintenance[],6,FALSE),"")</f>
        <v>Huawei</v>
      </c>
    </row>
    <row r="33" spans="1:11" x14ac:dyDescent="0.25">
      <c r="A33" s="1" t="s">
        <v>1193</v>
      </c>
      <c r="B33" s="1" t="s">
        <v>873</v>
      </c>
      <c r="C33" s="2">
        <v>45230.323611111111</v>
      </c>
      <c r="D33" s="3">
        <v>45230.323611111111</v>
      </c>
      <c r="E33">
        <v>105</v>
      </c>
      <c r="F33" s="1" t="s">
        <v>732</v>
      </c>
      <c r="G33" t="str">
        <f>IFERROR(VLOOKUP(Logs_Registre[[#This Row],[Cell_ID]],Registre_Maintenance[],2,FALSE),"")</f>
        <v>Haut-Uele</v>
      </c>
      <c r="H33">
        <f>IFERROR(VLOOKUP(Logs_Registre[[#This Row],[Cell_ID]],Registre_Maintenance[],3,FALSE),"")</f>
        <v>-4.4351269999999996</v>
      </c>
      <c r="I33">
        <f>IFERROR(VLOOKUP(Logs_Registre[[#This Row],[Cell_ID]],Registre_Maintenance[],4,FALSE),"")</f>
        <v>24.825467</v>
      </c>
      <c r="J33" t="str">
        <f>IFERROR(VLOOKUP(Logs_Registre[[#This Row],[Cell_ID]],Registre_Maintenance[],5,FALSE),"")</f>
        <v>4G</v>
      </c>
      <c r="K33" t="str">
        <f>IFERROR(VLOOKUP(Logs_Registre[[#This Row],[Cell_ID]],Registre_Maintenance[],6,FALSE),"")</f>
        <v>Huawei</v>
      </c>
    </row>
    <row r="34" spans="1:11" x14ac:dyDescent="0.25">
      <c r="A34" s="1" t="s">
        <v>1114</v>
      </c>
      <c r="B34" s="1" t="s">
        <v>1133</v>
      </c>
      <c r="C34" s="2">
        <v>45230.303472222222</v>
      </c>
      <c r="D34" s="3">
        <v>45230.303472222222</v>
      </c>
      <c r="E34">
        <v>83</v>
      </c>
      <c r="F34" s="1" t="s">
        <v>737</v>
      </c>
      <c r="G34" t="str">
        <f>IFERROR(VLOOKUP(Logs_Registre[[#This Row],[Cell_ID]],Registre_Maintenance[],2,FALSE),"")</f>
        <v>Kongo-Central</v>
      </c>
      <c r="H34">
        <f>IFERROR(VLOOKUP(Logs_Registre[[#This Row],[Cell_ID]],Registre_Maintenance[],3,FALSE),"")</f>
        <v>-9.8208710000000004</v>
      </c>
      <c r="I34">
        <f>IFERROR(VLOOKUP(Logs_Registre[[#This Row],[Cell_ID]],Registre_Maintenance[],4,FALSE),"")</f>
        <v>23.229807000000001</v>
      </c>
      <c r="J34" t="str">
        <f>IFERROR(VLOOKUP(Logs_Registre[[#This Row],[Cell_ID]],Registre_Maintenance[],5,FALSE),"")</f>
        <v>5G</v>
      </c>
      <c r="K34" t="str">
        <f>IFERROR(VLOOKUP(Logs_Registre[[#This Row],[Cell_ID]],Registre_Maintenance[],6,FALSE),"")</f>
        <v>Nokia</v>
      </c>
    </row>
    <row r="35" spans="1:11" x14ac:dyDescent="0.25">
      <c r="A35" s="1" t="s">
        <v>1024</v>
      </c>
      <c r="B35" s="1" t="s">
        <v>1054</v>
      </c>
      <c r="C35" s="2">
        <v>45230.26458333333</v>
      </c>
      <c r="D35" s="3">
        <v>45230.26458333333</v>
      </c>
      <c r="E35">
        <v>62</v>
      </c>
      <c r="F35" s="1" t="s">
        <v>732</v>
      </c>
      <c r="G35" t="str">
        <f>IFERROR(VLOOKUP(Logs_Registre[[#This Row],[Cell_ID]],Registre_Maintenance[],2,FALSE),"")</f>
        <v>Mongala</v>
      </c>
      <c r="H35">
        <f>IFERROR(VLOOKUP(Logs_Registre[[#This Row],[Cell_ID]],Registre_Maintenance[],3,FALSE),"")</f>
        <v>3.6344850000000002</v>
      </c>
      <c r="I35">
        <f>IFERROR(VLOOKUP(Logs_Registre[[#This Row],[Cell_ID]],Registre_Maintenance[],4,FALSE),"")</f>
        <v>12.158348999999999</v>
      </c>
      <c r="J35" t="str">
        <f>IFERROR(VLOOKUP(Logs_Registre[[#This Row],[Cell_ID]],Registre_Maintenance[],5,FALSE),"")</f>
        <v>5G</v>
      </c>
      <c r="K35" t="str">
        <f>IFERROR(VLOOKUP(Logs_Registre[[#This Row],[Cell_ID]],Registre_Maintenance[],6,FALSE),"")</f>
        <v>Ericsson</v>
      </c>
    </row>
    <row r="36" spans="1:11" x14ac:dyDescent="0.25">
      <c r="A36" s="1" t="s">
        <v>1114</v>
      </c>
      <c r="B36" s="1" t="s">
        <v>860</v>
      </c>
      <c r="C36" s="2">
        <v>45230.228472222218</v>
      </c>
      <c r="D36" s="3">
        <v>45230.228472222218</v>
      </c>
      <c r="E36">
        <v>39</v>
      </c>
      <c r="F36" s="1" t="s">
        <v>737</v>
      </c>
      <c r="G36" t="str">
        <f>IFERROR(VLOOKUP(Logs_Registre[[#This Row],[Cell_ID]],Registre_Maintenance[],2,FALSE),"")</f>
        <v>Lomami</v>
      </c>
      <c r="H36">
        <f>IFERROR(VLOOKUP(Logs_Registre[[#This Row],[Cell_ID]],Registre_Maintenance[],3,FALSE),"")</f>
        <v>-5.7035130000000001</v>
      </c>
      <c r="I36">
        <f>IFERROR(VLOOKUP(Logs_Registre[[#This Row],[Cell_ID]],Registre_Maintenance[],4,FALSE),"")</f>
        <v>14.331479</v>
      </c>
      <c r="J36" t="str">
        <f>IFERROR(VLOOKUP(Logs_Registre[[#This Row],[Cell_ID]],Registre_Maintenance[],5,FALSE),"")</f>
        <v>5G</v>
      </c>
      <c r="K36" t="str">
        <f>IFERROR(VLOOKUP(Logs_Registre[[#This Row],[Cell_ID]],Registre_Maintenance[],6,FALSE),"")</f>
        <v>Nokia</v>
      </c>
    </row>
    <row r="37" spans="1:11" x14ac:dyDescent="0.25">
      <c r="A37" s="1" t="s">
        <v>1138</v>
      </c>
      <c r="B37" s="1" t="s">
        <v>1147</v>
      </c>
      <c r="C37" s="2">
        <v>45230.1875</v>
      </c>
      <c r="D37" s="3">
        <v>45230.1875</v>
      </c>
      <c r="E37">
        <v>9</v>
      </c>
      <c r="F37" s="1" t="s">
        <v>737</v>
      </c>
      <c r="G37" t="str">
        <f>IFERROR(VLOOKUP(Logs_Registre[[#This Row],[Cell_ID]],Registre_Maintenance[],2,FALSE),"")</f>
        <v/>
      </c>
      <c r="H37" t="str">
        <f>IFERROR(VLOOKUP(Logs_Registre[[#This Row],[Cell_ID]],Registre_Maintenance[],3,FALSE),"")</f>
        <v/>
      </c>
      <c r="I37" t="str">
        <f>IFERROR(VLOOKUP(Logs_Registre[[#This Row],[Cell_ID]],Registre_Maintenance[],4,FALSE),"")</f>
        <v/>
      </c>
      <c r="J37" t="str">
        <f>IFERROR(VLOOKUP(Logs_Registre[[#This Row],[Cell_ID]],Registre_Maintenance[],5,FALSE),"")</f>
        <v/>
      </c>
      <c r="K37" t="str">
        <f>IFERROR(VLOOKUP(Logs_Registre[[#This Row],[Cell_ID]],Registre_Maintenance[],6,FALSE),"")</f>
        <v/>
      </c>
    </row>
    <row r="38" spans="1:11" x14ac:dyDescent="0.25">
      <c r="A38" s="1" t="s">
        <v>1086</v>
      </c>
      <c r="B38" s="1" t="s">
        <v>1102</v>
      </c>
      <c r="C38" s="2">
        <v>45230.185416666667</v>
      </c>
      <c r="D38" s="3">
        <v>45230.185416666667</v>
      </c>
      <c r="E38">
        <v>31</v>
      </c>
      <c r="F38" s="1" t="s">
        <v>735</v>
      </c>
      <c r="G38" t="str">
        <f>IFERROR(VLOOKUP(Logs_Registre[[#This Row],[Cell_ID]],Registre_Maintenance[],2,FALSE),"")</f>
        <v/>
      </c>
      <c r="H38" t="str">
        <f>IFERROR(VLOOKUP(Logs_Registre[[#This Row],[Cell_ID]],Registre_Maintenance[],3,FALSE),"")</f>
        <v/>
      </c>
      <c r="I38" t="str">
        <f>IFERROR(VLOOKUP(Logs_Registre[[#This Row],[Cell_ID]],Registre_Maintenance[],4,FALSE),"")</f>
        <v/>
      </c>
      <c r="J38" t="str">
        <f>IFERROR(VLOOKUP(Logs_Registre[[#This Row],[Cell_ID]],Registre_Maintenance[],5,FALSE),"")</f>
        <v/>
      </c>
      <c r="K38" t="str">
        <f>IFERROR(VLOOKUP(Logs_Registre[[#This Row],[Cell_ID]],Registre_Maintenance[],6,FALSE),"")</f>
        <v/>
      </c>
    </row>
    <row r="39" spans="1:11" x14ac:dyDescent="0.25">
      <c r="A39" s="1" t="s">
        <v>1308</v>
      </c>
      <c r="B39" s="1" t="s">
        <v>1227</v>
      </c>
      <c r="C39" s="2">
        <v>45230.12777777778</v>
      </c>
      <c r="D39" s="3">
        <v>45230.12777777778</v>
      </c>
      <c r="E39">
        <v>87</v>
      </c>
      <c r="F39" s="1" t="s">
        <v>737</v>
      </c>
      <c r="G39" t="str">
        <f>IFERROR(VLOOKUP(Logs_Registre[[#This Row],[Cell_ID]],Registre_Maintenance[],2,FALSE),"")</f>
        <v>Haut-Katanga</v>
      </c>
      <c r="H39">
        <f>IFERROR(VLOOKUP(Logs_Registre[[#This Row],[Cell_ID]],Registre_Maintenance[],3,FALSE),"")</f>
        <v>-10.945031</v>
      </c>
      <c r="I39">
        <f>IFERROR(VLOOKUP(Logs_Registre[[#This Row],[Cell_ID]],Registre_Maintenance[],4,FALSE),"")</f>
        <v>27.922274000000002</v>
      </c>
      <c r="J39" t="str">
        <f>IFERROR(VLOOKUP(Logs_Registre[[#This Row],[Cell_ID]],Registre_Maintenance[],5,FALSE),"")</f>
        <v>4G</v>
      </c>
      <c r="K39" t="str">
        <f>IFERROR(VLOOKUP(Logs_Registre[[#This Row],[Cell_ID]],Registre_Maintenance[],6,FALSE),"")</f>
        <v>Ericsson</v>
      </c>
    </row>
    <row r="40" spans="1:11" x14ac:dyDescent="0.25">
      <c r="A40" s="1" t="s">
        <v>1308</v>
      </c>
      <c r="B40" s="1" t="s">
        <v>916</v>
      </c>
      <c r="C40" s="2">
        <v>45230.119444444441</v>
      </c>
      <c r="D40" s="3">
        <v>45230.119444444441</v>
      </c>
      <c r="E40">
        <v>8</v>
      </c>
      <c r="F40" s="1" t="s">
        <v>735</v>
      </c>
      <c r="G40" t="str">
        <f>IFERROR(VLOOKUP(Logs_Registre[[#This Row],[Cell_ID]],Registre_Maintenance[],2,FALSE),"")</f>
        <v>Lualaba</v>
      </c>
      <c r="H40">
        <f>IFERROR(VLOOKUP(Logs_Registre[[#This Row],[Cell_ID]],Registre_Maintenance[],3,FALSE),"")</f>
        <v>-9.5243310000000001</v>
      </c>
      <c r="I40">
        <f>IFERROR(VLOOKUP(Logs_Registre[[#This Row],[Cell_ID]],Registre_Maintenance[],4,FALSE),"")</f>
        <v>30.541212000000002</v>
      </c>
      <c r="J40" t="str">
        <f>IFERROR(VLOOKUP(Logs_Registre[[#This Row],[Cell_ID]],Registre_Maintenance[],5,FALSE),"")</f>
        <v>3G</v>
      </c>
      <c r="K40" t="str">
        <f>IFERROR(VLOOKUP(Logs_Registre[[#This Row],[Cell_ID]],Registre_Maintenance[],6,FALSE),"")</f>
        <v>Ericsson</v>
      </c>
    </row>
    <row r="41" spans="1:11" x14ac:dyDescent="0.25">
      <c r="A41" s="1" t="s">
        <v>1219</v>
      </c>
      <c r="B41" s="1" t="s">
        <v>1111</v>
      </c>
      <c r="C41" s="2">
        <v>45230.088194444441</v>
      </c>
      <c r="D41" s="3">
        <v>45230.088194444441</v>
      </c>
      <c r="E41">
        <v>87</v>
      </c>
      <c r="F41" s="1" t="s">
        <v>737</v>
      </c>
      <c r="G41" t="str">
        <f>IFERROR(VLOOKUP(Logs_Registre[[#This Row],[Cell_ID]],Registre_Maintenance[],2,FALSE),"")</f>
        <v/>
      </c>
      <c r="H41" t="str">
        <f>IFERROR(VLOOKUP(Logs_Registre[[#This Row],[Cell_ID]],Registre_Maintenance[],3,FALSE),"")</f>
        <v/>
      </c>
      <c r="I41" t="str">
        <f>IFERROR(VLOOKUP(Logs_Registre[[#This Row],[Cell_ID]],Registre_Maintenance[],4,FALSE),"")</f>
        <v/>
      </c>
      <c r="J41" t="str">
        <f>IFERROR(VLOOKUP(Logs_Registre[[#This Row],[Cell_ID]],Registre_Maintenance[],5,FALSE),"")</f>
        <v/>
      </c>
      <c r="K41" t="str">
        <f>IFERROR(VLOOKUP(Logs_Registre[[#This Row],[Cell_ID]],Registre_Maintenance[],6,FALSE),"")</f>
        <v/>
      </c>
    </row>
    <row r="42" spans="1:11" x14ac:dyDescent="0.25">
      <c r="A42" s="1" t="s">
        <v>779</v>
      </c>
      <c r="B42" s="1" t="s">
        <v>803</v>
      </c>
      <c r="C42" s="2">
        <v>45230.067361111112</v>
      </c>
      <c r="D42" s="3">
        <v>45230.067361111112</v>
      </c>
      <c r="E42">
        <v>75</v>
      </c>
      <c r="F42" s="1" t="s">
        <v>732</v>
      </c>
      <c r="G42" t="str">
        <f>IFERROR(VLOOKUP(Logs_Registre[[#This Row],[Cell_ID]],Registre_Maintenance[],2,FALSE),"")</f>
        <v/>
      </c>
      <c r="H42" t="str">
        <f>IFERROR(VLOOKUP(Logs_Registre[[#This Row],[Cell_ID]],Registre_Maintenance[],3,FALSE),"")</f>
        <v/>
      </c>
      <c r="I42" t="str">
        <f>IFERROR(VLOOKUP(Logs_Registre[[#This Row],[Cell_ID]],Registre_Maintenance[],4,FALSE),"")</f>
        <v/>
      </c>
      <c r="J42" t="str">
        <f>IFERROR(VLOOKUP(Logs_Registre[[#This Row],[Cell_ID]],Registre_Maintenance[],5,FALSE),"")</f>
        <v/>
      </c>
      <c r="K42" t="str">
        <f>IFERROR(VLOOKUP(Logs_Registre[[#This Row],[Cell_ID]],Registre_Maintenance[],6,FALSE),"")</f>
        <v/>
      </c>
    </row>
    <row r="43" spans="1:11" x14ac:dyDescent="0.25">
      <c r="A43" s="1" t="s">
        <v>1024</v>
      </c>
      <c r="B43" s="1" t="s">
        <v>1033</v>
      </c>
      <c r="C43" s="2">
        <v>45230.061111111107</v>
      </c>
      <c r="D43" s="3">
        <v>45230.061111111107</v>
      </c>
      <c r="E43">
        <v>103</v>
      </c>
      <c r="F43" s="1" t="s">
        <v>732</v>
      </c>
      <c r="G43" t="str">
        <f>IFERROR(VLOOKUP(Logs_Registre[[#This Row],[Cell_ID]],Registre_Maintenance[],2,FALSE),"")</f>
        <v/>
      </c>
      <c r="H43" t="str">
        <f>IFERROR(VLOOKUP(Logs_Registre[[#This Row],[Cell_ID]],Registre_Maintenance[],3,FALSE),"")</f>
        <v/>
      </c>
      <c r="I43" t="str">
        <f>IFERROR(VLOOKUP(Logs_Registre[[#This Row],[Cell_ID]],Registre_Maintenance[],4,FALSE),"")</f>
        <v/>
      </c>
      <c r="J43" t="str">
        <f>IFERROR(VLOOKUP(Logs_Registre[[#This Row],[Cell_ID]],Registre_Maintenance[],5,FALSE),"")</f>
        <v/>
      </c>
      <c r="K43" t="str">
        <f>IFERROR(VLOOKUP(Logs_Registre[[#This Row],[Cell_ID]],Registre_Maintenance[],6,FALSE),"")</f>
        <v/>
      </c>
    </row>
    <row r="44" spans="1:11" x14ac:dyDescent="0.25">
      <c r="A44" s="1" t="s">
        <v>1345</v>
      </c>
      <c r="B44" s="1" t="s">
        <v>1272</v>
      </c>
      <c r="C44" s="2">
        <v>45230.039583333331</v>
      </c>
      <c r="D44" s="3">
        <v>45230.039583333331</v>
      </c>
      <c r="E44">
        <v>117</v>
      </c>
      <c r="F44" s="1" t="s">
        <v>735</v>
      </c>
      <c r="G44" t="str">
        <f>IFERROR(VLOOKUP(Logs_Registre[[#This Row],[Cell_ID]],Registre_Maintenance[],2,FALSE),"")</f>
        <v>Kongo-Central</v>
      </c>
      <c r="H44">
        <f>IFERROR(VLOOKUP(Logs_Registre[[#This Row],[Cell_ID]],Registre_Maintenance[],3,FALSE),"")</f>
        <v>1.981107</v>
      </c>
      <c r="I44">
        <f>IFERROR(VLOOKUP(Logs_Registre[[#This Row],[Cell_ID]],Registre_Maintenance[],4,FALSE),"")</f>
        <v>23.932569000000001</v>
      </c>
      <c r="J44" t="str">
        <f>IFERROR(VLOOKUP(Logs_Registre[[#This Row],[Cell_ID]],Registre_Maintenance[],5,FALSE),"")</f>
        <v>3G</v>
      </c>
      <c r="K44" t="str">
        <f>IFERROR(VLOOKUP(Logs_Registre[[#This Row],[Cell_ID]],Registre_Maintenance[],6,FALSE),"")</f>
        <v>Nokia</v>
      </c>
    </row>
    <row r="45" spans="1:11" x14ac:dyDescent="0.25">
      <c r="A45" s="1" t="s">
        <v>1165</v>
      </c>
      <c r="B45" s="1" t="s">
        <v>811</v>
      </c>
      <c r="C45" s="2">
        <v>45230.009027777778</v>
      </c>
      <c r="D45" s="3">
        <v>45230.009027777778</v>
      </c>
      <c r="E45">
        <v>11</v>
      </c>
      <c r="F45" s="1" t="s">
        <v>735</v>
      </c>
      <c r="G45" t="str">
        <f>IFERROR(VLOOKUP(Logs_Registre[[#This Row],[Cell_ID]],Registre_Maintenance[],2,FALSE),"")</f>
        <v>Nord-Ubangi</v>
      </c>
      <c r="H45">
        <f>IFERROR(VLOOKUP(Logs_Registre[[#This Row],[Cell_ID]],Registre_Maintenance[],3,FALSE),"")</f>
        <v>0.94539899999999999</v>
      </c>
      <c r="I45">
        <f>IFERROR(VLOOKUP(Logs_Registre[[#This Row],[Cell_ID]],Registre_Maintenance[],4,FALSE),"")</f>
        <v>14.401821999999999</v>
      </c>
      <c r="J45" t="str">
        <f>IFERROR(VLOOKUP(Logs_Registre[[#This Row],[Cell_ID]],Registre_Maintenance[],5,FALSE),"")</f>
        <v>5G</v>
      </c>
      <c r="K45" t="str">
        <f>IFERROR(VLOOKUP(Logs_Registre[[#This Row],[Cell_ID]],Registre_Maintenance[],6,FALSE),"")</f>
        <v>Nokia</v>
      </c>
    </row>
    <row r="46" spans="1:11" x14ac:dyDescent="0.25">
      <c r="A46" s="1" t="s">
        <v>823</v>
      </c>
      <c r="B46" s="1" t="s">
        <v>824</v>
      </c>
      <c r="C46" s="2">
        <v>45230.004861111112</v>
      </c>
      <c r="D46" s="3">
        <v>45230.004861111112</v>
      </c>
      <c r="E46">
        <v>58</v>
      </c>
      <c r="F46" s="1" t="s">
        <v>732</v>
      </c>
      <c r="G46" t="str">
        <f>IFERROR(VLOOKUP(Logs_Registre[[#This Row],[Cell_ID]],Registre_Maintenance[],2,FALSE),"")</f>
        <v/>
      </c>
      <c r="H46" t="str">
        <f>IFERROR(VLOOKUP(Logs_Registre[[#This Row],[Cell_ID]],Registre_Maintenance[],3,FALSE),"")</f>
        <v/>
      </c>
      <c r="I46" t="str">
        <f>IFERROR(VLOOKUP(Logs_Registre[[#This Row],[Cell_ID]],Registre_Maintenance[],4,FALSE),"")</f>
        <v/>
      </c>
      <c r="J46" t="str">
        <f>IFERROR(VLOOKUP(Logs_Registre[[#This Row],[Cell_ID]],Registre_Maintenance[],5,FALSE),"")</f>
        <v/>
      </c>
      <c r="K46" t="str">
        <f>IFERROR(VLOOKUP(Logs_Registre[[#This Row],[Cell_ID]],Registre_Maintenance[],6,FALSE),"")</f>
        <v/>
      </c>
    </row>
    <row r="47" spans="1:11" x14ac:dyDescent="0.25">
      <c r="A47" s="1" t="s">
        <v>1404</v>
      </c>
      <c r="B47" s="1" t="s">
        <v>1180</v>
      </c>
      <c r="C47" s="2">
        <v>45229.986805555563</v>
      </c>
      <c r="D47" s="3">
        <v>45229.986805555563</v>
      </c>
      <c r="E47">
        <v>37</v>
      </c>
      <c r="F47" s="1" t="s">
        <v>737</v>
      </c>
      <c r="G47" t="str">
        <f>IFERROR(VLOOKUP(Logs_Registre[[#This Row],[Cell_ID]],Registre_Maintenance[],2,FALSE),"")</f>
        <v/>
      </c>
      <c r="H47" t="str">
        <f>IFERROR(VLOOKUP(Logs_Registre[[#This Row],[Cell_ID]],Registre_Maintenance[],3,FALSE),"")</f>
        <v/>
      </c>
      <c r="I47" t="str">
        <f>IFERROR(VLOOKUP(Logs_Registre[[#This Row],[Cell_ID]],Registre_Maintenance[],4,FALSE),"")</f>
        <v/>
      </c>
      <c r="J47" t="str">
        <f>IFERROR(VLOOKUP(Logs_Registre[[#This Row],[Cell_ID]],Registre_Maintenance[],5,FALSE),"")</f>
        <v/>
      </c>
      <c r="K47" t="str">
        <f>IFERROR(VLOOKUP(Logs_Registre[[#This Row],[Cell_ID]],Registre_Maintenance[],6,FALSE),"")</f>
        <v/>
      </c>
    </row>
    <row r="48" spans="1:11" x14ac:dyDescent="0.25">
      <c r="A48" s="1" t="s">
        <v>1261</v>
      </c>
      <c r="B48" s="1" t="s">
        <v>1201</v>
      </c>
      <c r="C48" s="2">
        <v>45229.972222222219</v>
      </c>
      <c r="D48" s="3">
        <v>45229.972222222219</v>
      </c>
      <c r="E48">
        <v>5</v>
      </c>
      <c r="F48" s="1" t="s">
        <v>737</v>
      </c>
      <c r="G48" t="str">
        <f>IFERROR(VLOOKUP(Logs_Registre[[#This Row],[Cell_ID]],Registre_Maintenance[],2,FALSE),"")</f>
        <v>Nord-Ubangi</v>
      </c>
      <c r="H48">
        <f>IFERROR(VLOOKUP(Logs_Registre[[#This Row],[Cell_ID]],Registre_Maintenance[],3,FALSE),"")</f>
        <v>-8.4985189999999999</v>
      </c>
      <c r="I48">
        <f>IFERROR(VLOOKUP(Logs_Registre[[#This Row],[Cell_ID]],Registre_Maintenance[],4,FALSE),"")</f>
        <v>12.929456999999999</v>
      </c>
      <c r="J48" t="str">
        <f>IFERROR(VLOOKUP(Logs_Registre[[#This Row],[Cell_ID]],Registre_Maintenance[],5,FALSE),"")</f>
        <v>4G</v>
      </c>
      <c r="K48" t="str">
        <f>IFERROR(VLOOKUP(Logs_Registre[[#This Row],[Cell_ID]],Registre_Maintenance[],6,FALSE),"")</f>
        <v>Ericsson</v>
      </c>
    </row>
    <row r="49" spans="1:11" x14ac:dyDescent="0.25">
      <c r="A49" s="1" t="s">
        <v>1308</v>
      </c>
      <c r="B49" s="1" t="s">
        <v>946</v>
      </c>
      <c r="C49" s="2">
        <v>45229.801388888889</v>
      </c>
      <c r="D49" s="3">
        <v>45229.801388888889</v>
      </c>
      <c r="E49">
        <v>89</v>
      </c>
      <c r="F49" s="1" t="s">
        <v>732</v>
      </c>
      <c r="G49" t="str">
        <f>IFERROR(VLOOKUP(Logs_Registre[[#This Row],[Cell_ID]],Registre_Maintenance[],2,FALSE),"")</f>
        <v/>
      </c>
      <c r="H49" t="str">
        <f>IFERROR(VLOOKUP(Logs_Registre[[#This Row],[Cell_ID]],Registre_Maintenance[],3,FALSE),"")</f>
        <v/>
      </c>
      <c r="I49" t="str">
        <f>IFERROR(VLOOKUP(Logs_Registre[[#This Row],[Cell_ID]],Registre_Maintenance[],4,FALSE),"")</f>
        <v/>
      </c>
      <c r="J49" t="str">
        <f>IFERROR(VLOOKUP(Logs_Registre[[#This Row],[Cell_ID]],Registre_Maintenance[],5,FALSE),"")</f>
        <v/>
      </c>
      <c r="K49" t="str">
        <f>IFERROR(VLOOKUP(Logs_Registre[[#This Row],[Cell_ID]],Registre_Maintenance[],6,FALSE),"")</f>
        <v/>
      </c>
    </row>
    <row r="50" spans="1:11" x14ac:dyDescent="0.25">
      <c r="A50" s="1" t="s">
        <v>1288</v>
      </c>
      <c r="B50" s="1" t="s">
        <v>1181</v>
      </c>
      <c r="C50" s="2">
        <v>45229.772222222222</v>
      </c>
      <c r="D50" s="3">
        <v>45229.772222222222</v>
      </c>
      <c r="E50">
        <v>27</v>
      </c>
      <c r="F50" s="1" t="s">
        <v>732</v>
      </c>
      <c r="G50" t="str">
        <f>IFERROR(VLOOKUP(Logs_Registre[[#This Row],[Cell_ID]],Registre_Maintenance[],2,FALSE),"")</f>
        <v/>
      </c>
      <c r="H50" t="str">
        <f>IFERROR(VLOOKUP(Logs_Registre[[#This Row],[Cell_ID]],Registre_Maintenance[],3,FALSE),"")</f>
        <v/>
      </c>
      <c r="I50" t="str">
        <f>IFERROR(VLOOKUP(Logs_Registre[[#This Row],[Cell_ID]],Registre_Maintenance[],4,FALSE),"")</f>
        <v/>
      </c>
      <c r="J50" t="str">
        <f>IFERROR(VLOOKUP(Logs_Registre[[#This Row],[Cell_ID]],Registre_Maintenance[],5,FALSE),"")</f>
        <v/>
      </c>
      <c r="K50" t="str">
        <f>IFERROR(VLOOKUP(Logs_Registre[[#This Row],[Cell_ID]],Registre_Maintenance[],6,FALSE),"")</f>
        <v/>
      </c>
    </row>
    <row r="51" spans="1:11" x14ac:dyDescent="0.25">
      <c r="A51" s="1" t="s">
        <v>939</v>
      </c>
      <c r="B51" s="1" t="s">
        <v>971</v>
      </c>
      <c r="C51" s="2">
        <v>45229.756249999999</v>
      </c>
      <c r="D51" s="3">
        <v>45229.756249999999</v>
      </c>
      <c r="E51">
        <v>82</v>
      </c>
      <c r="F51" s="1" t="s">
        <v>737</v>
      </c>
      <c r="G51" t="str">
        <f>IFERROR(VLOOKUP(Logs_Registre[[#This Row],[Cell_ID]],Registre_Maintenance[],2,FALSE),"")</f>
        <v/>
      </c>
      <c r="H51" t="str">
        <f>IFERROR(VLOOKUP(Logs_Registre[[#This Row],[Cell_ID]],Registre_Maintenance[],3,FALSE),"")</f>
        <v/>
      </c>
      <c r="I51" t="str">
        <f>IFERROR(VLOOKUP(Logs_Registre[[#This Row],[Cell_ID]],Registre_Maintenance[],4,FALSE),"")</f>
        <v/>
      </c>
      <c r="J51" t="str">
        <f>IFERROR(VLOOKUP(Logs_Registre[[#This Row],[Cell_ID]],Registre_Maintenance[],5,FALSE),"")</f>
        <v/>
      </c>
      <c r="K51" t="str">
        <f>IFERROR(VLOOKUP(Logs_Registre[[#This Row],[Cell_ID]],Registre_Maintenance[],6,FALSE),"")</f>
        <v/>
      </c>
    </row>
    <row r="52" spans="1:11" x14ac:dyDescent="0.25">
      <c r="A52" s="1" t="s">
        <v>823</v>
      </c>
      <c r="B52" s="1" t="s">
        <v>833</v>
      </c>
      <c r="C52" s="2">
        <v>45229.738194444442</v>
      </c>
      <c r="D52" s="3">
        <v>45229.738194444442</v>
      </c>
      <c r="E52">
        <v>36</v>
      </c>
      <c r="F52" s="1" t="s">
        <v>735</v>
      </c>
      <c r="G52" t="str">
        <f>IFERROR(VLOOKUP(Logs_Registre[[#This Row],[Cell_ID]],Registre_Maintenance[],2,FALSE),"")</f>
        <v>Lomami</v>
      </c>
      <c r="H52">
        <f>IFERROR(VLOOKUP(Logs_Registre[[#This Row],[Cell_ID]],Registre_Maintenance[],3,FALSE),"")</f>
        <v>-11.218453999999999</v>
      </c>
      <c r="I52">
        <f>IFERROR(VLOOKUP(Logs_Registre[[#This Row],[Cell_ID]],Registre_Maintenance[],4,FALSE),"")</f>
        <v>28.230025000000001</v>
      </c>
      <c r="J52" t="str">
        <f>IFERROR(VLOOKUP(Logs_Registre[[#This Row],[Cell_ID]],Registre_Maintenance[],5,FALSE),"")</f>
        <v>5G</v>
      </c>
      <c r="K52" t="str">
        <f>IFERROR(VLOOKUP(Logs_Registre[[#This Row],[Cell_ID]],Registre_Maintenance[],6,FALSE),"")</f>
        <v>ZTE</v>
      </c>
    </row>
    <row r="53" spans="1:11" x14ac:dyDescent="0.25">
      <c r="A53" s="1" t="s">
        <v>1114</v>
      </c>
      <c r="B53" s="1" t="s">
        <v>879</v>
      </c>
      <c r="C53" s="2">
        <v>45229.722916666673</v>
      </c>
      <c r="D53" s="3">
        <v>45229.722916666673</v>
      </c>
      <c r="E53">
        <v>76</v>
      </c>
      <c r="F53" s="1" t="s">
        <v>735</v>
      </c>
      <c r="G53" t="str">
        <f>IFERROR(VLOOKUP(Logs_Registre[[#This Row],[Cell_ID]],Registre_Maintenance[],2,FALSE),"")</f>
        <v>Nord-Ubangi</v>
      </c>
      <c r="H53">
        <f>IFERROR(VLOOKUP(Logs_Registre[[#This Row],[Cell_ID]],Registre_Maintenance[],3,FALSE),"")</f>
        <v>-1.342476</v>
      </c>
      <c r="I53">
        <f>IFERROR(VLOOKUP(Logs_Registre[[#This Row],[Cell_ID]],Registre_Maintenance[],4,FALSE),"")</f>
        <v>15.986086</v>
      </c>
      <c r="J53" t="str">
        <f>IFERROR(VLOOKUP(Logs_Registre[[#This Row],[Cell_ID]],Registre_Maintenance[],5,FALSE),"")</f>
        <v>4G</v>
      </c>
      <c r="K53" t="str">
        <f>IFERROR(VLOOKUP(Logs_Registre[[#This Row],[Cell_ID]],Registre_Maintenance[],6,FALSE),"")</f>
        <v>Ericsson</v>
      </c>
    </row>
    <row r="54" spans="1:11" x14ac:dyDescent="0.25">
      <c r="A54" s="1" t="s">
        <v>1024</v>
      </c>
      <c r="B54" s="1" t="s">
        <v>1052</v>
      </c>
      <c r="C54" s="2">
        <v>45229.670138888891</v>
      </c>
      <c r="D54" s="3">
        <v>45229.670138888891</v>
      </c>
      <c r="E54">
        <v>41</v>
      </c>
      <c r="F54" s="1" t="s">
        <v>737</v>
      </c>
      <c r="G54" t="str">
        <f>IFERROR(VLOOKUP(Logs_Registre[[#This Row],[Cell_ID]],Registre_Maintenance[],2,FALSE),"")</f>
        <v/>
      </c>
      <c r="H54" t="str">
        <f>IFERROR(VLOOKUP(Logs_Registre[[#This Row],[Cell_ID]],Registre_Maintenance[],3,FALSE),"")</f>
        <v/>
      </c>
      <c r="I54" t="str">
        <f>IFERROR(VLOOKUP(Logs_Registre[[#This Row],[Cell_ID]],Registre_Maintenance[],4,FALSE),"")</f>
        <v/>
      </c>
      <c r="J54" t="str">
        <f>IFERROR(VLOOKUP(Logs_Registre[[#This Row],[Cell_ID]],Registre_Maintenance[],5,FALSE),"")</f>
        <v/>
      </c>
      <c r="K54" t="str">
        <f>IFERROR(VLOOKUP(Logs_Registre[[#This Row],[Cell_ID]],Registre_Maintenance[],6,FALSE),"")</f>
        <v/>
      </c>
    </row>
    <row r="55" spans="1:11" x14ac:dyDescent="0.25">
      <c r="A55" s="1" t="s">
        <v>1308</v>
      </c>
      <c r="B55" s="1" t="s">
        <v>1313</v>
      </c>
      <c r="C55" s="2">
        <v>45229.631249999999</v>
      </c>
      <c r="D55" s="3">
        <v>45229.631249999999</v>
      </c>
      <c r="E55">
        <v>81</v>
      </c>
      <c r="F55" s="1" t="s">
        <v>732</v>
      </c>
      <c r="G55" t="str">
        <f>IFERROR(VLOOKUP(Logs_Registre[[#This Row],[Cell_ID]],Registre_Maintenance[],2,FALSE),"")</f>
        <v>Tshuapa</v>
      </c>
      <c r="H55">
        <f>IFERROR(VLOOKUP(Logs_Registre[[#This Row],[Cell_ID]],Registre_Maintenance[],3,FALSE),"")</f>
        <v>-10.574821</v>
      </c>
      <c r="I55">
        <f>IFERROR(VLOOKUP(Logs_Registre[[#This Row],[Cell_ID]],Registre_Maintenance[],4,FALSE),"")</f>
        <v>25.324966</v>
      </c>
      <c r="J55" t="str">
        <f>IFERROR(VLOOKUP(Logs_Registre[[#This Row],[Cell_ID]],Registre_Maintenance[],5,FALSE),"")</f>
        <v>5G</v>
      </c>
      <c r="K55" t="str">
        <f>IFERROR(VLOOKUP(Logs_Registre[[#This Row],[Cell_ID]],Registre_Maintenance[],6,FALSE),"")</f>
        <v>Ericsson</v>
      </c>
    </row>
    <row r="56" spans="1:11" x14ac:dyDescent="0.25">
      <c r="A56" s="1" t="s">
        <v>1165</v>
      </c>
      <c r="B56" s="1" t="s">
        <v>1174</v>
      </c>
      <c r="C56" s="2">
        <v>45229.620833333327</v>
      </c>
      <c r="D56" s="3">
        <v>45229.620833333327</v>
      </c>
      <c r="E56">
        <v>74</v>
      </c>
      <c r="F56" s="1" t="s">
        <v>737</v>
      </c>
      <c r="G56" t="str">
        <f>IFERROR(VLOOKUP(Logs_Registre[[#This Row],[Cell_ID]],Registre_Maintenance[],2,FALSE),"")</f>
        <v>Haut-Uele</v>
      </c>
      <c r="H56">
        <f>IFERROR(VLOOKUP(Logs_Registre[[#This Row],[Cell_ID]],Registre_Maintenance[],3,FALSE),"")</f>
        <v>-12.488033</v>
      </c>
      <c r="I56">
        <f>IFERROR(VLOOKUP(Logs_Registre[[#This Row],[Cell_ID]],Registre_Maintenance[],4,FALSE),"")</f>
        <v>16.139648000000001</v>
      </c>
      <c r="J56" t="str">
        <f>IFERROR(VLOOKUP(Logs_Registre[[#This Row],[Cell_ID]],Registre_Maintenance[],5,FALSE),"")</f>
        <v>4G</v>
      </c>
      <c r="K56" t="str">
        <f>IFERROR(VLOOKUP(Logs_Registre[[#This Row],[Cell_ID]],Registre_Maintenance[],6,FALSE),"")</f>
        <v>Huawei</v>
      </c>
    </row>
    <row r="57" spans="1:11" x14ac:dyDescent="0.25">
      <c r="A57" s="1" t="s">
        <v>779</v>
      </c>
      <c r="B57" s="1" t="s">
        <v>757</v>
      </c>
      <c r="C57" s="2">
        <v>45229.595833333333</v>
      </c>
      <c r="D57" s="3">
        <v>45229.595833333333</v>
      </c>
      <c r="E57">
        <v>88</v>
      </c>
      <c r="F57" s="1" t="s">
        <v>737</v>
      </c>
      <c r="G57" t="str">
        <f>IFERROR(VLOOKUP(Logs_Registre[[#This Row],[Cell_ID]],Registre_Maintenance[],2,FALSE),"")</f>
        <v/>
      </c>
      <c r="H57" t="str">
        <f>IFERROR(VLOOKUP(Logs_Registre[[#This Row],[Cell_ID]],Registre_Maintenance[],3,FALSE),"")</f>
        <v/>
      </c>
      <c r="I57" t="str">
        <f>IFERROR(VLOOKUP(Logs_Registre[[#This Row],[Cell_ID]],Registre_Maintenance[],4,FALSE),"")</f>
        <v/>
      </c>
      <c r="J57" t="str">
        <f>IFERROR(VLOOKUP(Logs_Registre[[#This Row],[Cell_ID]],Registre_Maintenance[],5,FALSE),"")</f>
        <v/>
      </c>
      <c r="K57" t="str">
        <f>IFERROR(VLOOKUP(Logs_Registre[[#This Row],[Cell_ID]],Registre_Maintenance[],6,FALSE),"")</f>
        <v/>
      </c>
    </row>
    <row r="58" spans="1:11" x14ac:dyDescent="0.25">
      <c r="A58" s="1" t="s">
        <v>730</v>
      </c>
      <c r="B58" s="1" t="s">
        <v>754</v>
      </c>
      <c r="C58" s="2">
        <v>45229.503472222219</v>
      </c>
      <c r="D58" s="3">
        <v>45229.503472222219</v>
      </c>
      <c r="E58">
        <v>106</v>
      </c>
      <c r="F58" s="1" t="s">
        <v>735</v>
      </c>
      <c r="G58" t="str">
        <f>IFERROR(VLOOKUP(Logs_Registre[[#This Row],[Cell_ID]],Registre_Maintenance[],2,FALSE),"")</f>
        <v/>
      </c>
      <c r="H58" t="str">
        <f>IFERROR(VLOOKUP(Logs_Registre[[#This Row],[Cell_ID]],Registre_Maintenance[],3,FALSE),"")</f>
        <v/>
      </c>
      <c r="I58" t="str">
        <f>IFERROR(VLOOKUP(Logs_Registre[[#This Row],[Cell_ID]],Registre_Maintenance[],4,FALSE),"")</f>
        <v/>
      </c>
      <c r="J58" t="str">
        <f>IFERROR(VLOOKUP(Logs_Registre[[#This Row],[Cell_ID]],Registre_Maintenance[],5,FALSE),"")</f>
        <v/>
      </c>
      <c r="K58" t="str">
        <f>IFERROR(VLOOKUP(Logs_Registre[[#This Row],[Cell_ID]],Registre_Maintenance[],6,FALSE),"")</f>
        <v/>
      </c>
    </row>
    <row r="59" spans="1:11" x14ac:dyDescent="0.25">
      <c r="A59" s="1" t="s">
        <v>823</v>
      </c>
      <c r="B59" s="1" t="s">
        <v>837</v>
      </c>
      <c r="C59" s="2">
        <v>45229.443749999999</v>
      </c>
      <c r="D59" s="3">
        <v>45229.443749999999</v>
      </c>
      <c r="E59">
        <v>5</v>
      </c>
      <c r="F59" s="1" t="s">
        <v>732</v>
      </c>
      <c r="G59" t="str">
        <f>IFERROR(VLOOKUP(Logs_Registre[[#This Row],[Cell_ID]],Registre_Maintenance[],2,FALSE),"")</f>
        <v>Kasai-Central</v>
      </c>
      <c r="H59">
        <f>IFERROR(VLOOKUP(Logs_Registre[[#This Row],[Cell_ID]],Registre_Maintenance[],3,FALSE),"")</f>
        <v>-6.6803710000000001</v>
      </c>
      <c r="I59">
        <f>IFERROR(VLOOKUP(Logs_Registre[[#This Row],[Cell_ID]],Registre_Maintenance[],4,FALSE),"")</f>
        <v>21.955673000000001</v>
      </c>
      <c r="J59" t="str">
        <f>IFERROR(VLOOKUP(Logs_Registre[[#This Row],[Cell_ID]],Registre_Maintenance[],5,FALSE),"")</f>
        <v>4G</v>
      </c>
      <c r="K59" t="str">
        <f>IFERROR(VLOOKUP(Logs_Registre[[#This Row],[Cell_ID]],Registre_Maintenance[],6,FALSE),"")</f>
        <v>Nokia</v>
      </c>
    </row>
    <row r="60" spans="1:11" x14ac:dyDescent="0.25">
      <c r="A60" s="1" t="s">
        <v>1165</v>
      </c>
      <c r="B60" s="1" t="s">
        <v>1016</v>
      </c>
      <c r="C60" s="2">
        <v>45229.429861111108</v>
      </c>
      <c r="D60" s="3">
        <v>45229.429861111108</v>
      </c>
      <c r="E60">
        <v>90</v>
      </c>
      <c r="F60" s="1" t="s">
        <v>732</v>
      </c>
      <c r="G60" t="str">
        <f>IFERROR(VLOOKUP(Logs_Registre[[#This Row],[Cell_ID]],Registre_Maintenance[],2,FALSE),"")</f>
        <v/>
      </c>
      <c r="H60" t="str">
        <f>IFERROR(VLOOKUP(Logs_Registre[[#This Row],[Cell_ID]],Registre_Maintenance[],3,FALSE),"")</f>
        <v/>
      </c>
      <c r="I60" t="str">
        <f>IFERROR(VLOOKUP(Logs_Registre[[#This Row],[Cell_ID]],Registre_Maintenance[],4,FALSE),"")</f>
        <v/>
      </c>
      <c r="J60" t="str">
        <f>IFERROR(VLOOKUP(Logs_Registre[[#This Row],[Cell_ID]],Registre_Maintenance[],5,FALSE),"")</f>
        <v/>
      </c>
      <c r="K60" t="str">
        <f>IFERROR(VLOOKUP(Logs_Registre[[#This Row],[Cell_ID]],Registre_Maintenance[],6,FALSE),"")</f>
        <v/>
      </c>
    </row>
    <row r="61" spans="1:11" x14ac:dyDescent="0.25">
      <c r="A61" s="1" t="s">
        <v>861</v>
      </c>
      <c r="B61" s="1" t="s">
        <v>887</v>
      </c>
      <c r="C61" s="2">
        <v>45229.4</v>
      </c>
      <c r="D61" s="3">
        <v>45229.4</v>
      </c>
      <c r="E61">
        <v>77</v>
      </c>
      <c r="F61" s="1" t="s">
        <v>732</v>
      </c>
      <c r="G61" t="str">
        <f>IFERROR(VLOOKUP(Logs_Registre[[#This Row],[Cell_ID]],Registre_Maintenance[],2,FALSE),"")</f>
        <v/>
      </c>
      <c r="H61" t="str">
        <f>IFERROR(VLOOKUP(Logs_Registre[[#This Row],[Cell_ID]],Registre_Maintenance[],3,FALSE),"")</f>
        <v/>
      </c>
      <c r="I61" t="str">
        <f>IFERROR(VLOOKUP(Logs_Registre[[#This Row],[Cell_ID]],Registre_Maintenance[],4,FALSE),"")</f>
        <v/>
      </c>
      <c r="J61" t="str">
        <f>IFERROR(VLOOKUP(Logs_Registre[[#This Row],[Cell_ID]],Registre_Maintenance[],5,FALSE),"")</f>
        <v/>
      </c>
      <c r="K61" t="str">
        <f>IFERROR(VLOOKUP(Logs_Registre[[#This Row],[Cell_ID]],Registre_Maintenance[],6,FALSE),"")</f>
        <v/>
      </c>
    </row>
    <row r="62" spans="1:11" x14ac:dyDescent="0.25">
      <c r="A62" s="1" t="s">
        <v>1024</v>
      </c>
      <c r="B62" s="1" t="s">
        <v>1038</v>
      </c>
      <c r="C62" s="2">
        <v>45229.39166666667</v>
      </c>
      <c r="D62" s="3">
        <v>45229.39166666667</v>
      </c>
      <c r="E62">
        <v>28</v>
      </c>
      <c r="F62" s="1" t="s">
        <v>737</v>
      </c>
      <c r="G62" t="str">
        <f>IFERROR(VLOOKUP(Logs_Registre[[#This Row],[Cell_ID]],Registre_Maintenance[],2,FALSE),"")</f>
        <v>Lualaba</v>
      </c>
      <c r="H62">
        <f>IFERROR(VLOOKUP(Logs_Registre[[#This Row],[Cell_ID]],Registre_Maintenance[],3,FALSE),"")</f>
        <v>-10.967288</v>
      </c>
      <c r="I62">
        <f>IFERROR(VLOOKUP(Logs_Registre[[#This Row],[Cell_ID]],Registre_Maintenance[],4,FALSE),"")</f>
        <v>17.617781000000001</v>
      </c>
      <c r="J62" t="str">
        <f>IFERROR(VLOOKUP(Logs_Registre[[#This Row],[Cell_ID]],Registre_Maintenance[],5,FALSE),"")</f>
        <v>4G</v>
      </c>
      <c r="K62" t="str">
        <f>IFERROR(VLOOKUP(Logs_Registre[[#This Row],[Cell_ID]],Registre_Maintenance[],6,FALSE),"")</f>
        <v>Ericsson</v>
      </c>
    </row>
    <row r="63" spans="1:11" x14ac:dyDescent="0.25">
      <c r="A63" s="1" t="s">
        <v>779</v>
      </c>
      <c r="B63" s="1" t="s">
        <v>794</v>
      </c>
      <c r="C63" s="2">
        <v>45229.298611111109</v>
      </c>
      <c r="D63" s="3">
        <v>45229.298611111109</v>
      </c>
      <c r="E63">
        <v>74</v>
      </c>
      <c r="F63" s="1" t="s">
        <v>737</v>
      </c>
      <c r="G63" t="str">
        <f>IFERROR(VLOOKUP(Logs_Registre[[#This Row],[Cell_ID]],Registre_Maintenance[],2,FALSE),"")</f>
        <v/>
      </c>
      <c r="H63" t="str">
        <f>IFERROR(VLOOKUP(Logs_Registre[[#This Row],[Cell_ID]],Registre_Maintenance[],3,FALSE),"")</f>
        <v/>
      </c>
      <c r="I63" t="str">
        <f>IFERROR(VLOOKUP(Logs_Registre[[#This Row],[Cell_ID]],Registre_Maintenance[],4,FALSE),"")</f>
        <v/>
      </c>
      <c r="J63" t="str">
        <f>IFERROR(VLOOKUP(Logs_Registre[[#This Row],[Cell_ID]],Registre_Maintenance[],5,FALSE),"")</f>
        <v/>
      </c>
      <c r="K63" t="str">
        <f>IFERROR(VLOOKUP(Logs_Registre[[#This Row],[Cell_ID]],Registre_Maintenance[],6,FALSE),"")</f>
        <v/>
      </c>
    </row>
    <row r="64" spans="1:11" x14ac:dyDescent="0.25">
      <c r="A64" s="1" t="s">
        <v>1165</v>
      </c>
      <c r="B64" s="1" t="s">
        <v>776</v>
      </c>
      <c r="C64" s="2">
        <v>45229.282638888893</v>
      </c>
      <c r="D64" s="3">
        <v>45229.282638888893</v>
      </c>
      <c r="E64">
        <v>102</v>
      </c>
      <c r="F64" s="1" t="s">
        <v>735</v>
      </c>
      <c r="G64" t="str">
        <f>IFERROR(VLOOKUP(Logs_Registre[[#This Row],[Cell_ID]],Registre_Maintenance[],2,FALSE),"")</f>
        <v/>
      </c>
      <c r="H64" t="str">
        <f>IFERROR(VLOOKUP(Logs_Registre[[#This Row],[Cell_ID]],Registre_Maintenance[],3,FALSE),"")</f>
        <v/>
      </c>
      <c r="I64" t="str">
        <f>IFERROR(VLOOKUP(Logs_Registre[[#This Row],[Cell_ID]],Registre_Maintenance[],4,FALSE),"")</f>
        <v/>
      </c>
      <c r="J64" t="str">
        <f>IFERROR(VLOOKUP(Logs_Registre[[#This Row],[Cell_ID]],Registre_Maintenance[],5,FALSE),"")</f>
        <v/>
      </c>
      <c r="K64" t="str">
        <f>IFERROR(VLOOKUP(Logs_Registre[[#This Row],[Cell_ID]],Registre_Maintenance[],6,FALSE),"")</f>
        <v/>
      </c>
    </row>
    <row r="65" spans="1:11" x14ac:dyDescent="0.25">
      <c r="A65" s="1" t="s">
        <v>1261</v>
      </c>
      <c r="B65" s="1" t="s">
        <v>797</v>
      </c>
      <c r="C65" s="2">
        <v>45229.065972222219</v>
      </c>
      <c r="D65" s="3">
        <v>45229.065972222219</v>
      </c>
      <c r="E65">
        <v>93</v>
      </c>
      <c r="F65" s="1" t="s">
        <v>732</v>
      </c>
      <c r="G65" t="str">
        <f>IFERROR(VLOOKUP(Logs_Registre[[#This Row],[Cell_ID]],Registre_Maintenance[],2,FALSE),"")</f>
        <v>Nord-Kivu</v>
      </c>
      <c r="H65">
        <f>IFERROR(VLOOKUP(Logs_Registre[[#This Row],[Cell_ID]],Registre_Maintenance[],3,FALSE),"")</f>
        <v>0.82868600000000003</v>
      </c>
      <c r="I65">
        <f>IFERROR(VLOOKUP(Logs_Registre[[#This Row],[Cell_ID]],Registre_Maintenance[],4,FALSE),"")</f>
        <v>26.958843999999999</v>
      </c>
      <c r="J65" t="str">
        <f>IFERROR(VLOOKUP(Logs_Registre[[#This Row],[Cell_ID]],Registre_Maintenance[],5,FALSE),"")</f>
        <v>5G</v>
      </c>
      <c r="K65" t="str">
        <f>IFERROR(VLOOKUP(Logs_Registre[[#This Row],[Cell_ID]],Registre_Maintenance[],6,FALSE),"")</f>
        <v>ZTE</v>
      </c>
    </row>
    <row r="66" spans="1:11" x14ac:dyDescent="0.25">
      <c r="A66" s="1" t="s">
        <v>1382</v>
      </c>
      <c r="B66" s="1" t="s">
        <v>938</v>
      </c>
      <c r="C66" s="2">
        <v>45228.980555555558</v>
      </c>
      <c r="D66" s="3">
        <v>45228.980555555558</v>
      </c>
      <c r="E66">
        <v>37</v>
      </c>
      <c r="F66" s="1" t="s">
        <v>735</v>
      </c>
      <c r="G66" t="str">
        <f>IFERROR(VLOOKUP(Logs_Registre[[#This Row],[Cell_ID]],Registre_Maintenance[],2,FALSE),"")</f>
        <v/>
      </c>
      <c r="H66" t="str">
        <f>IFERROR(VLOOKUP(Logs_Registre[[#This Row],[Cell_ID]],Registre_Maintenance[],3,FALSE),"")</f>
        <v/>
      </c>
      <c r="I66" t="str">
        <f>IFERROR(VLOOKUP(Logs_Registre[[#This Row],[Cell_ID]],Registre_Maintenance[],4,FALSE),"")</f>
        <v/>
      </c>
      <c r="J66" t="str">
        <f>IFERROR(VLOOKUP(Logs_Registre[[#This Row],[Cell_ID]],Registre_Maintenance[],5,FALSE),"")</f>
        <v/>
      </c>
      <c r="K66" t="str">
        <f>IFERROR(VLOOKUP(Logs_Registre[[#This Row],[Cell_ID]],Registre_Maintenance[],6,FALSE),"")</f>
        <v/>
      </c>
    </row>
    <row r="67" spans="1:11" x14ac:dyDescent="0.25">
      <c r="A67" s="1" t="s">
        <v>1345</v>
      </c>
      <c r="B67" s="1" t="s">
        <v>1027</v>
      </c>
      <c r="C67" s="2">
        <v>45228.880555555559</v>
      </c>
      <c r="D67" s="3">
        <v>45228.880555555559</v>
      </c>
      <c r="E67">
        <v>112</v>
      </c>
      <c r="F67" s="1" t="s">
        <v>737</v>
      </c>
      <c r="G67" t="str">
        <f>IFERROR(VLOOKUP(Logs_Registre[[#This Row],[Cell_ID]],Registre_Maintenance[],2,FALSE),"")</f>
        <v>Ituri</v>
      </c>
      <c r="H67">
        <f>IFERROR(VLOOKUP(Logs_Registre[[#This Row],[Cell_ID]],Registre_Maintenance[],3,FALSE),"")</f>
        <v>-4.1250960000000001</v>
      </c>
      <c r="I67">
        <f>IFERROR(VLOOKUP(Logs_Registre[[#This Row],[Cell_ID]],Registre_Maintenance[],4,FALSE),"")</f>
        <v>27.799897999999999</v>
      </c>
      <c r="J67" t="str">
        <f>IFERROR(VLOOKUP(Logs_Registre[[#This Row],[Cell_ID]],Registre_Maintenance[],5,FALSE),"")</f>
        <v>3G</v>
      </c>
      <c r="K67" t="str">
        <f>IFERROR(VLOOKUP(Logs_Registre[[#This Row],[Cell_ID]],Registre_Maintenance[],6,FALSE),"")</f>
        <v>Nokia</v>
      </c>
    </row>
    <row r="68" spans="1:11" x14ac:dyDescent="0.25">
      <c r="A68" s="1" t="s">
        <v>730</v>
      </c>
      <c r="B68" s="1" t="s">
        <v>771</v>
      </c>
      <c r="C68" s="2">
        <v>45228.853472222218</v>
      </c>
      <c r="D68" s="3">
        <v>45228.853472222218</v>
      </c>
      <c r="E68">
        <v>42</v>
      </c>
      <c r="F68" s="1" t="s">
        <v>732</v>
      </c>
      <c r="G68" t="str">
        <f>IFERROR(VLOOKUP(Logs_Registre[[#This Row],[Cell_ID]],Registre_Maintenance[],2,FALSE),"")</f>
        <v>Tanganyika</v>
      </c>
      <c r="H68">
        <f>IFERROR(VLOOKUP(Logs_Registre[[#This Row],[Cell_ID]],Registre_Maintenance[],3,FALSE),"")</f>
        <v>-10.776204</v>
      </c>
      <c r="I68">
        <f>IFERROR(VLOOKUP(Logs_Registre[[#This Row],[Cell_ID]],Registre_Maintenance[],4,FALSE),"")</f>
        <v>24.672934000000001</v>
      </c>
      <c r="J68" t="str">
        <f>IFERROR(VLOOKUP(Logs_Registre[[#This Row],[Cell_ID]],Registre_Maintenance[],5,FALSE),"")</f>
        <v>4G</v>
      </c>
      <c r="K68" t="str">
        <f>IFERROR(VLOOKUP(Logs_Registre[[#This Row],[Cell_ID]],Registre_Maintenance[],6,FALSE),"")</f>
        <v>Ericsson</v>
      </c>
    </row>
    <row r="69" spans="1:11" x14ac:dyDescent="0.25">
      <c r="A69" s="1" t="s">
        <v>978</v>
      </c>
      <c r="B69" s="1" t="s">
        <v>988</v>
      </c>
      <c r="C69" s="2">
        <v>45228.848611111112</v>
      </c>
      <c r="D69" s="3">
        <v>45228.848611111112</v>
      </c>
      <c r="E69">
        <v>18</v>
      </c>
      <c r="F69" s="1" t="s">
        <v>737</v>
      </c>
      <c r="G69" t="str">
        <f>IFERROR(VLOOKUP(Logs_Registre[[#This Row],[Cell_ID]],Registre_Maintenance[],2,FALSE),"")</f>
        <v/>
      </c>
      <c r="H69" t="str">
        <f>IFERROR(VLOOKUP(Logs_Registre[[#This Row],[Cell_ID]],Registre_Maintenance[],3,FALSE),"")</f>
        <v/>
      </c>
      <c r="I69" t="str">
        <f>IFERROR(VLOOKUP(Logs_Registre[[#This Row],[Cell_ID]],Registre_Maintenance[],4,FALSE),"")</f>
        <v/>
      </c>
      <c r="J69" t="str">
        <f>IFERROR(VLOOKUP(Logs_Registre[[#This Row],[Cell_ID]],Registre_Maintenance[],5,FALSE),"")</f>
        <v/>
      </c>
      <c r="K69" t="str">
        <f>IFERROR(VLOOKUP(Logs_Registre[[#This Row],[Cell_ID]],Registre_Maintenance[],6,FALSE),"")</f>
        <v/>
      </c>
    </row>
    <row r="70" spans="1:11" x14ac:dyDescent="0.25">
      <c r="A70" s="1" t="s">
        <v>1241</v>
      </c>
      <c r="B70" s="1" t="s">
        <v>774</v>
      </c>
      <c r="C70" s="2">
        <v>45228.840277777781</v>
      </c>
      <c r="D70" s="3">
        <v>45228.840277777781</v>
      </c>
      <c r="E70">
        <v>101</v>
      </c>
      <c r="F70" s="1" t="s">
        <v>732</v>
      </c>
      <c r="G70" t="str">
        <f>IFERROR(VLOOKUP(Logs_Registre[[#This Row],[Cell_ID]],Registre_Maintenance[],2,FALSE),"")</f>
        <v/>
      </c>
      <c r="H70" t="str">
        <f>IFERROR(VLOOKUP(Logs_Registre[[#This Row],[Cell_ID]],Registre_Maintenance[],3,FALSE),"")</f>
        <v/>
      </c>
      <c r="I70" t="str">
        <f>IFERROR(VLOOKUP(Logs_Registre[[#This Row],[Cell_ID]],Registre_Maintenance[],4,FALSE),"")</f>
        <v/>
      </c>
      <c r="J70" t="str">
        <f>IFERROR(VLOOKUP(Logs_Registre[[#This Row],[Cell_ID]],Registre_Maintenance[],5,FALSE),"")</f>
        <v/>
      </c>
      <c r="K70" t="str">
        <f>IFERROR(VLOOKUP(Logs_Registre[[#This Row],[Cell_ID]],Registre_Maintenance[],6,FALSE),"")</f>
        <v/>
      </c>
    </row>
    <row r="71" spans="1:11" x14ac:dyDescent="0.25">
      <c r="A71" s="1" t="s">
        <v>978</v>
      </c>
      <c r="B71" s="1" t="s">
        <v>731</v>
      </c>
      <c r="C71" s="2">
        <v>45228.791666666657</v>
      </c>
      <c r="D71" s="3">
        <v>45228.791666666657</v>
      </c>
      <c r="E71">
        <v>63</v>
      </c>
      <c r="F71" s="1" t="s">
        <v>732</v>
      </c>
      <c r="G71" t="str">
        <f>IFERROR(VLOOKUP(Logs_Registre[[#This Row],[Cell_ID]],Registre_Maintenance[],2,FALSE),"")</f>
        <v>Tanganyika</v>
      </c>
      <c r="H71">
        <f>IFERROR(VLOOKUP(Logs_Registre[[#This Row],[Cell_ID]],Registre_Maintenance[],3,FALSE),"")</f>
        <v>-11.144149000000001</v>
      </c>
      <c r="I71">
        <f>IFERROR(VLOOKUP(Logs_Registre[[#This Row],[Cell_ID]],Registre_Maintenance[],4,FALSE),"")</f>
        <v>27.244658999999999</v>
      </c>
      <c r="J71" t="str">
        <f>IFERROR(VLOOKUP(Logs_Registre[[#This Row],[Cell_ID]],Registre_Maintenance[],5,FALSE),"")</f>
        <v>4G</v>
      </c>
      <c r="K71" t="str">
        <f>IFERROR(VLOOKUP(Logs_Registre[[#This Row],[Cell_ID]],Registre_Maintenance[],6,FALSE),"")</f>
        <v>Nokia</v>
      </c>
    </row>
    <row r="72" spans="1:11" x14ac:dyDescent="0.25">
      <c r="A72" s="1" t="s">
        <v>823</v>
      </c>
      <c r="B72" s="1" t="s">
        <v>831</v>
      </c>
      <c r="C72" s="2">
        <v>45228.758333333331</v>
      </c>
      <c r="D72" s="3">
        <v>45228.758333333331</v>
      </c>
      <c r="E72">
        <v>54</v>
      </c>
      <c r="F72" s="1" t="s">
        <v>732</v>
      </c>
      <c r="G72" t="str">
        <f>IFERROR(VLOOKUP(Logs_Registre[[#This Row],[Cell_ID]],Registre_Maintenance[],2,FALSE),"")</f>
        <v/>
      </c>
      <c r="H72" t="str">
        <f>IFERROR(VLOOKUP(Logs_Registre[[#This Row],[Cell_ID]],Registre_Maintenance[],3,FALSE),"")</f>
        <v/>
      </c>
      <c r="I72" t="str">
        <f>IFERROR(VLOOKUP(Logs_Registre[[#This Row],[Cell_ID]],Registre_Maintenance[],4,FALSE),"")</f>
        <v/>
      </c>
      <c r="J72" t="str">
        <f>IFERROR(VLOOKUP(Logs_Registre[[#This Row],[Cell_ID]],Registre_Maintenance[],5,FALSE),"")</f>
        <v/>
      </c>
      <c r="K72" t="str">
        <f>IFERROR(VLOOKUP(Logs_Registre[[#This Row],[Cell_ID]],Registre_Maintenance[],6,FALSE),"")</f>
        <v/>
      </c>
    </row>
    <row r="73" spans="1:11" x14ac:dyDescent="0.25">
      <c r="A73" s="1" t="s">
        <v>1193</v>
      </c>
      <c r="B73" s="1" t="s">
        <v>1192</v>
      </c>
      <c r="C73" s="2">
        <v>45228.747916666667</v>
      </c>
      <c r="D73" s="3">
        <v>45228.747916666667</v>
      </c>
      <c r="E73">
        <v>27</v>
      </c>
      <c r="F73" s="1" t="s">
        <v>732</v>
      </c>
      <c r="G73" t="str">
        <f>IFERROR(VLOOKUP(Logs_Registre[[#This Row],[Cell_ID]],Registre_Maintenance[],2,FALSE),"")</f>
        <v>Lualaba</v>
      </c>
      <c r="H73">
        <f>IFERROR(VLOOKUP(Logs_Registre[[#This Row],[Cell_ID]],Registre_Maintenance[],3,FALSE),"")</f>
        <v>-8.0301989999999996</v>
      </c>
      <c r="I73">
        <f>IFERROR(VLOOKUP(Logs_Registre[[#This Row],[Cell_ID]],Registre_Maintenance[],4,FALSE),"")</f>
        <v>24.122495000000001</v>
      </c>
      <c r="J73" t="str">
        <f>IFERROR(VLOOKUP(Logs_Registre[[#This Row],[Cell_ID]],Registre_Maintenance[],5,FALSE),"")</f>
        <v>5G</v>
      </c>
      <c r="K73" t="str">
        <f>IFERROR(VLOOKUP(Logs_Registre[[#This Row],[Cell_ID]],Registre_Maintenance[],6,FALSE),"")</f>
        <v>ZTE</v>
      </c>
    </row>
    <row r="74" spans="1:11" x14ac:dyDescent="0.25">
      <c r="A74" s="1" t="s">
        <v>1086</v>
      </c>
      <c r="B74" s="1" t="s">
        <v>1101</v>
      </c>
      <c r="C74" s="2">
        <v>45228.736111111109</v>
      </c>
      <c r="D74" s="3">
        <v>45228.736111111109</v>
      </c>
      <c r="E74">
        <v>66</v>
      </c>
      <c r="F74" s="1" t="s">
        <v>737</v>
      </c>
      <c r="G74" t="str">
        <f>IFERROR(VLOOKUP(Logs_Registre[[#This Row],[Cell_ID]],Registre_Maintenance[],2,FALSE),"")</f>
        <v/>
      </c>
      <c r="H74" t="str">
        <f>IFERROR(VLOOKUP(Logs_Registre[[#This Row],[Cell_ID]],Registre_Maintenance[],3,FALSE),"")</f>
        <v/>
      </c>
      <c r="I74" t="str">
        <f>IFERROR(VLOOKUP(Logs_Registre[[#This Row],[Cell_ID]],Registre_Maintenance[],4,FALSE),"")</f>
        <v/>
      </c>
      <c r="J74" t="str">
        <f>IFERROR(VLOOKUP(Logs_Registre[[#This Row],[Cell_ID]],Registre_Maintenance[],5,FALSE),"")</f>
        <v/>
      </c>
      <c r="K74" t="str">
        <f>IFERROR(VLOOKUP(Logs_Registre[[#This Row],[Cell_ID]],Registre_Maintenance[],6,FALSE),"")</f>
        <v/>
      </c>
    </row>
    <row r="75" spans="1:11" x14ac:dyDescent="0.25">
      <c r="A75" s="1" t="s">
        <v>1114</v>
      </c>
      <c r="B75" s="1" t="s">
        <v>1117</v>
      </c>
      <c r="C75" s="2">
        <v>45228.672222222223</v>
      </c>
      <c r="D75" s="3">
        <v>45228.672222222223</v>
      </c>
      <c r="E75">
        <v>106</v>
      </c>
      <c r="F75" s="1" t="s">
        <v>732</v>
      </c>
      <c r="G75" t="str">
        <f>IFERROR(VLOOKUP(Logs_Registre[[#This Row],[Cell_ID]],Registre_Maintenance[],2,FALSE),"")</f>
        <v>Lualaba</v>
      </c>
      <c r="H75">
        <f>IFERROR(VLOOKUP(Logs_Registre[[#This Row],[Cell_ID]],Registre_Maintenance[],3,FALSE),"")</f>
        <v>2.0392079999999999</v>
      </c>
      <c r="I75">
        <f>IFERROR(VLOOKUP(Logs_Registre[[#This Row],[Cell_ID]],Registre_Maintenance[],4,FALSE),"")</f>
        <v>19.090841999999999</v>
      </c>
      <c r="J75" t="str">
        <f>IFERROR(VLOOKUP(Logs_Registre[[#This Row],[Cell_ID]],Registre_Maintenance[],5,FALSE),"")</f>
        <v>4G</v>
      </c>
      <c r="K75" t="str">
        <f>IFERROR(VLOOKUP(Logs_Registre[[#This Row],[Cell_ID]],Registre_Maintenance[],6,FALSE),"")</f>
        <v>Nokia</v>
      </c>
    </row>
    <row r="76" spans="1:11" x14ac:dyDescent="0.25">
      <c r="A76" s="1" t="s">
        <v>1261</v>
      </c>
      <c r="B76" s="1" t="s">
        <v>796</v>
      </c>
      <c r="C76" s="2">
        <v>45228.621527777781</v>
      </c>
      <c r="D76" s="3">
        <v>45228.621527777781</v>
      </c>
      <c r="E76">
        <v>98</v>
      </c>
      <c r="F76" s="1" t="s">
        <v>737</v>
      </c>
      <c r="G76" t="str">
        <f>IFERROR(VLOOKUP(Logs_Registre[[#This Row],[Cell_ID]],Registre_Maintenance[],2,FALSE),"")</f>
        <v>Kwango</v>
      </c>
      <c r="H76">
        <f>IFERROR(VLOOKUP(Logs_Registre[[#This Row],[Cell_ID]],Registre_Maintenance[],3,FALSE),"")</f>
        <v>-10.963041</v>
      </c>
      <c r="I76">
        <f>IFERROR(VLOOKUP(Logs_Registre[[#This Row],[Cell_ID]],Registre_Maintenance[],4,FALSE),"")</f>
        <v>12.269857</v>
      </c>
      <c r="J76" t="str">
        <f>IFERROR(VLOOKUP(Logs_Registre[[#This Row],[Cell_ID]],Registre_Maintenance[],5,FALSE),"")</f>
        <v>4G</v>
      </c>
      <c r="K76" t="str">
        <f>IFERROR(VLOOKUP(Logs_Registre[[#This Row],[Cell_ID]],Registre_Maintenance[],6,FALSE),"")</f>
        <v>Huawei</v>
      </c>
    </row>
    <row r="77" spans="1:11" x14ac:dyDescent="0.25">
      <c r="A77" s="1" t="s">
        <v>861</v>
      </c>
      <c r="B77" s="1" t="s">
        <v>901</v>
      </c>
      <c r="C77" s="2">
        <v>45228.614583333343</v>
      </c>
      <c r="D77" s="3">
        <v>45228.614583333343</v>
      </c>
      <c r="E77">
        <v>48</v>
      </c>
      <c r="F77" s="1" t="s">
        <v>735</v>
      </c>
      <c r="G77" t="str">
        <f>IFERROR(VLOOKUP(Logs_Registre[[#This Row],[Cell_ID]],Registre_Maintenance[],2,FALSE),"")</f>
        <v>Bas-Uele</v>
      </c>
      <c r="H77">
        <f>IFERROR(VLOOKUP(Logs_Registre[[#This Row],[Cell_ID]],Registre_Maintenance[],3,FALSE),"")</f>
        <v>-3.6945459999999999</v>
      </c>
      <c r="I77">
        <f>IFERROR(VLOOKUP(Logs_Registre[[#This Row],[Cell_ID]],Registre_Maintenance[],4,FALSE),"")</f>
        <v>16.809108999999999</v>
      </c>
      <c r="J77" t="str">
        <f>IFERROR(VLOOKUP(Logs_Registre[[#This Row],[Cell_ID]],Registre_Maintenance[],5,FALSE),"")</f>
        <v>5G</v>
      </c>
      <c r="K77" t="str">
        <f>IFERROR(VLOOKUP(Logs_Registre[[#This Row],[Cell_ID]],Registre_Maintenance[],6,FALSE),"")</f>
        <v>ZTE</v>
      </c>
    </row>
    <row r="78" spans="1:11" x14ac:dyDescent="0.25">
      <c r="A78" s="1" t="s">
        <v>1382</v>
      </c>
      <c r="B78" s="1" t="s">
        <v>881</v>
      </c>
      <c r="C78" s="2">
        <v>45228.57708333333</v>
      </c>
      <c r="D78" s="3">
        <v>45228.57708333333</v>
      </c>
      <c r="E78">
        <v>80</v>
      </c>
      <c r="F78" s="1" t="s">
        <v>737</v>
      </c>
      <c r="G78" t="str">
        <f>IFERROR(VLOOKUP(Logs_Registre[[#This Row],[Cell_ID]],Registre_Maintenance[],2,FALSE),"")</f>
        <v>Haut-Uele</v>
      </c>
      <c r="H78">
        <f>IFERROR(VLOOKUP(Logs_Registre[[#This Row],[Cell_ID]],Registre_Maintenance[],3,FALSE),"")</f>
        <v>-1.8045979999999999</v>
      </c>
      <c r="I78">
        <f>IFERROR(VLOOKUP(Logs_Registre[[#This Row],[Cell_ID]],Registre_Maintenance[],4,FALSE),"")</f>
        <v>12.511096999999999</v>
      </c>
      <c r="J78" t="str">
        <f>IFERROR(VLOOKUP(Logs_Registre[[#This Row],[Cell_ID]],Registre_Maintenance[],5,FALSE),"")</f>
        <v>3G</v>
      </c>
      <c r="K78" t="str">
        <f>IFERROR(VLOOKUP(Logs_Registre[[#This Row],[Cell_ID]],Registre_Maintenance[],6,FALSE),"")</f>
        <v>Huawei</v>
      </c>
    </row>
    <row r="79" spans="1:11" x14ac:dyDescent="0.25">
      <c r="A79" s="1" t="s">
        <v>1308</v>
      </c>
      <c r="B79" s="1" t="s">
        <v>1214</v>
      </c>
      <c r="C79" s="2">
        <v>45228.563194444447</v>
      </c>
      <c r="D79" s="3">
        <v>45228.563194444447</v>
      </c>
      <c r="E79">
        <v>44</v>
      </c>
      <c r="F79" s="1" t="s">
        <v>732</v>
      </c>
      <c r="G79" t="str">
        <f>IFERROR(VLOOKUP(Logs_Registre[[#This Row],[Cell_ID]],Registre_Maintenance[],2,FALSE),"")</f>
        <v>Tshopo</v>
      </c>
      <c r="H79">
        <f>IFERROR(VLOOKUP(Logs_Registre[[#This Row],[Cell_ID]],Registre_Maintenance[],3,FALSE),"")</f>
        <v>-11.265995</v>
      </c>
      <c r="I79">
        <f>IFERROR(VLOOKUP(Logs_Registre[[#This Row],[Cell_ID]],Registre_Maintenance[],4,FALSE),"")</f>
        <v>28.935514999999999</v>
      </c>
      <c r="J79" t="str">
        <f>IFERROR(VLOOKUP(Logs_Registre[[#This Row],[Cell_ID]],Registre_Maintenance[],5,FALSE),"")</f>
        <v>4G</v>
      </c>
      <c r="K79" t="str">
        <f>IFERROR(VLOOKUP(Logs_Registre[[#This Row],[Cell_ID]],Registre_Maintenance[],6,FALSE),"")</f>
        <v>Ericsson</v>
      </c>
    </row>
    <row r="80" spans="1:11" x14ac:dyDescent="0.25">
      <c r="A80" s="1" t="s">
        <v>1382</v>
      </c>
      <c r="B80" s="1" t="s">
        <v>1332</v>
      </c>
      <c r="C80" s="2">
        <v>45228.518055555563</v>
      </c>
      <c r="D80" s="3">
        <v>45228.518055555563</v>
      </c>
      <c r="E80">
        <v>92</v>
      </c>
      <c r="F80" s="1" t="s">
        <v>737</v>
      </c>
      <c r="G80" t="str">
        <f>IFERROR(VLOOKUP(Logs_Registre[[#This Row],[Cell_ID]],Registre_Maintenance[],2,FALSE),"")</f>
        <v/>
      </c>
      <c r="H80" t="str">
        <f>IFERROR(VLOOKUP(Logs_Registre[[#This Row],[Cell_ID]],Registre_Maintenance[],3,FALSE),"")</f>
        <v/>
      </c>
      <c r="I80" t="str">
        <f>IFERROR(VLOOKUP(Logs_Registre[[#This Row],[Cell_ID]],Registre_Maintenance[],4,FALSE),"")</f>
        <v/>
      </c>
      <c r="J80" t="str">
        <f>IFERROR(VLOOKUP(Logs_Registre[[#This Row],[Cell_ID]],Registre_Maintenance[],5,FALSE),"")</f>
        <v/>
      </c>
      <c r="K80" t="str">
        <f>IFERROR(VLOOKUP(Logs_Registre[[#This Row],[Cell_ID]],Registre_Maintenance[],6,FALSE),"")</f>
        <v/>
      </c>
    </row>
    <row r="81" spans="1:11" x14ac:dyDescent="0.25">
      <c r="A81" s="1" t="s">
        <v>1308</v>
      </c>
      <c r="B81" s="1" t="s">
        <v>1318</v>
      </c>
      <c r="C81" s="2">
        <v>45228.515277777777</v>
      </c>
      <c r="D81" s="3">
        <v>45228.515277777777</v>
      </c>
      <c r="E81">
        <v>105</v>
      </c>
      <c r="F81" s="1" t="s">
        <v>732</v>
      </c>
      <c r="G81" t="str">
        <f>IFERROR(VLOOKUP(Logs_Registre[[#This Row],[Cell_ID]],Registre_Maintenance[],2,FALSE),"")</f>
        <v>Tshopo</v>
      </c>
      <c r="H81">
        <f>IFERROR(VLOOKUP(Logs_Registre[[#This Row],[Cell_ID]],Registre_Maintenance[],3,FALSE),"")</f>
        <v>-0.919767</v>
      </c>
      <c r="I81">
        <f>IFERROR(VLOOKUP(Logs_Registre[[#This Row],[Cell_ID]],Registre_Maintenance[],4,FALSE),"")</f>
        <v>18.905538</v>
      </c>
      <c r="J81" t="str">
        <f>IFERROR(VLOOKUP(Logs_Registre[[#This Row],[Cell_ID]],Registre_Maintenance[],5,FALSE),"")</f>
        <v>5G</v>
      </c>
      <c r="K81" t="str">
        <f>IFERROR(VLOOKUP(Logs_Registre[[#This Row],[Cell_ID]],Registre_Maintenance[],6,FALSE),"")</f>
        <v>Ericsson</v>
      </c>
    </row>
    <row r="82" spans="1:11" x14ac:dyDescent="0.25">
      <c r="A82" s="1" t="s">
        <v>861</v>
      </c>
      <c r="B82" s="1" t="s">
        <v>873</v>
      </c>
      <c r="C82" s="2">
        <v>45228.511805555558</v>
      </c>
      <c r="D82" s="3">
        <v>45228.511805555558</v>
      </c>
      <c r="E82">
        <v>64</v>
      </c>
      <c r="F82" s="1" t="s">
        <v>735</v>
      </c>
      <c r="G82" t="str">
        <f>IFERROR(VLOOKUP(Logs_Registre[[#This Row],[Cell_ID]],Registre_Maintenance[],2,FALSE),"")</f>
        <v>Haut-Uele</v>
      </c>
      <c r="H82">
        <f>IFERROR(VLOOKUP(Logs_Registre[[#This Row],[Cell_ID]],Registre_Maintenance[],3,FALSE),"")</f>
        <v>-4.4351269999999996</v>
      </c>
      <c r="I82">
        <f>IFERROR(VLOOKUP(Logs_Registre[[#This Row],[Cell_ID]],Registre_Maintenance[],4,FALSE),"")</f>
        <v>24.825467</v>
      </c>
      <c r="J82" t="str">
        <f>IFERROR(VLOOKUP(Logs_Registre[[#This Row],[Cell_ID]],Registre_Maintenance[],5,FALSE),"")</f>
        <v>4G</v>
      </c>
      <c r="K82" t="str">
        <f>IFERROR(VLOOKUP(Logs_Registre[[#This Row],[Cell_ID]],Registre_Maintenance[],6,FALSE),"")</f>
        <v>Huawei</v>
      </c>
    </row>
    <row r="83" spans="1:11" x14ac:dyDescent="0.25">
      <c r="A83" s="1" t="s">
        <v>823</v>
      </c>
      <c r="B83" s="1" t="s">
        <v>825</v>
      </c>
      <c r="C83" s="2">
        <v>45228.34097222222</v>
      </c>
      <c r="D83" s="3">
        <v>45228.34097222222</v>
      </c>
      <c r="E83">
        <v>118</v>
      </c>
      <c r="F83" s="1" t="s">
        <v>737</v>
      </c>
      <c r="G83" t="str">
        <f>IFERROR(VLOOKUP(Logs_Registre[[#This Row],[Cell_ID]],Registre_Maintenance[],2,FALSE),"")</f>
        <v/>
      </c>
      <c r="H83" t="str">
        <f>IFERROR(VLOOKUP(Logs_Registre[[#This Row],[Cell_ID]],Registre_Maintenance[],3,FALSE),"")</f>
        <v/>
      </c>
      <c r="I83" t="str">
        <f>IFERROR(VLOOKUP(Logs_Registre[[#This Row],[Cell_ID]],Registre_Maintenance[],4,FALSE),"")</f>
        <v/>
      </c>
      <c r="J83" t="str">
        <f>IFERROR(VLOOKUP(Logs_Registre[[#This Row],[Cell_ID]],Registre_Maintenance[],5,FALSE),"")</f>
        <v/>
      </c>
      <c r="K83" t="str">
        <f>IFERROR(VLOOKUP(Logs_Registre[[#This Row],[Cell_ID]],Registre_Maintenance[],6,FALSE),"")</f>
        <v/>
      </c>
    </row>
    <row r="84" spans="1:11" x14ac:dyDescent="0.25">
      <c r="A84" s="1" t="s">
        <v>1219</v>
      </c>
      <c r="B84" s="1" t="s">
        <v>821</v>
      </c>
      <c r="C84" s="2">
        <v>45228.269444444442</v>
      </c>
      <c r="D84" s="3">
        <v>45228.269444444442</v>
      </c>
      <c r="E84">
        <v>109</v>
      </c>
      <c r="F84" s="1" t="s">
        <v>735</v>
      </c>
      <c r="G84" t="str">
        <f>IFERROR(VLOOKUP(Logs_Registre[[#This Row],[Cell_ID]],Registre_Maintenance[],2,FALSE),"")</f>
        <v/>
      </c>
      <c r="H84" t="str">
        <f>IFERROR(VLOOKUP(Logs_Registre[[#This Row],[Cell_ID]],Registre_Maintenance[],3,FALSE),"")</f>
        <v/>
      </c>
      <c r="I84" t="str">
        <f>IFERROR(VLOOKUP(Logs_Registre[[#This Row],[Cell_ID]],Registre_Maintenance[],4,FALSE),"")</f>
        <v/>
      </c>
      <c r="J84" t="str">
        <f>IFERROR(VLOOKUP(Logs_Registre[[#This Row],[Cell_ID]],Registre_Maintenance[],5,FALSE),"")</f>
        <v/>
      </c>
      <c r="K84" t="str">
        <f>IFERROR(VLOOKUP(Logs_Registre[[#This Row],[Cell_ID]],Registre_Maintenance[],6,FALSE),"")</f>
        <v/>
      </c>
    </row>
    <row r="85" spans="1:11" x14ac:dyDescent="0.25">
      <c r="A85" s="1" t="s">
        <v>1261</v>
      </c>
      <c r="B85" s="1" t="s">
        <v>1135</v>
      </c>
      <c r="C85" s="2">
        <v>45228.15902777778</v>
      </c>
      <c r="D85" s="3">
        <v>45228.15902777778</v>
      </c>
      <c r="E85">
        <v>30</v>
      </c>
      <c r="F85" s="1" t="s">
        <v>732</v>
      </c>
      <c r="G85" t="str">
        <f>IFERROR(VLOOKUP(Logs_Registre[[#This Row],[Cell_ID]],Registre_Maintenance[],2,FALSE),"")</f>
        <v>Kwilu</v>
      </c>
      <c r="H85">
        <f>IFERROR(VLOOKUP(Logs_Registre[[#This Row],[Cell_ID]],Registre_Maintenance[],3,FALSE),"")</f>
        <v>0.62055499999999997</v>
      </c>
      <c r="I85">
        <f>IFERROR(VLOOKUP(Logs_Registre[[#This Row],[Cell_ID]],Registre_Maintenance[],4,FALSE),"")</f>
        <v>21.222035000000002</v>
      </c>
      <c r="J85" t="str">
        <f>IFERROR(VLOOKUP(Logs_Registre[[#This Row],[Cell_ID]],Registre_Maintenance[],5,FALSE),"")</f>
        <v>5G</v>
      </c>
      <c r="K85" t="str">
        <f>IFERROR(VLOOKUP(Logs_Registre[[#This Row],[Cell_ID]],Registre_Maintenance[],6,FALSE),"")</f>
        <v>Nokia</v>
      </c>
    </row>
    <row r="86" spans="1:11" x14ac:dyDescent="0.25">
      <c r="A86" s="1" t="s">
        <v>1241</v>
      </c>
      <c r="B86" s="1" t="s">
        <v>986</v>
      </c>
      <c r="C86" s="2">
        <v>45228.100694444453</v>
      </c>
      <c r="D86" s="3">
        <v>45228.100694444453</v>
      </c>
      <c r="E86">
        <v>23</v>
      </c>
      <c r="F86" s="1" t="s">
        <v>737</v>
      </c>
      <c r="G86" t="str">
        <f>IFERROR(VLOOKUP(Logs_Registre[[#This Row],[Cell_ID]],Registre_Maintenance[],2,FALSE),"")</f>
        <v/>
      </c>
      <c r="H86" t="str">
        <f>IFERROR(VLOOKUP(Logs_Registre[[#This Row],[Cell_ID]],Registre_Maintenance[],3,FALSE),"")</f>
        <v/>
      </c>
      <c r="I86" t="str">
        <f>IFERROR(VLOOKUP(Logs_Registre[[#This Row],[Cell_ID]],Registre_Maintenance[],4,FALSE),"")</f>
        <v/>
      </c>
      <c r="J86" t="str">
        <f>IFERROR(VLOOKUP(Logs_Registre[[#This Row],[Cell_ID]],Registre_Maintenance[],5,FALSE),"")</f>
        <v/>
      </c>
      <c r="K86" t="str">
        <f>IFERROR(VLOOKUP(Logs_Registre[[#This Row],[Cell_ID]],Registre_Maintenance[],6,FALSE),"")</f>
        <v/>
      </c>
    </row>
    <row r="87" spans="1:11" x14ac:dyDescent="0.25">
      <c r="A87" s="1" t="s">
        <v>1086</v>
      </c>
      <c r="B87" s="1" t="s">
        <v>1095</v>
      </c>
      <c r="C87" s="2">
        <v>45228.086111111108</v>
      </c>
      <c r="D87" s="3">
        <v>45228.086111111108</v>
      </c>
      <c r="E87">
        <v>43</v>
      </c>
      <c r="F87" s="1" t="s">
        <v>737</v>
      </c>
      <c r="G87" t="str">
        <f>IFERROR(VLOOKUP(Logs_Registre[[#This Row],[Cell_ID]],Registre_Maintenance[],2,FALSE),"")</f>
        <v>Sankuru</v>
      </c>
      <c r="H87">
        <f>IFERROR(VLOOKUP(Logs_Registre[[#This Row],[Cell_ID]],Registre_Maintenance[],3,FALSE),"")</f>
        <v>-6.4883290000000002</v>
      </c>
      <c r="I87">
        <f>IFERROR(VLOOKUP(Logs_Registre[[#This Row],[Cell_ID]],Registre_Maintenance[],4,FALSE),"")</f>
        <v>25.103404000000001</v>
      </c>
      <c r="J87" t="str">
        <f>IFERROR(VLOOKUP(Logs_Registre[[#This Row],[Cell_ID]],Registre_Maintenance[],5,FALSE),"")</f>
        <v>5G</v>
      </c>
      <c r="K87" t="str">
        <f>IFERROR(VLOOKUP(Logs_Registre[[#This Row],[Cell_ID]],Registre_Maintenance[],6,FALSE),"")</f>
        <v>ZTE</v>
      </c>
    </row>
    <row r="88" spans="1:11" x14ac:dyDescent="0.25">
      <c r="A88" s="1" t="s">
        <v>1261</v>
      </c>
      <c r="B88" s="1" t="s">
        <v>840</v>
      </c>
      <c r="C88" s="2">
        <v>45228.01458333333</v>
      </c>
      <c r="D88" s="3">
        <v>45228.01458333333</v>
      </c>
      <c r="E88">
        <v>98</v>
      </c>
      <c r="F88" s="1" t="s">
        <v>732</v>
      </c>
      <c r="G88" t="str">
        <f>IFERROR(VLOOKUP(Logs_Registre[[#This Row],[Cell_ID]],Registre_Maintenance[],2,FALSE),"")</f>
        <v/>
      </c>
      <c r="H88" t="str">
        <f>IFERROR(VLOOKUP(Logs_Registre[[#This Row],[Cell_ID]],Registre_Maintenance[],3,FALSE),"")</f>
        <v/>
      </c>
      <c r="I88" t="str">
        <f>IFERROR(VLOOKUP(Logs_Registre[[#This Row],[Cell_ID]],Registre_Maintenance[],4,FALSE),"")</f>
        <v/>
      </c>
      <c r="J88" t="str">
        <f>IFERROR(VLOOKUP(Logs_Registre[[#This Row],[Cell_ID]],Registre_Maintenance[],5,FALSE),"")</f>
        <v/>
      </c>
      <c r="K88" t="str">
        <f>IFERROR(VLOOKUP(Logs_Registre[[#This Row],[Cell_ID]],Registre_Maintenance[],6,FALSE),"")</f>
        <v/>
      </c>
    </row>
    <row r="89" spans="1:11" x14ac:dyDescent="0.25">
      <c r="A89" s="1" t="s">
        <v>939</v>
      </c>
      <c r="B89" s="1" t="s">
        <v>964</v>
      </c>
      <c r="C89" s="2">
        <v>45228.001388888893</v>
      </c>
      <c r="D89" s="3">
        <v>45228.001388888893</v>
      </c>
      <c r="E89">
        <v>100</v>
      </c>
      <c r="F89" s="1" t="s">
        <v>735</v>
      </c>
      <c r="G89" t="str">
        <f>IFERROR(VLOOKUP(Logs_Registre[[#This Row],[Cell_ID]],Registre_Maintenance[],2,FALSE),"")</f>
        <v>Sud-Kivu</v>
      </c>
      <c r="H89">
        <f>IFERROR(VLOOKUP(Logs_Registre[[#This Row],[Cell_ID]],Registre_Maintenance[],3,FALSE),"")</f>
        <v>-9.3900009999999998</v>
      </c>
      <c r="I89">
        <f>IFERROR(VLOOKUP(Logs_Registre[[#This Row],[Cell_ID]],Registre_Maintenance[],4,FALSE),"")</f>
        <v>30.001517</v>
      </c>
      <c r="J89" t="str">
        <f>IFERROR(VLOOKUP(Logs_Registre[[#This Row],[Cell_ID]],Registre_Maintenance[],5,FALSE),"")</f>
        <v>3G</v>
      </c>
      <c r="K89" t="str">
        <f>IFERROR(VLOOKUP(Logs_Registre[[#This Row],[Cell_ID]],Registre_Maintenance[],6,FALSE),"")</f>
        <v>Nokia</v>
      </c>
    </row>
    <row r="90" spans="1:11" x14ac:dyDescent="0.25">
      <c r="A90" s="1" t="s">
        <v>1165</v>
      </c>
      <c r="B90" s="1" t="s">
        <v>856</v>
      </c>
      <c r="C90" s="2">
        <v>45227.92291666667</v>
      </c>
      <c r="D90" s="3">
        <v>45227.92291666667</v>
      </c>
      <c r="E90">
        <v>26</v>
      </c>
      <c r="F90" s="1" t="s">
        <v>737</v>
      </c>
      <c r="G90" t="str">
        <f>IFERROR(VLOOKUP(Logs_Registre[[#This Row],[Cell_ID]],Registre_Maintenance[],2,FALSE),"")</f>
        <v/>
      </c>
      <c r="H90" t="str">
        <f>IFERROR(VLOOKUP(Logs_Registre[[#This Row],[Cell_ID]],Registre_Maintenance[],3,FALSE),"")</f>
        <v/>
      </c>
      <c r="I90" t="str">
        <f>IFERROR(VLOOKUP(Logs_Registre[[#This Row],[Cell_ID]],Registre_Maintenance[],4,FALSE),"")</f>
        <v/>
      </c>
      <c r="J90" t="str">
        <f>IFERROR(VLOOKUP(Logs_Registre[[#This Row],[Cell_ID]],Registre_Maintenance[],5,FALSE),"")</f>
        <v/>
      </c>
      <c r="K90" t="str">
        <f>IFERROR(VLOOKUP(Logs_Registre[[#This Row],[Cell_ID]],Registre_Maintenance[],6,FALSE),"")</f>
        <v/>
      </c>
    </row>
    <row r="91" spans="1:11" x14ac:dyDescent="0.25">
      <c r="A91" s="1" t="s">
        <v>1024</v>
      </c>
      <c r="B91" s="1" t="s">
        <v>1005</v>
      </c>
      <c r="C91" s="2">
        <v>45227.915277777778</v>
      </c>
      <c r="D91" s="3">
        <v>45227.915277777778</v>
      </c>
      <c r="E91">
        <v>26</v>
      </c>
      <c r="F91" s="1" t="s">
        <v>735</v>
      </c>
      <c r="G91" t="str">
        <f>IFERROR(VLOOKUP(Logs_Registre[[#This Row],[Cell_ID]],Registre_Maintenance[],2,FALSE),"")</f>
        <v>Ituri</v>
      </c>
      <c r="H91">
        <f>IFERROR(VLOOKUP(Logs_Registre[[#This Row],[Cell_ID]],Registre_Maintenance[],3,FALSE),"")</f>
        <v>-3.7720639999999999</v>
      </c>
      <c r="I91">
        <f>IFERROR(VLOOKUP(Logs_Registre[[#This Row],[Cell_ID]],Registre_Maintenance[],4,FALSE),"")</f>
        <v>16.006277999999998</v>
      </c>
      <c r="J91" t="str">
        <f>IFERROR(VLOOKUP(Logs_Registre[[#This Row],[Cell_ID]],Registre_Maintenance[],5,FALSE),"")</f>
        <v>5G</v>
      </c>
      <c r="K91" t="str">
        <f>IFERROR(VLOOKUP(Logs_Registre[[#This Row],[Cell_ID]],Registre_Maintenance[],6,FALSE),"")</f>
        <v>ZTE</v>
      </c>
    </row>
    <row r="92" spans="1:11" x14ac:dyDescent="0.25">
      <c r="A92" s="1" t="s">
        <v>1361</v>
      </c>
      <c r="B92" s="1" t="s">
        <v>1364</v>
      </c>
      <c r="C92" s="2">
        <v>45227.897916666669</v>
      </c>
      <c r="D92" s="3">
        <v>45227.897916666669</v>
      </c>
      <c r="E92">
        <v>61</v>
      </c>
      <c r="F92" s="1" t="s">
        <v>732</v>
      </c>
      <c r="G92" t="str">
        <f>IFERROR(VLOOKUP(Logs_Registre[[#This Row],[Cell_ID]],Registre_Maintenance[],2,FALSE),"")</f>
        <v>Kinshasa</v>
      </c>
      <c r="H92">
        <f>IFERROR(VLOOKUP(Logs_Registre[[#This Row],[Cell_ID]],Registre_Maintenance[],3,FALSE),"")</f>
        <v>-7.1079169999999996</v>
      </c>
      <c r="I92">
        <f>IFERROR(VLOOKUP(Logs_Registre[[#This Row],[Cell_ID]],Registre_Maintenance[],4,FALSE),"")</f>
        <v>13.636272</v>
      </c>
      <c r="J92" t="str">
        <f>IFERROR(VLOOKUP(Logs_Registre[[#This Row],[Cell_ID]],Registre_Maintenance[],5,FALSE),"")</f>
        <v>5G</v>
      </c>
      <c r="K92" t="str">
        <f>IFERROR(VLOOKUP(Logs_Registre[[#This Row],[Cell_ID]],Registre_Maintenance[],6,FALSE),"")</f>
        <v>Nokia</v>
      </c>
    </row>
    <row r="93" spans="1:11" x14ac:dyDescent="0.25">
      <c r="A93" s="1" t="s">
        <v>939</v>
      </c>
      <c r="B93" s="1" t="s">
        <v>950</v>
      </c>
      <c r="C93" s="2">
        <v>45227.839583333327</v>
      </c>
      <c r="D93" s="3">
        <v>45227.839583333327</v>
      </c>
      <c r="E93">
        <v>94</v>
      </c>
      <c r="F93" s="1" t="s">
        <v>737</v>
      </c>
      <c r="G93" t="str">
        <f>IFERROR(VLOOKUP(Logs_Registre[[#This Row],[Cell_ID]],Registre_Maintenance[],2,FALSE),"")</f>
        <v/>
      </c>
      <c r="H93" t="str">
        <f>IFERROR(VLOOKUP(Logs_Registre[[#This Row],[Cell_ID]],Registre_Maintenance[],3,FALSE),"")</f>
        <v/>
      </c>
      <c r="I93" t="str">
        <f>IFERROR(VLOOKUP(Logs_Registre[[#This Row],[Cell_ID]],Registre_Maintenance[],4,FALSE),"")</f>
        <v/>
      </c>
      <c r="J93" t="str">
        <f>IFERROR(VLOOKUP(Logs_Registre[[#This Row],[Cell_ID]],Registre_Maintenance[],5,FALSE),"")</f>
        <v/>
      </c>
      <c r="K93" t="str">
        <f>IFERROR(VLOOKUP(Logs_Registre[[#This Row],[Cell_ID]],Registre_Maintenance[],6,FALSE),"")</f>
        <v/>
      </c>
    </row>
    <row r="94" spans="1:11" x14ac:dyDescent="0.25">
      <c r="A94" s="1" t="s">
        <v>1308</v>
      </c>
      <c r="B94" s="1" t="s">
        <v>1170</v>
      </c>
      <c r="C94" s="2">
        <v>45227.77847222222</v>
      </c>
      <c r="D94" s="3">
        <v>45227.77847222222</v>
      </c>
      <c r="E94">
        <v>67</v>
      </c>
      <c r="F94" s="1" t="s">
        <v>737</v>
      </c>
      <c r="G94" t="str">
        <f>IFERROR(VLOOKUP(Logs_Registre[[#This Row],[Cell_ID]],Registre_Maintenance[],2,FALSE),"")</f>
        <v>Mai-Ndombe</v>
      </c>
      <c r="H94">
        <f>IFERROR(VLOOKUP(Logs_Registre[[#This Row],[Cell_ID]],Registre_Maintenance[],3,FALSE),"")</f>
        <v>-0.47411900000000001</v>
      </c>
      <c r="I94">
        <f>IFERROR(VLOOKUP(Logs_Registre[[#This Row],[Cell_ID]],Registre_Maintenance[],4,FALSE),"")</f>
        <v>27.184329000000002</v>
      </c>
      <c r="J94" t="str">
        <f>IFERROR(VLOOKUP(Logs_Registre[[#This Row],[Cell_ID]],Registre_Maintenance[],5,FALSE),"")</f>
        <v>5G</v>
      </c>
      <c r="K94" t="str">
        <f>IFERROR(VLOOKUP(Logs_Registre[[#This Row],[Cell_ID]],Registre_Maintenance[],6,FALSE),"")</f>
        <v>ZTE</v>
      </c>
    </row>
    <row r="95" spans="1:11" x14ac:dyDescent="0.25">
      <c r="A95" s="1" t="s">
        <v>902</v>
      </c>
      <c r="B95" s="1" t="s">
        <v>841</v>
      </c>
      <c r="C95" s="2">
        <v>45227.775694444441</v>
      </c>
      <c r="D95" s="3">
        <v>45227.775694444441</v>
      </c>
      <c r="E95">
        <v>45</v>
      </c>
      <c r="F95" s="1" t="s">
        <v>737</v>
      </c>
      <c r="G95" t="str">
        <f>IFERROR(VLOOKUP(Logs_Registre[[#This Row],[Cell_ID]],Registre_Maintenance[],2,FALSE),"")</f>
        <v/>
      </c>
      <c r="H95" t="str">
        <f>IFERROR(VLOOKUP(Logs_Registre[[#This Row],[Cell_ID]],Registre_Maintenance[],3,FALSE),"")</f>
        <v/>
      </c>
      <c r="I95" t="str">
        <f>IFERROR(VLOOKUP(Logs_Registre[[#This Row],[Cell_ID]],Registre_Maintenance[],4,FALSE),"")</f>
        <v/>
      </c>
      <c r="J95" t="str">
        <f>IFERROR(VLOOKUP(Logs_Registre[[#This Row],[Cell_ID]],Registre_Maintenance[],5,FALSE),"")</f>
        <v/>
      </c>
      <c r="K95" t="str">
        <f>IFERROR(VLOOKUP(Logs_Registre[[#This Row],[Cell_ID]],Registre_Maintenance[],6,FALSE),"")</f>
        <v/>
      </c>
    </row>
    <row r="96" spans="1:11" x14ac:dyDescent="0.25">
      <c r="A96" s="1" t="s">
        <v>902</v>
      </c>
      <c r="B96" s="1" t="s">
        <v>915</v>
      </c>
      <c r="C96" s="2">
        <v>45227.768750000003</v>
      </c>
      <c r="D96" s="3">
        <v>45227.768750000003</v>
      </c>
      <c r="E96">
        <v>61</v>
      </c>
      <c r="F96" s="1" t="s">
        <v>735</v>
      </c>
      <c r="G96" t="str">
        <f>IFERROR(VLOOKUP(Logs_Registre[[#This Row],[Cell_ID]],Registre_Maintenance[],2,FALSE),"")</f>
        <v/>
      </c>
      <c r="H96" t="str">
        <f>IFERROR(VLOOKUP(Logs_Registre[[#This Row],[Cell_ID]],Registre_Maintenance[],3,FALSE),"")</f>
        <v/>
      </c>
      <c r="I96" t="str">
        <f>IFERROR(VLOOKUP(Logs_Registre[[#This Row],[Cell_ID]],Registre_Maintenance[],4,FALSE),"")</f>
        <v/>
      </c>
      <c r="J96" t="str">
        <f>IFERROR(VLOOKUP(Logs_Registre[[#This Row],[Cell_ID]],Registre_Maintenance[],5,FALSE),"")</f>
        <v/>
      </c>
      <c r="K96" t="str">
        <f>IFERROR(VLOOKUP(Logs_Registre[[#This Row],[Cell_ID]],Registre_Maintenance[],6,FALSE),"")</f>
        <v/>
      </c>
    </row>
    <row r="97" spans="1:11" x14ac:dyDescent="0.25">
      <c r="A97" s="1" t="s">
        <v>1308</v>
      </c>
      <c r="B97" s="1" t="s">
        <v>1188</v>
      </c>
      <c r="C97" s="2">
        <v>45227.751388888893</v>
      </c>
      <c r="D97" s="3">
        <v>45227.751388888893</v>
      </c>
      <c r="E97">
        <v>42</v>
      </c>
      <c r="F97" s="1" t="s">
        <v>732</v>
      </c>
      <c r="G97" t="str">
        <f>IFERROR(VLOOKUP(Logs_Registre[[#This Row],[Cell_ID]],Registre_Maintenance[],2,FALSE),"")</f>
        <v>Sud-Ubangi</v>
      </c>
      <c r="H97">
        <f>IFERROR(VLOOKUP(Logs_Registre[[#This Row],[Cell_ID]],Registre_Maintenance[],3,FALSE),"")</f>
        <v>-12.050063</v>
      </c>
      <c r="I97">
        <f>IFERROR(VLOOKUP(Logs_Registre[[#This Row],[Cell_ID]],Registre_Maintenance[],4,FALSE),"")</f>
        <v>26.636987999999999</v>
      </c>
      <c r="J97" t="str">
        <f>IFERROR(VLOOKUP(Logs_Registre[[#This Row],[Cell_ID]],Registre_Maintenance[],5,FALSE),"")</f>
        <v>3G</v>
      </c>
      <c r="K97" t="str">
        <f>IFERROR(VLOOKUP(Logs_Registre[[#This Row],[Cell_ID]],Registre_Maintenance[],6,FALSE),"")</f>
        <v>Nokia</v>
      </c>
    </row>
    <row r="98" spans="1:11" x14ac:dyDescent="0.25">
      <c r="A98" s="1" t="s">
        <v>999</v>
      </c>
      <c r="B98" s="1" t="s">
        <v>992</v>
      </c>
      <c r="C98" s="2">
        <v>45227.724305555559</v>
      </c>
      <c r="D98" s="3">
        <v>45227.724305555559</v>
      </c>
      <c r="E98">
        <v>20</v>
      </c>
      <c r="F98" s="1" t="s">
        <v>732</v>
      </c>
      <c r="G98" t="str">
        <f>IFERROR(VLOOKUP(Logs_Registre[[#This Row],[Cell_ID]],Registre_Maintenance[],2,FALSE),"")</f>
        <v/>
      </c>
      <c r="H98" t="str">
        <f>IFERROR(VLOOKUP(Logs_Registre[[#This Row],[Cell_ID]],Registre_Maintenance[],3,FALSE),"")</f>
        <v/>
      </c>
      <c r="I98" t="str">
        <f>IFERROR(VLOOKUP(Logs_Registre[[#This Row],[Cell_ID]],Registre_Maintenance[],4,FALSE),"")</f>
        <v/>
      </c>
      <c r="J98" t="str">
        <f>IFERROR(VLOOKUP(Logs_Registre[[#This Row],[Cell_ID]],Registre_Maintenance[],5,FALSE),"")</f>
        <v/>
      </c>
      <c r="K98" t="str">
        <f>IFERROR(VLOOKUP(Logs_Registre[[#This Row],[Cell_ID]],Registre_Maintenance[],6,FALSE),"")</f>
        <v/>
      </c>
    </row>
    <row r="99" spans="1:11" x14ac:dyDescent="0.25">
      <c r="A99" s="1" t="s">
        <v>1330</v>
      </c>
      <c r="B99" s="1" t="s">
        <v>992</v>
      </c>
      <c r="C99" s="2">
        <v>45227.705555555563</v>
      </c>
      <c r="D99" s="3">
        <v>45227.705555555563</v>
      </c>
      <c r="E99">
        <v>108</v>
      </c>
      <c r="F99" s="1" t="s">
        <v>735</v>
      </c>
      <c r="G99" t="str">
        <f>IFERROR(VLOOKUP(Logs_Registre[[#This Row],[Cell_ID]],Registre_Maintenance[],2,FALSE),"")</f>
        <v/>
      </c>
      <c r="H99" t="str">
        <f>IFERROR(VLOOKUP(Logs_Registre[[#This Row],[Cell_ID]],Registre_Maintenance[],3,FALSE),"")</f>
        <v/>
      </c>
      <c r="I99" t="str">
        <f>IFERROR(VLOOKUP(Logs_Registre[[#This Row],[Cell_ID]],Registre_Maintenance[],4,FALSE),"")</f>
        <v/>
      </c>
      <c r="J99" t="str">
        <f>IFERROR(VLOOKUP(Logs_Registre[[#This Row],[Cell_ID]],Registre_Maintenance[],5,FALSE),"")</f>
        <v/>
      </c>
      <c r="K99" t="str">
        <f>IFERROR(VLOOKUP(Logs_Registre[[#This Row],[Cell_ID]],Registre_Maintenance[],6,FALSE),"")</f>
        <v/>
      </c>
    </row>
    <row r="100" spans="1:11" x14ac:dyDescent="0.25">
      <c r="A100" s="1" t="s">
        <v>1361</v>
      </c>
      <c r="B100" s="1" t="s">
        <v>1067</v>
      </c>
      <c r="C100" s="2">
        <v>45227.660416666673</v>
      </c>
      <c r="D100" s="3">
        <v>45227.660416666673</v>
      </c>
      <c r="E100">
        <v>67</v>
      </c>
      <c r="F100" s="1" t="s">
        <v>737</v>
      </c>
      <c r="G100" t="str">
        <f>IFERROR(VLOOKUP(Logs_Registre[[#This Row],[Cell_ID]],Registre_Maintenance[],2,FALSE),"")</f>
        <v/>
      </c>
      <c r="H100" t="str">
        <f>IFERROR(VLOOKUP(Logs_Registre[[#This Row],[Cell_ID]],Registre_Maintenance[],3,FALSE),"")</f>
        <v/>
      </c>
      <c r="I100" t="str">
        <f>IFERROR(VLOOKUP(Logs_Registre[[#This Row],[Cell_ID]],Registre_Maintenance[],4,FALSE),"")</f>
        <v/>
      </c>
      <c r="J100" t="str">
        <f>IFERROR(VLOOKUP(Logs_Registre[[#This Row],[Cell_ID]],Registre_Maintenance[],5,FALSE),"")</f>
        <v/>
      </c>
      <c r="K100" t="str">
        <f>IFERROR(VLOOKUP(Logs_Registre[[#This Row],[Cell_ID]],Registre_Maintenance[],6,FALSE),"")</f>
        <v/>
      </c>
    </row>
    <row r="101" spans="1:11" x14ac:dyDescent="0.25">
      <c r="A101" s="1" t="s">
        <v>939</v>
      </c>
      <c r="B101" s="1" t="s">
        <v>879</v>
      </c>
      <c r="C101" s="2">
        <v>45227.587500000001</v>
      </c>
      <c r="D101" s="3">
        <v>45227.587500000001</v>
      </c>
      <c r="E101">
        <v>50</v>
      </c>
      <c r="F101" s="1" t="s">
        <v>735</v>
      </c>
      <c r="G101" t="str">
        <f>IFERROR(VLOOKUP(Logs_Registre[[#This Row],[Cell_ID]],Registre_Maintenance[],2,FALSE),"")</f>
        <v>Nord-Ubangi</v>
      </c>
      <c r="H101">
        <f>IFERROR(VLOOKUP(Logs_Registre[[#This Row],[Cell_ID]],Registre_Maintenance[],3,FALSE),"")</f>
        <v>-1.342476</v>
      </c>
      <c r="I101">
        <f>IFERROR(VLOOKUP(Logs_Registre[[#This Row],[Cell_ID]],Registre_Maintenance[],4,FALSE),"")</f>
        <v>15.986086</v>
      </c>
      <c r="J101" t="str">
        <f>IFERROR(VLOOKUP(Logs_Registre[[#This Row],[Cell_ID]],Registre_Maintenance[],5,FALSE),"")</f>
        <v>4G</v>
      </c>
      <c r="K101" t="str">
        <f>IFERROR(VLOOKUP(Logs_Registre[[#This Row],[Cell_ID]],Registre_Maintenance[],6,FALSE),"")</f>
        <v>Ericsson</v>
      </c>
    </row>
    <row r="102" spans="1:11" x14ac:dyDescent="0.25">
      <c r="A102" s="1" t="s">
        <v>861</v>
      </c>
      <c r="B102" s="1" t="s">
        <v>898</v>
      </c>
      <c r="C102" s="2">
        <v>45227.577777777777</v>
      </c>
      <c r="D102" s="3">
        <v>45227.577777777777</v>
      </c>
      <c r="E102">
        <v>50</v>
      </c>
      <c r="F102" s="1" t="s">
        <v>737</v>
      </c>
      <c r="G102" t="str">
        <f>IFERROR(VLOOKUP(Logs_Registre[[#This Row],[Cell_ID]],Registre_Maintenance[],2,FALSE),"")</f>
        <v>Tshopo</v>
      </c>
      <c r="H102">
        <f>IFERROR(VLOOKUP(Logs_Registre[[#This Row],[Cell_ID]],Registre_Maintenance[],3,FALSE),"")</f>
        <v>-4.5603610000000003</v>
      </c>
      <c r="I102">
        <f>IFERROR(VLOOKUP(Logs_Registre[[#This Row],[Cell_ID]],Registre_Maintenance[],4,FALSE),"")</f>
        <v>24.113918999999999</v>
      </c>
      <c r="J102" t="str">
        <f>IFERROR(VLOOKUP(Logs_Registre[[#This Row],[Cell_ID]],Registre_Maintenance[],5,FALSE),"")</f>
        <v>5G</v>
      </c>
      <c r="K102" t="str">
        <f>IFERROR(VLOOKUP(Logs_Registre[[#This Row],[Cell_ID]],Registre_Maintenance[],6,FALSE),"")</f>
        <v>ZTE</v>
      </c>
    </row>
    <row r="103" spans="1:11" x14ac:dyDescent="0.25">
      <c r="A103" s="1" t="s">
        <v>939</v>
      </c>
      <c r="B103" s="1" t="s">
        <v>969</v>
      </c>
      <c r="C103" s="2">
        <v>45227.527083333327</v>
      </c>
      <c r="D103" s="3">
        <v>45227.527083333327</v>
      </c>
      <c r="E103">
        <v>107</v>
      </c>
      <c r="F103" s="1" t="s">
        <v>735</v>
      </c>
      <c r="G103" t="str">
        <f>IFERROR(VLOOKUP(Logs_Registre[[#This Row],[Cell_ID]],Registre_Maintenance[],2,FALSE),"")</f>
        <v/>
      </c>
      <c r="H103" t="str">
        <f>IFERROR(VLOOKUP(Logs_Registre[[#This Row],[Cell_ID]],Registre_Maintenance[],3,FALSE),"")</f>
        <v/>
      </c>
      <c r="I103" t="str">
        <f>IFERROR(VLOOKUP(Logs_Registre[[#This Row],[Cell_ID]],Registre_Maintenance[],4,FALSE),"")</f>
        <v/>
      </c>
      <c r="J103" t="str">
        <f>IFERROR(VLOOKUP(Logs_Registre[[#This Row],[Cell_ID]],Registre_Maintenance[],5,FALSE),"")</f>
        <v/>
      </c>
      <c r="K103" t="str">
        <f>IFERROR(VLOOKUP(Logs_Registre[[#This Row],[Cell_ID]],Registre_Maintenance[],6,FALSE),"")</f>
        <v/>
      </c>
    </row>
    <row r="104" spans="1:11" x14ac:dyDescent="0.25">
      <c r="A104" s="1" t="s">
        <v>730</v>
      </c>
      <c r="B104" s="1" t="s">
        <v>752</v>
      </c>
      <c r="C104" s="2">
        <v>45227.484722222223</v>
      </c>
      <c r="D104" s="3">
        <v>45227.484722222223</v>
      </c>
      <c r="E104">
        <v>24</v>
      </c>
      <c r="F104" s="1" t="s">
        <v>735</v>
      </c>
      <c r="G104" t="str">
        <f>IFERROR(VLOOKUP(Logs_Registre[[#This Row],[Cell_ID]],Registre_Maintenance[],2,FALSE),"")</f>
        <v/>
      </c>
      <c r="H104" t="str">
        <f>IFERROR(VLOOKUP(Logs_Registre[[#This Row],[Cell_ID]],Registre_Maintenance[],3,FALSE),"")</f>
        <v/>
      </c>
      <c r="I104" t="str">
        <f>IFERROR(VLOOKUP(Logs_Registre[[#This Row],[Cell_ID]],Registre_Maintenance[],4,FALSE),"")</f>
        <v/>
      </c>
      <c r="J104" t="str">
        <f>IFERROR(VLOOKUP(Logs_Registre[[#This Row],[Cell_ID]],Registre_Maintenance[],5,FALSE),"")</f>
        <v/>
      </c>
      <c r="K104" t="str">
        <f>IFERROR(VLOOKUP(Logs_Registre[[#This Row],[Cell_ID]],Registre_Maintenance[],6,FALSE),"")</f>
        <v/>
      </c>
    </row>
    <row r="105" spans="1:11" x14ac:dyDescent="0.25">
      <c r="A105" s="1" t="s">
        <v>730</v>
      </c>
      <c r="B105" s="1" t="s">
        <v>743</v>
      </c>
      <c r="C105" s="2">
        <v>45227.48333333333</v>
      </c>
      <c r="D105" s="3">
        <v>45227.48333333333</v>
      </c>
      <c r="E105">
        <v>81</v>
      </c>
      <c r="F105" s="1" t="s">
        <v>735</v>
      </c>
      <c r="G105" t="str">
        <f>IFERROR(VLOOKUP(Logs_Registre[[#This Row],[Cell_ID]],Registre_Maintenance[],2,FALSE),"")</f>
        <v/>
      </c>
      <c r="H105" t="str">
        <f>IFERROR(VLOOKUP(Logs_Registre[[#This Row],[Cell_ID]],Registre_Maintenance[],3,FALSE),"")</f>
        <v/>
      </c>
      <c r="I105" t="str">
        <f>IFERROR(VLOOKUP(Logs_Registre[[#This Row],[Cell_ID]],Registre_Maintenance[],4,FALSE),"")</f>
        <v/>
      </c>
      <c r="J105" t="str">
        <f>IFERROR(VLOOKUP(Logs_Registre[[#This Row],[Cell_ID]],Registre_Maintenance[],5,FALSE),"")</f>
        <v/>
      </c>
      <c r="K105" t="str">
        <f>IFERROR(VLOOKUP(Logs_Registre[[#This Row],[Cell_ID]],Registre_Maintenance[],6,FALSE),"")</f>
        <v/>
      </c>
    </row>
    <row r="106" spans="1:11" x14ac:dyDescent="0.25">
      <c r="A106" s="1" t="s">
        <v>978</v>
      </c>
      <c r="B106" s="1" t="s">
        <v>818</v>
      </c>
      <c r="C106" s="2">
        <v>45227.462500000001</v>
      </c>
      <c r="D106" s="3">
        <v>45227.462500000001</v>
      </c>
      <c r="E106">
        <v>70</v>
      </c>
      <c r="F106" s="1" t="s">
        <v>737</v>
      </c>
      <c r="G106" t="str">
        <f>IFERROR(VLOOKUP(Logs_Registre[[#This Row],[Cell_ID]],Registre_Maintenance[],2,FALSE),"")</f>
        <v/>
      </c>
      <c r="H106" t="str">
        <f>IFERROR(VLOOKUP(Logs_Registre[[#This Row],[Cell_ID]],Registre_Maintenance[],3,FALSE),"")</f>
        <v/>
      </c>
      <c r="I106" t="str">
        <f>IFERROR(VLOOKUP(Logs_Registre[[#This Row],[Cell_ID]],Registre_Maintenance[],4,FALSE),"")</f>
        <v/>
      </c>
      <c r="J106" t="str">
        <f>IFERROR(VLOOKUP(Logs_Registre[[#This Row],[Cell_ID]],Registre_Maintenance[],5,FALSE),"")</f>
        <v/>
      </c>
      <c r="K106" t="str">
        <f>IFERROR(VLOOKUP(Logs_Registre[[#This Row],[Cell_ID]],Registre_Maintenance[],6,FALSE),"")</f>
        <v/>
      </c>
    </row>
    <row r="107" spans="1:11" x14ac:dyDescent="0.25">
      <c r="A107" s="1" t="s">
        <v>1382</v>
      </c>
      <c r="B107" s="1" t="s">
        <v>1156</v>
      </c>
      <c r="C107" s="2">
        <v>45227.447916666657</v>
      </c>
      <c r="D107" s="3">
        <v>45227.447916666657</v>
      </c>
      <c r="E107">
        <v>84</v>
      </c>
      <c r="F107" s="1" t="s">
        <v>735</v>
      </c>
      <c r="G107" t="str">
        <f>IFERROR(VLOOKUP(Logs_Registre[[#This Row],[Cell_ID]],Registre_Maintenance[],2,FALSE),"")</f>
        <v>Sud-Kivu</v>
      </c>
      <c r="H107">
        <f>IFERROR(VLOOKUP(Logs_Registre[[#This Row],[Cell_ID]],Registre_Maintenance[],3,FALSE),"")</f>
        <v>2.4414509999999998</v>
      </c>
      <c r="I107">
        <f>IFERROR(VLOOKUP(Logs_Registre[[#This Row],[Cell_ID]],Registre_Maintenance[],4,FALSE),"")</f>
        <v>30.167489</v>
      </c>
      <c r="J107" t="str">
        <f>IFERROR(VLOOKUP(Logs_Registre[[#This Row],[Cell_ID]],Registre_Maintenance[],5,FALSE),"")</f>
        <v>5G</v>
      </c>
      <c r="K107" t="str">
        <f>IFERROR(VLOOKUP(Logs_Registre[[#This Row],[Cell_ID]],Registre_Maintenance[],6,FALSE),"")</f>
        <v>Nokia</v>
      </c>
    </row>
    <row r="108" spans="1:11" x14ac:dyDescent="0.25">
      <c r="A108" s="1" t="s">
        <v>1288</v>
      </c>
      <c r="B108" s="1" t="s">
        <v>1266</v>
      </c>
      <c r="C108" s="2">
        <v>45227.421527777777</v>
      </c>
      <c r="D108" s="3">
        <v>45227.421527777777</v>
      </c>
      <c r="E108">
        <v>25</v>
      </c>
      <c r="F108" s="1" t="s">
        <v>735</v>
      </c>
      <c r="G108" t="str">
        <f>IFERROR(VLOOKUP(Logs_Registre[[#This Row],[Cell_ID]],Registre_Maintenance[],2,FALSE),"")</f>
        <v/>
      </c>
      <c r="H108" t="str">
        <f>IFERROR(VLOOKUP(Logs_Registre[[#This Row],[Cell_ID]],Registre_Maintenance[],3,FALSE),"")</f>
        <v/>
      </c>
      <c r="I108" t="str">
        <f>IFERROR(VLOOKUP(Logs_Registre[[#This Row],[Cell_ID]],Registre_Maintenance[],4,FALSE),"")</f>
        <v/>
      </c>
      <c r="J108" t="str">
        <f>IFERROR(VLOOKUP(Logs_Registre[[#This Row],[Cell_ID]],Registre_Maintenance[],5,FALSE),"")</f>
        <v/>
      </c>
      <c r="K108" t="str">
        <f>IFERROR(VLOOKUP(Logs_Registre[[#This Row],[Cell_ID]],Registre_Maintenance[],6,FALSE),"")</f>
        <v/>
      </c>
    </row>
    <row r="109" spans="1:11" x14ac:dyDescent="0.25">
      <c r="A109" s="1" t="s">
        <v>1345</v>
      </c>
      <c r="B109" s="1" t="s">
        <v>1008</v>
      </c>
      <c r="C109" s="2">
        <v>45227.393055555563</v>
      </c>
      <c r="D109" s="3">
        <v>45227.393055555563</v>
      </c>
      <c r="E109">
        <v>67</v>
      </c>
      <c r="F109" s="1" t="s">
        <v>732</v>
      </c>
      <c r="G109" t="str">
        <f>IFERROR(VLOOKUP(Logs_Registre[[#This Row],[Cell_ID]],Registre_Maintenance[],2,FALSE),"")</f>
        <v/>
      </c>
      <c r="H109" t="str">
        <f>IFERROR(VLOOKUP(Logs_Registre[[#This Row],[Cell_ID]],Registre_Maintenance[],3,FALSE),"")</f>
        <v/>
      </c>
      <c r="I109" t="str">
        <f>IFERROR(VLOOKUP(Logs_Registre[[#This Row],[Cell_ID]],Registre_Maintenance[],4,FALSE),"")</f>
        <v/>
      </c>
      <c r="J109" t="str">
        <f>IFERROR(VLOOKUP(Logs_Registre[[#This Row],[Cell_ID]],Registre_Maintenance[],5,FALSE),"")</f>
        <v/>
      </c>
      <c r="K109" t="str">
        <f>IFERROR(VLOOKUP(Logs_Registre[[#This Row],[Cell_ID]],Registre_Maintenance[],6,FALSE),"")</f>
        <v/>
      </c>
    </row>
    <row r="110" spans="1:11" x14ac:dyDescent="0.25">
      <c r="A110" s="1" t="s">
        <v>730</v>
      </c>
      <c r="B110" s="1" t="s">
        <v>759</v>
      </c>
      <c r="C110" s="2">
        <v>45227.329861111109</v>
      </c>
      <c r="D110" s="3">
        <v>45227.329861111109</v>
      </c>
      <c r="E110">
        <v>81</v>
      </c>
      <c r="F110" s="1" t="s">
        <v>735</v>
      </c>
      <c r="G110" t="str">
        <f>IFERROR(VLOOKUP(Logs_Registre[[#This Row],[Cell_ID]],Registre_Maintenance[],2,FALSE),"")</f>
        <v/>
      </c>
      <c r="H110" t="str">
        <f>IFERROR(VLOOKUP(Logs_Registre[[#This Row],[Cell_ID]],Registre_Maintenance[],3,FALSE),"")</f>
        <v/>
      </c>
      <c r="I110" t="str">
        <f>IFERROR(VLOOKUP(Logs_Registre[[#This Row],[Cell_ID]],Registre_Maintenance[],4,FALSE),"")</f>
        <v/>
      </c>
      <c r="J110" t="str">
        <f>IFERROR(VLOOKUP(Logs_Registre[[#This Row],[Cell_ID]],Registre_Maintenance[],5,FALSE),"")</f>
        <v/>
      </c>
      <c r="K110" t="str">
        <f>IFERROR(VLOOKUP(Logs_Registre[[#This Row],[Cell_ID]],Registre_Maintenance[],6,FALSE),"")</f>
        <v/>
      </c>
    </row>
    <row r="111" spans="1:11" x14ac:dyDescent="0.25">
      <c r="A111" s="1" t="s">
        <v>1165</v>
      </c>
      <c r="B111" s="1" t="s">
        <v>1186</v>
      </c>
      <c r="C111" s="2">
        <v>45227.324305555558</v>
      </c>
      <c r="D111" s="3">
        <v>45227.324305555558</v>
      </c>
      <c r="E111">
        <v>52</v>
      </c>
      <c r="F111" s="1" t="s">
        <v>732</v>
      </c>
      <c r="G111" t="str">
        <f>IFERROR(VLOOKUP(Logs_Registre[[#This Row],[Cell_ID]],Registre_Maintenance[],2,FALSE),"")</f>
        <v/>
      </c>
      <c r="H111" t="str">
        <f>IFERROR(VLOOKUP(Logs_Registre[[#This Row],[Cell_ID]],Registre_Maintenance[],3,FALSE),"")</f>
        <v/>
      </c>
      <c r="I111" t="str">
        <f>IFERROR(VLOOKUP(Logs_Registre[[#This Row],[Cell_ID]],Registre_Maintenance[],4,FALSE),"")</f>
        <v/>
      </c>
      <c r="J111" t="str">
        <f>IFERROR(VLOOKUP(Logs_Registre[[#This Row],[Cell_ID]],Registre_Maintenance[],5,FALSE),"")</f>
        <v/>
      </c>
      <c r="K111" t="str">
        <f>IFERROR(VLOOKUP(Logs_Registre[[#This Row],[Cell_ID]],Registre_Maintenance[],6,FALSE),"")</f>
        <v/>
      </c>
    </row>
    <row r="112" spans="1:11" x14ac:dyDescent="0.25">
      <c r="A112" s="1" t="s">
        <v>779</v>
      </c>
      <c r="B112" s="1" t="s">
        <v>810</v>
      </c>
      <c r="C112" s="2">
        <v>45227.309027777781</v>
      </c>
      <c r="D112" s="3">
        <v>45227.309027777781</v>
      </c>
      <c r="E112">
        <v>118</v>
      </c>
      <c r="F112" s="1" t="s">
        <v>737</v>
      </c>
      <c r="G112" t="str">
        <f>IFERROR(VLOOKUP(Logs_Registre[[#This Row],[Cell_ID]],Registre_Maintenance[],2,FALSE),"")</f>
        <v>Sud-Ubangi</v>
      </c>
      <c r="H112">
        <f>IFERROR(VLOOKUP(Logs_Registre[[#This Row],[Cell_ID]],Registre_Maintenance[],3,FALSE),"")</f>
        <v>-10.914952</v>
      </c>
      <c r="I112">
        <f>IFERROR(VLOOKUP(Logs_Registre[[#This Row],[Cell_ID]],Registre_Maintenance[],4,FALSE),"")</f>
        <v>26.409648000000001</v>
      </c>
      <c r="J112" t="str">
        <f>IFERROR(VLOOKUP(Logs_Registre[[#This Row],[Cell_ID]],Registre_Maintenance[],5,FALSE),"")</f>
        <v>4G</v>
      </c>
      <c r="K112" t="str">
        <f>IFERROR(VLOOKUP(Logs_Registre[[#This Row],[Cell_ID]],Registre_Maintenance[],6,FALSE),"")</f>
        <v>Huawei</v>
      </c>
    </row>
    <row r="113" spans="1:11" x14ac:dyDescent="0.25">
      <c r="A113" s="1" t="s">
        <v>978</v>
      </c>
      <c r="B113" s="1" t="s">
        <v>761</v>
      </c>
      <c r="C113" s="2">
        <v>45227.306250000001</v>
      </c>
      <c r="D113" s="3">
        <v>45227.306250000001</v>
      </c>
      <c r="E113">
        <v>71</v>
      </c>
      <c r="F113" s="1" t="s">
        <v>735</v>
      </c>
      <c r="G113" t="str">
        <f>IFERROR(VLOOKUP(Logs_Registre[[#This Row],[Cell_ID]],Registre_Maintenance[],2,FALSE),"")</f>
        <v/>
      </c>
      <c r="H113" t="str">
        <f>IFERROR(VLOOKUP(Logs_Registre[[#This Row],[Cell_ID]],Registre_Maintenance[],3,FALSE),"")</f>
        <v/>
      </c>
      <c r="I113" t="str">
        <f>IFERROR(VLOOKUP(Logs_Registre[[#This Row],[Cell_ID]],Registre_Maintenance[],4,FALSE),"")</f>
        <v/>
      </c>
      <c r="J113" t="str">
        <f>IFERROR(VLOOKUP(Logs_Registre[[#This Row],[Cell_ID]],Registre_Maintenance[],5,FALSE),"")</f>
        <v/>
      </c>
      <c r="K113" t="str">
        <f>IFERROR(VLOOKUP(Logs_Registre[[#This Row],[Cell_ID]],Registre_Maintenance[],6,FALSE),"")</f>
        <v/>
      </c>
    </row>
    <row r="114" spans="1:11" x14ac:dyDescent="0.25">
      <c r="A114" s="1" t="s">
        <v>1330</v>
      </c>
      <c r="B114" s="1" t="s">
        <v>1337</v>
      </c>
      <c r="C114" s="2">
        <v>45227.297222222223</v>
      </c>
      <c r="D114" s="3">
        <v>45227.297222222223</v>
      </c>
      <c r="E114">
        <v>92</v>
      </c>
      <c r="F114" s="1" t="s">
        <v>737</v>
      </c>
      <c r="G114" t="str">
        <f>IFERROR(VLOOKUP(Logs_Registre[[#This Row],[Cell_ID]],Registre_Maintenance[],2,FALSE),"")</f>
        <v>Haut-Lomami</v>
      </c>
      <c r="H114">
        <f>IFERROR(VLOOKUP(Logs_Registre[[#This Row],[Cell_ID]],Registre_Maintenance[],3,FALSE),"")</f>
        <v>-5.5559329999999996</v>
      </c>
      <c r="I114">
        <f>IFERROR(VLOOKUP(Logs_Registre[[#This Row],[Cell_ID]],Registre_Maintenance[],4,FALSE),"")</f>
        <v>13.508692999999999</v>
      </c>
      <c r="J114" t="str">
        <f>IFERROR(VLOOKUP(Logs_Registre[[#This Row],[Cell_ID]],Registre_Maintenance[],5,FALSE),"")</f>
        <v>3G</v>
      </c>
      <c r="K114" t="str">
        <f>IFERROR(VLOOKUP(Logs_Registre[[#This Row],[Cell_ID]],Registre_Maintenance[],6,FALSE),"")</f>
        <v>Nokia</v>
      </c>
    </row>
    <row r="115" spans="1:11" x14ac:dyDescent="0.25">
      <c r="A115" s="1" t="s">
        <v>779</v>
      </c>
      <c r="B115" s="1" t="s">
        <v>808</v>
      </c>
      <c r="C115" s="2">
        <v>45227.211111111108</v>
      </c>
      <c r="D115" s="3">
        <v>45227.211111111108</v>
      </c>
      <c r="E115">
        <v>38</v>
      </c>
      <c r="F115" s="1" t="s">
        <v>732</v>
      </c>
      <c r="G115" t="str">
        <f>IFERROR(VLOOKUP(Logs_Registre[[#This Row],[Cell_ID]],Registre_Maintenance[],2,FALSE),"")</f>
        <v/>
      </c>
      <c r="H115" t="str">
        <f>IFERROR(VLOOKUP(Logs_Registre[[#This Row],[Cell_ID]],Registre_Maintenance[],3,FALSE),"")</f>
        <v/>
      </c>
      <c r="I115" t="str">
        <f>IFERROR(VLOOKUP(Logs_Registre[[#This Row],[Cell_ID]],Registre_Maintenance[],4,FALSE),"")</f>
        <v/>
      </c>
      <c r="J115" t="str">
        <f>IFERROR(VLOOKUP(Logs_Registre[[#This Row],[Cell_ID]],Registre_Maintenance[],5,FALSE),"")</f>
        <v/>
      </c>
      <c r="K115" t="str">
        <f>IFERROR(VLOOKUP(Logs_Registre[[#This Row],[Cell_ID]],Registre_Maintenance[],6,FALSE),"")</f>
        <v/>
      </c>
    </row>
    <row r="116" spans="1:11" x14ac:dyDescent="0.25">
      <c r="A116" s="1" t="s">
        <v>1361</v>
      </c>
      <c r="B116" s="1" t="s">
        <v>907</v>
      </c>
      <c r="C116" s="2">
        <v>45227.195833333331</v>
      </c>
      <c r="D116" s="3">
        <v>45227.195833333331</v>
      </c>
      <c r="E116">
        <v>113</v>
      </c>
      <c r="F116" s="1" t="s">
        <v>735</v>
      </c>
      <c r="G116" t="str">
        <f>IFERROR(VLOOKUP(Logs_Registre[[#This Row],[Cell_ID]],Registre_Maintenance[],2,FALSE),"")</f>
        <v/>
      </c>
      <c r="H116" t="str">
        <f>IFERROR(VLOOKUP(Logs_Registre[[#This Row],[Cell_ID]],Registre_Maintenance[],3,FALSE),"")</f>
        <v/>
      </c>
      <c r="I116" t="str">
        <f>IFERROR(VLOOKUP(Logs_Registre[[#This Row],[Cell_ID]],Registre_Maintenance[],4,FALSE),"")</f>
        <v/>
      </c>
      <c r="J116" t="str">
        <f>IFERROR(VLOOKUP(Logs_Registre[[#This Row],[Cell_ID]],Registre_Maintenance[],5,FALSE),"")</f>
        <v/>
      </c>
      <c r="K116" t="str">
        <f>IFERROR(VLOOKUP(Logs_Registre[[#This Row],[Cell_ID]],Registre_Maintenance[],6,FALSE),"")</f>
        <v/>
      </c>
    </row>
    <row r="117" spans="1:11" x14ac:dyDescent="0.25">
      <c r="A117" s="1" t="s">
        <v>939</v>
      </c>
      <c r="B117" s="1" t="s">
        <v>947</v>
      </c>
      <c r="C117" s="2">
        <v>45227.163194444453</v>
      </c>
      <c r="D117" s="3">
        <v>45227.163194444453</v>
      </c>
      <c r="E117">
        <v>78</v>
      </c>
      <c r="F117" s="1" t="s">
        <v>735</v>
      </c>
      <c r="G117" t="str">
        <f>IFERROR(VLOOKUP(Logs_Registre[[#This Row],[Cell_ID]],Registre_Maintenance[],2,FALSE),"")</f>
        <v/>
      </c>
      <c r="H117" t="str">
        <f>IFERROR(VLOOKUP(Logs_Registre[[#This Row],[Cell_ID]],Registre_Maintenance[],3,FALSE),"")</f>
        <v/>
      </c>
      <c r="I117" t="str">
        <f>IFERROR(VLOOKUP(Logs_Registre[[#This Row],[Cell_ID]],Registre_Maintenance[],4,FALSE),"")</f>
        <v/>
      </c>
      <c r="J117" t="str">
        <f>IFERROR(VLOOKUP(Logs_Registre[[#This Row],[Cell_ID]],Registre_Maintenance[],5,FALSE),"")</f>
        <v/>
      </c>
      <c r="K117" t="str">
        <f>IFERROR(VLOOKUP(Logs_Registre[[#This Row],[Cell_ID]],Registre_Maintenance[],6,FALSE),"")</f>
        <v/>
      </c>
    </row>
    <row r="118" spans="1:11" x14ac:dyDescent="0.25">
      <c r="A118" s="1" t="s">
        <v>939</v>
      </c>
      <c r="B118" s="1" t="s">
        <v>962</v>
      </c>
      <c r="C118" s="2">
        <v>45227.144444444442</v>
      </c>
      <c r="D118" s="3">
        <v>45227.144444444442</v>
      </c>
      <c r="E118">
        <v>11</v>
      </c>
      <c r="F118" s="1" t="s">
        <v>735</v>
      </c>
      <c r="G118" t="str">
        <f>IFERROR(VLOOKUP(Logs_Registre[[#This Row],[Cell_ID]],Registre_Maintenance[],2,FALSE),"")</f>
        <v>Tshopo</v>
      </c>
      <c r="H118">
        <f>IFERROR(VLOOKUP(Logs_Registre[[#This Row],[Cell_ID]],Registre_Maintenance[],3,FALSE),"")</f>
        <v>2.4425979999999998</v>
      </c>
      <c r="I118">
        <f>IFERROR(VLOOKUP(Logs_Registre[[#This Row],[Cell_ID]],Registre_Maintenance[],4,FALSE),"")</f>
        <v>24.924308</v>
      </c>
      <c r="J118" t="str">
        <f>IFERROR(VLOOKUP(Logs_Registre[[#This Row],[Cell_ID]],Registre_Maintenance[],5,FALSE),"")</f>
        <v>5G</v>
      </c>
      <c r="K118" t="str">
        <f>IFERROR(VLOOKUP(Logs_Registre[[#This Row],[Cell_ID]],Registre_Maintenance[],6,FALSE),"")</f>
        <v>Ericsson</v>
      </c>
    </row>
    <row r="119" spans="1:11" x14ac:dyDescent="0.25">
      <c r="A119" s="1" t="s">
        <v>779</v>
      </c>
      <c r="B119" s="1" t="s">
        <v>788</v>
      </c>
      <c r="C119" s="2">
        <v>45227.135416666657</v>
      </c>
      <c r="D119" s="3">
        <v>45227.135416666657</v>
      </c>
      <c r="E119">
        <v>13</v>
      </c>
      <c r="F119" s="1" t="s">
        <v>735</v>
      </c>
      <c r="G119" t="str">
        <f>IFERROR(VLOOKUP(Logs_Registre[[#This Row],[Cell_ID]],Registre_Maintenance[],2,FALSE),"")</f>
        <v/>
      </c>
      <c r="H119" t="str">
        <f>IFERROR(VLOOKUP(Logs_Registre[[#This Row],[Cell_ID]],Registre_Maintenance[],3,FALSE),"")</f>
        <v/>
      </c>
      <c r="I119" t="str">
        <f>IFERROR(VLOOKUP(Logs_Registre[[#This Row],[Cell_ID]],Registre_Maintenance[],4,FALSE),"")</f>
        <v/>
      </c>
      <c r="J119" t="str">
        <f>IFERROR(VLOOKUP(Logs_Registre[[#This Row],[Cell_ID]],Registre_Maintenance[],5,FALSE),"")</f>
        <v/>
      </c>
      <c r="K119" t="str">
        <f>IFERROR(VLOOKUP(Logs_Registre[[#This Row],[Cell_ID]],Registre_Maintenance[],6,FALSE),"")</f>
        <v/>
      </c>
    </row>
    <row r="120" spans="1:11" x14ac:dyDescent="0.25">
      <c r="A120" s="1" t="s">
        <v>1241</v>
      </c>
      <c r="B120" s="1" t="s">
        <v>1244</v>
      </c>
      <c r="C120" s="2">
        <v>45227.118055555547</v>
      </c>
      <c r="D120" s="3">
        <v>45227.118055555547</v>
      </c>
      <c r="E120">
        <v>61</v>
      </c>
      <c r="F120" s="1" t="s">
        <v>735</v>
      </c>
      <c r="G120" t="str">
        <f>IFERROR(VLOOKUP(Logs_Registre[[#This Row],[Cell_ID]],Registre_Maintenance[],2,FALSE),"")</f>
        <v/>
      </c>
      <c r="H120" t="str">
        <f>IFERROR(VLOOKUP(Logs_Registre[[#This Row],[Cell_ID]],Registre_Maintenance[],3,FALSE),"")</f>
        <v/>
      </c>
      <c r="I120" t="str">
        <f>IFERROR(VLOOKUP(Logs_Registre[[#This Row],[Cell_ID]],Registre_Maintenance[],4,FALSE),"")</f>
        <v/>
      </c>
      <c r="J120" t="str">
        <f>IFERROR(VLOOKUP(Logs_Registre[[#This Row],[Cell_ID]],Registre_Maintenance[],5,FALSE),"")</f>
        <v/>
      </c>
      <c r="K120" t="str">
        <f>IFERROR(VLOOKUP(Logs_Registre[[#This Row],[Cell_ID]],Registre_Maintenance[],6,FALSE),"")</f>
        <v/>
      </c>
    </row>
    <row r="121" spans="1:11" x14ac:dyDescent="0.25">
      <c r="A121" s="1" t="s">
        <v>1165</v>
      </c>
      <c r="B121" s="1" t="s">
        <v>1176</v>
      </c>
      <c r="C121" s="2">
        <v>45227.091666666667</v>
      </c>
      <c r="D121" s="3">
        <v>45227.091666666667</v>
      </c>
      <c r="E121">
        <v>112</v>
      </c>
      <c r="F121" s="1" t="s">
        <v>732</v>
      </c>
      <c r="G121" t="str">
        <f>IFERROR(VLOOKUP(Logs_Registre[[#This Row],[Cell_ID]],Registre_Maintenance[],2,FALSE),"")</f>
        <v>Kwilu</v>
      </c>
      <c r="H121">
        <f>IFERROR(VLOOKUP(Logs_Registre[[#This Row],[Cell_ID]],Registre_Maintenance[],3,FALSE),"")</f>
        <v>-10.161428000000001</v>
      </c>
      <c r="I121">
        <f>IFERROR(VLOOKUP(Logs_Registre[[#This Row],[Cell_ID]],Registre_Maintenance[],4,FALSE),"")</f>
        <v>19.362325999999999</v>
      </c>
      <c r="J121" t="str">
        <f>IFERROR(VLOOKUP(Logs_Registre[[#This Row],[Cell_ID]],Registre_Maintenance[],5,FALSE),"")</f>
        <v>3G</v>
      </c>
      <c r="K121" t="str">
        <f>IFERROR(VLOOKUP(Logs_Registre[[#This Row],[Cell_ID]],Registre_Maintenance[],6,FALSE),"")</f>
        <v>Nokia</v>
      </c>
    </row>
    <row r="122" spans="1:11" x14ac:dyDescent="0.25">
      <c r="A122" s="1" t="s">
        <v>730</v>
      </c>
      <c r="B122" s="1" t="s">
        <v>746</v>
      </c>
      <c r="C122" s="2">
        <v>45227.033333333333</v>
      </c>
      <c r="D122" s="3">
        <v>45227.033333333333</v>
      </c>
      <c r="E122">
        <v>68</v>
      </c>
      <c r="F122" s="1" t="s">
        <v>737</v>
      </c>
      <c r="G122" t="str">
        <f>IFERROR(VLOOKUP(Logs_Registre[[#This Row],[Cell_ID]],Registre_Maintenance[],2,FALSE),"")</f>
        <v>Nord-Ubangi</v>
      </c>
      <c r="H122">
        <f>IFERROR(VLOOKUP(Logs_Registre[[#This Row],[Cell_ID]],Registre_Maintenance[],3,FALSE),"")</f>
        <v>-10.375266999999999</v>
      </c>
      <c r="I122">
        <f>IFERROR(VLOOKUP(Logs_Registre[[#This Row],[Cell_ID]],Registre_Maintenance[],4,FALSE),"")</f>
        <v>17.993663000000002</v>
      </c>
      <c r="J122" t="str">
        <f>IFERROR(VLOOKUP(Logs_Registre[[#This Row],[Cell_ID]],Registre_Maintenance[],5,FALSE),"")</f>
        <v>5G</v>
      </c>
      <c r="K122" t="str">
        <f>IFERROR(VLOOKUP(Logs_Registre[[#This Row],[Cell_ID]],Registre_Maintenance[],6,FALSE),"")</f>
        <v>ZTE</v>
      </c>
    </row>
    <row r="123" spans="1:11" x14ac:dyDescent="0.25">
      <c r="A123" s="1" t="s">
        <v>1261</v>
      </c>
      <c r="B123" s="1" t="s">
        <v>1279</v>
      </c>
      <c r="C123" s="2">
        <v>45227.010416666657</v>
      </c>
      <c r="D123" s="3">
        <v>45227.010416666657</v>
      </c>
      <c r="E123">
        <v>49</v>
      </c>
      <c r="F123" s="1" t="s">
        <v>737</v>
      </c>
      <c r="G123" t="str">
        <f>IFERROR(VLOOKUP(Logs_Registre[[#This Row],[Cell_ID]],Registre_Maintenance[],2,FALSE),"")</f>
        <v/>
      </c>
      <c r="H123" t="str">
        <f>IFERROR(VLOOKUP(Logs_Registre[[#This Row],[Cell_ID]],Registre_Maintenance[],3,FALSE),"")</f>
        <v/>
      </c>
      <c r="I123" t="str">
        <f>IFERROR(VLOOKUP(Logs_Registre[[#This Row],[Cell_ID]],Registre_Maintenance[],4,FALSE),"")</f>
        <v/>
      </c>
      <c r="J123" t="str">
        <f>IFERROR(VLOOKUP(Logs_Registre[[#This Row],[Cell_ID]],Registre_Maintenance[],5,FALSE),"")</f>
        <v/>
      </c>
      <c r="K123" t="str">
        <f>IFERROR(VLOOKUP(Logs_Registre[[#This Row],[Cell_ID]],Registre_Maintenance[],6,FALSE),"")</f>
        <v/>
      </c>
    </row>
    <row r="124" spans="1:11" x14ac:dyDescent="0.25">
      <c r="A124" s="1" t="s">
        <v>978</v>
      </c>
      <c r="B124" s="1" t="s">
        <v>996</v>
      </c>
      <c r="C124" s="2">
        <v>45227.005555555559</v>
      </c>
      <c r="D124" s="3">
        <v>45227.005555555559</v>
      </c>
      <c r="E124">
        <v>66</v>
      </c>
      <c r="F124" s="1" t="s">
        <v>737</v>
      </c>
      <c r="G124" t="str">
        <f>IFERROR(VLOOKUP(Logs_Registre[[#This Row],[Cell_ID]],Registre_Maintenance[],2,FALSE),"")</f>
        <v/>
      </c>
      <c r="H124" t="str">
        <f>IFERROR(VLOOKUP(Logs_Registre[[#This Row],[Cell_ID]],Registre_Maintenance[],3,FALSE),"")</f>
        <v/>
      </c>
      <c r="I124" t="str">
        <f>IFERROR(VLOOKUP(Logs_Registre[[#This Row],[Cell_ID]],Registre_Maintenance[],4,FALSE),"")</f>
        <v/>
      </c>
      <c r="J124" t="str">
        <f>IFERROR(VLOOKUP(Logs_Registre[[#This Row],[Cell_ID]],Registre_Maintenance[],5,FALSE),"")</f>
        <v/>
      </c>
      <c r="K124" t="str">
        <f>IFERROR(VLOOKUP(Logs_Registre[[#This Row],[Cell_ID]],Registre_Maintenance[],6,FALSE),"")</f>
        <v/>
      </c>
    </row>
    <row r="125" spans="1:11" x14ac:dyDescent="0.25">
      <c r="A125" s="1" t="s">
        <v>1361</v>
      </c>
      <c r="B125" s="1" t="s">
        <v>1374</v>
      </c>
      <c r="C125" s="2">
        <v>45226.997916666667</v>
      </c>
      <c r="D125" s="3">
        <v>45226.997916666667</v>
      </c>
      <c r="E125">
        <v>53</v>
      </c>
      <c r="F125" s="1" t="s">
        <v>737</v>
      </c>
      <c r="G125" t="str">
        <f>IFERROR(VLOOKUP(Logs_Registre[[#This Row],[Cell_ID]],Registre_Maintenance[],2,FALSE),"")</f>
        <v>Nord-Ubangi</v>
      </c>
      <c r="H125">
        <f>IFERROR(VLOOKUP(Logs_Registre[[#This Row],[Cell_ID]],Registre_Maintenance[],3,FALSE),"")</f>
        <v>-7.8373179999999998</v>
      </c>
      <c r="I125">
        <f>IFERROR(VLOOKUP(Logs_Registre[[#This Row],[Cell_ID]],Registre_Maintenance[],4,FALSE),"")</f>
        <v>20.527591999999999</v>
      </c>
      <c r="J125" t="str">
        <f>IFERROR(VLOOKUP(Logs_Registre[[#This Row],[Cell_ID]],Registre_Maintenance[],5,FALSE),"")</f>
        <v>4G</v>
      </c>
      <c r="K125" t="str">
        <f>IFERROR(VLOOKUP(Logs_Registre[[#This Row],[Cell_ID]],Registre_Maintenance[],6,FALSE),"")</f>
        <v>Ericsson</v>
      </c>
    </row>
    <row r="126" spans="1:11" x14ac:dyDescent="0.25">
      <c r="A126" s="1" t="s">
        <v>1024</v>
      </c>
      <c r="B126" s="1" t="s">
        <v>1051</v>
      </c>
      <c r="C126" s="2">
        <v>45226.988194444442</v>
      </c>
      <c r="D126" s="3">
        <v>45226.988194444442</v>
      </c>
      <c r="E126">
        <v>83</v>
      </c>
      <c r="F126" s="1" t="s">
        <v>735</v>
      </c>
      <c r="G126" t="str">
        <f>IFERROR(VLOOKUP(Logs_Registre[[#This Row],[Cell_ID]],Registre_Maintenance[],2,FALSE),"")</f>
        <v/>
      </c>
      <c r="H126" t="str">
        <f>IFERROR(VLOOKUP(Logs_Registre[[#This Row],[Cell_ID]],Registre_Maintenance[],3,FALSE),"")</f>
        <v/>
      </c>
      <c r="I126" t="str">
        <f>IFERROR(VLOOKUP(Logs_Registre[[#This Row],[Cell_ID]],Registre_Maintenance[],4,FALSE),"")</f>
        <v/>
      </c>
      <c r="J126" t="str">
        <f>IFERROR(VLOOKUP(Logs_Registre[[#This Row],[Cell_ID]],Registre_Maintenance[],5,FALSE),"")</f>
        <v/>
      </c>
      <c r="K126" t="str">
        <f>IFERROR(VLOOKUP(Logs_Registre[[#This Row],[Cell_ID]],Registre_Maintenance[],6,FALSE),"")</f>
        <v/>
      </c>
    </row>
    <row r="127" spans="1:11" x14ac:dyDescent="0.25">
      <c r="A127" s="1" t="s">
        <v>1288</v>
      </c>
      <c r="B127" s="1" t="s">
        <v>918</v>
      </c>
      <c r="C127" s="2">
        <v>45226.975694444453</v>
      </c>
      <c r="D127" s="3">
        <v>45226.975694444453</v>
      </c>
      <c r="E127">
        <v>89</v>
      </c>
      <c r="F127" s="1" t="s">
        <v>737</v>
      </c>
      <c r="G127" t="str">
        <f>IFERROR(VLOOKUP(Logs_Registre[[#This Row],[Cell_ID]],Registre_Maintenance[],2,FALSE),"")</f>
        <v/>
      </c>
      <c r="H127" t="str">
        <f>IFERROR(VLOOKUP(Logs_Registre[[#This Row],[Cell_ID]],Registre_Maintenance[],3,FALSE),"")</f>
        <v/>
      </c>
      <c r="I127" t="str">
        <f>IFERROR(VLOOKUP(Logs_Registre[[#This Row],[Cell_ID]],Registre_Maintenance[],4,FALSE),"")</f>
        <v/>
      </c>
      <c r="J127" t="str">
        <f>IFERROR(VLOOKUP(Logs_Registre[[#This Row],[Cell_ID]],Registre_Maintenance[],5,FALSE),"")</f>
        <v/>
      </c>
      <c r="K127" t="str">
        <f>IFERROR(VLOOKUP(Logs_Registre[[#This Row],[Cell_ID]],Registre_Maintenance[],6,FALSE),"")</f>
        <v/>
      </c>
    </row>
    <row r="128" spans="1:11" x14ac:dyDescent="0.25">
      <c r="A128" s="1" t="s">
        <v>1261</v>
      </c>
      <c r="B128" s="1" t="s">
        <v>885</v>
      </c>
      <c r="C128" s="2">
        <v>45226.969444444447</v>
      </c>
      <c r="D128" s="3">
        <v>45226.969444444447</v>
      </c>
      <c r="E128">
        <v>68</v>
      </c>
      <c r="F128" s="1" t="s">
        <v>732</v>
      </c>
      <c r="G128" t="str">
        <f>IFERROR(VLOOKUP(Logs_Registre[[#This Row],[Cell_ID]],Registre_Maintenance[],2,FALSE),"")</f>
        <v>Tshopo</v>
      </c>
      <c r="H128">
        <f>IFERROR(VLOOKUP(Logs_Registre[[#This Row],[Cell_ID]],Registre_Maintenance[],3,FALSE),"")</f>
        <v>3.0603760000000002</v>
      </c>
      <c r="I128">
        <f>IFERROR(VLOOKUP(Logs_Registre[[#This Row],[Cell_ID]],Registre_Maintenance[],4,FALSE),"")</f>
        <v>19.708034000000001</v>
      </c>
      <c r="J128" t="str">
        <f>IFERROR(VLOOKUP(Logs_Registre[[#This Row],[Cell_ID]],Registre_Maintenance[],5,FALSE),"")</f>
        <v>3G</v>
      </c>
      <c r="K128" t="str">
        <f>IFERROR(VLOOKUP(Logs_Registre[[#This Row],[Cell_ID]],Registre_Maintenance[],6,FALSE),"")</f>
        <v>ZTE</v>
      </c>
    </row>
    <row r="129" spans="1:11" x14ac:dyDescent="0.25">
      <c r="A129" s="1" t="s">
        <v>1219</v>
      </c>
      <c r="B129" s="1" t="s">
        <v>1223</v>
      </c>
      <c r="C129" s="2">
        <v>45226.964583333327</v>
      </c>
      <c r="D129" s="3">
        <v>45226.964583333327</v>
      </c>
      <c r="E129">
        <v>27</v>
      </c>
      <c r="F129" s="1" t="s">
        <v>735</v>
      </c>
      <c r="G129" t="str">
        <f>IFERROR(VLOOKUP(Logs_Registre[[#This Row],[Cell_ID]],Registre_Maintenance[],2,FALSE),"")</f>
        <v>Lualaba</v>
      </c>
      <c r="H129">
        <f>IFERROR(VLOOKUP(Logs_Registre[[#This Row],[Cell_ID]],Registre_Maintenance[],3,FALSE),"")</f>
        <v>-11.354772000000001</v>
      </c>
      <c r="I129">
        <f>IFERROR(VLOOKUP(Logs_Registre[[#This Row],[Cell_ID]],Registre_Maintenance[],4,FALSE),"")</f>
        <v>21.957325999999998</v>
      </c>
      <c r="J129" t="str">
        <f>IFERROR(VLOOKUP(Logs_Registre[[#This Row],[Cell_ID]],Registre_Maintenance[],5,FALSE),"")</f>
        <v>3G</v>
      </c>
      <c r="K129" t="str">
        <f>IFERROR(VLOOKUP(Logs_Registre[[#This Row],[Cell_ID]],Registre_Maintenance[],6,FALSE),"")</f>
        <v>Nokia</v>
      </c>
    </row>
    <row r="130" spans="1:11" x14ac:dyDescent="0.25">
      <c r="A130" s="1" t="s">
        <v>1404</v>
      </c>
      <c r="B130" s="1" t="s">
        <v>1406</v>
      </c>
      <c r="C130" s="2">
        <v>45226.955555555563</v>
      </c>
      <c r="D130" s="3">
        <v>45226.955555555563</v>
      </c>
      <c r="E130">
        <v>20</v>
      </c>
      <c r="F130" s="1" t="s">
        <v>735</v>
      </c>
      <c r="G130" t="str">
        <f>IFERROR(VLOOKUP(Logs_Registre[[#This Row],[Cell_ID]],Registre_Maintenance[],2,FALSE),"")</f>
        <v/>
      </c>
      <c r="H130" t="str">
        <f>IFERROR(VLOOKUP(Logs_Registre[[#This Row],[Cell_ID]],Registre_Maintenance[],3,FALSE),"")</f>
        <v/>
      </c>
      <c r="I130" t="str">
        <f>IFERROR(VLOOKUP(Logs_Registre[[#This Row],[Cell_ID]],Registre_Maintenance[],4,FALSE),"")</f>
        <v/>
      </c>
      <c r="J130" t="str">
        <f>IFERROR(VLOOKUP(Logs_Registre[[#This Row],[Cell_ID]],Registre_Maintenance[],5,FALSE),"")</f>
        <v/>
      </c>
      <c r="K130" t="str">
        <f>IFERROR(VLOOKUP(Logs_Registre[[#This Row],[Cell_ID]],Registre_Maintenance[],6,FALSE),"")</f>
        <v/>
      </c>
    </row>
    <row r="131" spans="1:11" x14ac:dyDescent="0.25">
      <c r="A131" s="1" t="s">
        <v>1330</v>
      </c>
      <c r="B131" s="1" t="s">
        <v>776</v>
      </c>
      <c r="C131" s="2">
        <v>45226.920138888891</v>
      </c>
      <c r="D131" s="3">
        <v>45226.920138888891</v>
      </c>
      <c r="E131">
        <v>64</v>
      </c>
      <c r="F131" s="1" t="s">
        <v>737</v>
      </c>
      <c r="G131" t="str">
        <f>IFERROR(VLOOKUP(Logs_Registre[[#This Row],[Cell_ID]],Registre_Maintenance[],2,FALSE),"")</f>
        <v/>
      </c>
      <c r="H131" t="str">
        <f>IFERROR(VLOOKUP(Logs_Registre[[#This Row],[Cell_ID]],Registre_Maintenance[],3,FALSE),"")</f>
        <v/>
      </c>
      <c r="I131" t="str">
        <f>IFERROR(VLOOKUP(Logs_Registre[[#This Row],[Cell_ID]],Registre_Maintenance[],4,FALSE),"")</f>
        <v/>
      </c>
      <c r="J131" t="str">
        <f>IFERROR(VLOOKUP(Logs_Registre[[#This Row],[Cell_ID]],Registre_Maintenance[],5,FALSE),"")</f>
        <v/>
      </c>
      <c r="K131" t="str">
        <f>IFERROR(VLOOKUP(Logs_Registre[[#This Row],[Cell_ID]],Registre_Maintenance[],6,FALSE),"")</f>
        <v/>
      </c>
    </row>
    <row r="132" spans="1:11" x14ac:dyDescent="0.25">
      <c r="A132" s="1" t="s">
        <v>1219</v>
      </c>
      <c r="B132" s="1" t="s">
        <v>1049</v>
      </c>
      <c r="C132" s="2">
        <v>45226.90625</v>
      </c>
      <c r="D132" s="3">
        <v>45226.90625</v>
      </c>
      <c r="E132">
        <v>26</v>
      </c>
      <c r="F132" s="1" t="s">
        <v>735</v>
      </c>
      <c r="G132" t="str">
        <f>IFERROR(VLOOKUP(Logs_Registre[[#This Row],[Cell_ID]],Registre_Maintenance[],2,FALSE),"")</f>
        <v/>
      </c>
      <c r="H132" t="str">
        <f>IFERROR(VLOOKUP(Logs_Registre[[#This Row],[Cell_ID]],Registre_Maintenance[],3,FALSE),"")</f>
        <v/>
      </c>
      <c r="I132" t="str">
        <f>IFERROR(VLOOKUP(Logs_Registre[[#This Row],[Cell_ID]],Registre_Maintenance[],4,FALSE),"")</f>
        <v/>
      </c>
      <c r="J132" t="str">
        <f>IFERROR(VLOOKUP(Logs_Registre[[#This Row],[Cell_ID]],Registre_Maintenance[],5,FALSE),"")</f>
        <v/>
      </c>
      <c r="K132" t="str">
        <f>IFERROR(VLOOKUP(Logs_Registre[[#This Row],[Cell_ID]],Registre_Maintenance[],6,FALSE),"")</f>
        <v/>
      </c>
    </row>
    <row r="133" spans="1:11" x14ac:dyDescent="0.25">
      <c r="A133" s="1" t="s">
        <v>1059</v>
      </c>
      <c r="B133" s="1" t="s">
        <v>1077</v>
      </c>
      <c r="C133" s="2">
        <v>45226.895138888889</v>
      </c>
      <c r="D133" s="3">
        <v>45226.895138888889</v>
      </c>
      <c r="E133">
        <v>42</v>
      </c>
      <c r="F133" s="1" t="s">
        <v>732</v>
      </c>
      <c r="G133" t="str">
        <f>IFERROR(VLOOKUP(Logs_Registre[[#This Row],[Cell_ID]],Registre_Maintenance[],2,FALSE),"")</f>
        <v/>
      </c>
      <c r="H133" t="str">
        <f>IFERROR(VLOOKUP(Logs_Registre[[#This Row],[Cell_ID]],Registre_Maintenance[],3,FALSE),"")</f>
        <v/>
      </c>
      <c r="I133" t="str">
        <f>IFERROR(VLOOKUP(Logs_Registre[[#This Row],[Cell_ID]],Registre_Maintenance[],4,FALSE),"")</f>
        <v/>
      </c>
      <c r="J133" t="str">
        <f>IFERROR(VLOOKUP(Logs_Registre[[#This Row],[Cell_ID]],Registre_Maintenance[],5,FALSE),"")</f>
        <v/>
      </c>
      <c r="K133" t="str">
        <f>IFERROR(VLOOKUP(Logs_Registre[[#This Row],[Cell_ID]],Registre_Maintenance[],6,FALSE),"")</f>
        <v/>
      </c>
    </row>
    <row r="134" spans="1:11" x14ac:dyDescent="0.25">
      <c r="A134" s="1" t="s">
        <v>1114</v>
      </c>
      <c r="B134" s="1" t="s">
        <v>1126</v>
      </c>
      <c r="C134" s="2">
        <v>45226.885416666657</v>
      </c>
      <c r="D134" s="3">
        <v>45226.885416666657</v>
      </c>
      <c r="E134">
        <v>96</v>
      </c>
      <c r="F134" s="1" t="s">
        <v>737</v>
      </c>
      <c r="G134" t="str">
        <f>IFERROR(VLOOKUP(Logs_Registre[[#This Row],[Cell_ID]],Registre_Maintenance[],2,FALSE),"")</f>
        <v/>
      </c>
      <c r="H134" t="str">
        <f>IFERROR(VLOOKUP(Logs_Registre[[#This Row],[Cell_ID]],Registre_Maintenance[],3,FALSE),"")</f>
        <v/>
      </c>
      <c r="I134" t="str">
        <f>IFERROR(VLOOKUP(Logs_Registre[[#This Row],[Cell_ID]],Registre_Maintenance[],4,FALSE),"")</f>
        <v/>
      </c>
      <c r="J134" t="str">
        <f>IFERROR(VLOOKUP(Logs_Registre[[#This Row],[Cell_ID]],Registre_Maintenance[],5,FALSE),"")</f>
        <v/>
      </c>
      <c r="K134" t="str">
        <f>IFERROR(VLOOKUP(Logs_Registre[[#This Row],[Cell_ID]],Registre_Maintenance[],6,FALSE),"")</f>
        <v/>
      </c>
    </row>
    <row r="135" spans="1:11" x14ac:dyDescent="0.25">
      <c r="A135" s="1" t="s">
        <v>861</v>
      </c>
      <c r="B135" s="1" t="s">
        <v>891</v>
      </c>
      <c r="C135" s="2">
        <v>45226.84375</v>
      </c>
      <c r="D135" s="3">
        <v>45226.84375</v>
      </c>
      <c r="E135">
        <v>48</v>
      </c>
      <c r="F135" s="1" t="s">
        <v>732</v>
      </c>
      <c r="G135" t="str">
        <f>IFERROR(VLOOKUP(Logs_Registre[[#This Row],[Cell_ID]],Registre_Maintenance[],2,FALSE),"")</f>
        <v/>
      </c>
      <c r="H135" t="str">
        <f>IFERROR(VLOOKUP(Logs_Registre[[#This Row],[Cell_ID]],Registre_Maintenance[],3,FALSE),"")</f>
        <v/>
      </c>
      <c r="I135" t="str">
        <f>IFERROR(VLOOKUP(Logs_Registre[[#This Row],[Cell_ID]],Registre_Maintenance[],4,FALSE),"")</f>
        <v/>
      </c>
      <c r="J135" t="str">
        <f>IFERROR(VLOOKUP(Logs_Registre[[#This Row],[Cell_ID]],Registre_Maintenance[],5,FALSE),"")</f>
        <v/>
      </c>
      <c r="K135" t="str">
        <f>IFERROR(VLOOKUP(Logs_Registre[[#This Row],[Cell_ID]],Registre_Maintenance[],6,FALSE),"")</f>
        <v/>
      </c>
    </row>
    <row r="136" spans="1:11" x14ac:dyDescent="0.25">
      <c r="A136" s="1" t="s">
        <v>1059</v>
      </c>
      <c r="B136" s="1" t="s">
        <v>1076</v>
      </c>
      <c r="C136" s="2">
        <v>45226.84097222222</v>
      </c>
      <c r="D136" s="3">
        <v>45226.84097222222</v>
      </c>
      <c r="E136">
        <v>74</v>
      </c>
      <c r="F136" s="1" t="s">
        <v>735</v>
      </c>
      <c r="G136" t="str">
        <f>IFERROR(VLOOKUP(Logs_Registre[[#This Row],[Cell_ID]],Registre_Maintenance[],2,FALSE),"")</f>
        <v>Kinshasa</v>
      </c>
      <c r="H136">
        <f>IFERROR(VLOOKUP(Logs_Registre[[#This Row],[Cell_ID]],Registre_Maintenance[],3,FALSE),"")</f>
        <v>-11.389362</v>
      </c>
      <c r="I136">
        <f>IFERROR(VLOOKUP(Logs_Registre[[#This Row],[Cell_ID]],Registre_Maintenance[],4,FALSE),"")</f>
        <v>22.240174</v>
      </c>
      <c r="J136" t="str">
        <f>IFERROR(VLOOKUP(Logs_Registre[[#This Row],[Cell_ID]],Registre_Maintenance[],5,FALSE),"")</f>
        <v>5G</v>
      </c>
      <c r="K136" t="str">
        <f>IFERROR(VLOOKUP(Logs_Registre[[#This Row],[Cell_ID]],Registre_Maintenance[],6,FALSE),"")</f>
        <v>ZTE</v>
      </c>
    </row>
    <row r="137" spans="1:11" x14ac:dyDescent="0.25">
      <c r="A137" s="1" t="s">
        <v>902</v>
      </c>
      <c r="B137" s="1" t="s">
        <v>932</v>
      </c>
      <c r="C137" s="2">
        <v>45226.790277777778</v>
      </c>
      <c r="D137" s="3">
        <v>45226.790277777778</v>
      </c>
      <c r="E137">
        <v>68</v>
      </c>
      <c r="F137" s="1" t="s">
        <v>737</v>
      </c>
      <c r="G137" t="str">
        <f>IFERROR(VLOOKUP(Logs_Registre[[#This Row],[Cell_ID]],Registre_Maintenance[],2,FALSE),"")</f>
        <v>Equateur</v>
      </c>
      <c r="H137">
        <f>IFERROR(VLOOKUP(Logs_Registre[[#This Row],[Cell_ID]],Registre_Maintenance[],3,FALSE),"")</f>
        <v>-0.37665700000000002</v>
      </c>
      <c r="I137">
        <f>IFERROR(VLOOKUP(Logs_Registre[[#This Row],[Cell_ID]],Registre_Maintenance[],4,FALSE),"")</f>
        <v>25.154807999999999</v>
      </c>
      <c r="J137" t="str">
        <f>IFERROR(VLOOKUP(Logs_Registre[[#This Row],[Cell_ID]],Registre_Maintenance[],5,FALSE),"")</f>
        <v>3G</v>
      </c>
      <c r="K137" t="str">
        <f>IFERROR(VLOOKUP(Logs_Registre[[#This Row],[Cell_ID]],Registre_Maintenance[],6,FALSE),"")</f>
        <v>Nokia</v>
      </c>
    </row>
    <row r="138" spans="1:11" x14ac:dyDescent="0.25">
      <c r="A138" s="1" t="s">
        <v>1138</v>
      </c>
      <c r="B138" s="1" t="s">
        <v>1155</v>
      </c>
      <c r="C138" s="2">
        <v>45226.747916666667</v>
      </c>
      <c r="D138" s="3">
        <v>45226.747916666667</v>
      </c>
      <c r="E138">
        <v>52</v>
      </c>
      <c r="F138" s="1" t="s">
        <v>735</v>
      </c>
      <c r="G138" t="str">
        <f>IFERROR(VLOOKUP(Logs_Registre[[#This Row],[Cell_ID]],Registre_Maintenance[],2,FALSE),"")</f>
        <v/>
      </c>
      <c r="H138" t="str">
        <f>IFERROR(VLOOKUP(Logs_Registre[[#This Row],[Cell_ID]],Registre_Maintenance[],3,FALSE),"")</f>
        <v/>
      </c>
      <c r="I138" t="str">
        <f>IFERROR(VLOOKUP(Logs_Registre[[#This Row],[Cell_ID]],Registre_Maintenance[],4,FALSE),"")</f>
        <v/>
      </c>
      <c r="J138" t="str">
        <f>IFERROR(VLOOKUP(Logs_Registre[[#This Row],[Cell_ID]],Registre_Maintenance[],5,FALSE),"")</f>
        <v/>
      </c>
      <c r="K138" t="str">
        <f>IFERROR(VLOOKUP(Logs_Registre[[#This Row],[Cell_ID]],Registre_Maintenance[],6,FALSE),"")</f>
        <v/>
      </c>
    </row>
    <row r="139" spans="1:11" x14ac:dyDescent="0.25">
      <c r="A139" s="1" t="s">
        <v>1361</v>
      </c>
      <c r="B139" s="1" t="s">
        <v>1381</v>
      </c>
      <c r="C139" s="2">
        <v>45226.747916666667</v>
      </c>
      <c r="D139" s="3">
        <v>45226.747916666667</v>
      </c>
      <c r="E139">
        <v>68</v>
      </c>
      <c r="F139" s="1" t="s">
        <v>735</v>
      </c>
      <c r="G139" t="str">
        <f>IFERROR(VLOOKUP(Logs_Registre[[#This Row],[Cell_ID]],Registre_Maintenance[],2,FALSE),"")</f>
        <v/>
      </c>
      <c r="H139" t="str">
        <f>IFERROR(VLOOKUP(Logs_Registre[[#This Row],[Cell_ID]],Registre_Maintenance[],3,FALSE),"")</f>
        <v/>
      </c>
      <c r="I139" t="str">
        <f>IFERROR(VLOOKUP(Logs_Registre[[#This Row],[Cell_ID]],Registre_Maintenance[],4,FALSE),"")</f>
        <v/>
      </c>
      <c r="J139" t="str">
        <f>IFERROR(VLOOKUP(Logs_Registre[[#This Row],[Cell_ID]],Registre_Maintenance[],5,FALSE),"")</f>
        <v/>
      </c>
      <c r="K139" t="str">
        <f>IFERROR(VLOOKUP(Logs_Registre[[#This Row],[Cell_ID]],Registre_Maintenance[],6,FALSE),"")</f>
        <v/>
      </c>
    </row>
    <row r="140" spans="1:11" x14ac:dyDescent="0.25">
      <c r="A140" s="1" t="s">
        <v>1059</v>
      </c>
      <c r="B140" s="1" t="s">
        <v>1082</v>
      </c>
      <c r="C140" s="2">
        <v>45226.729166666657</v>
      </c>
      <c r="D140" s="3">
        <v>45226.729166666657</v>
      </c>
      <c r="E140">
        <v>62</v>
      </c>
      <c r="F140" s="1" t="s">
        <v>735</v>
      </c>
      <c r="G140" t="str">
        <f>IFERROR(VLOOKUP(Logs_Registre[[#This Row],[Cell_ID]],Registre_Maintenance[],2,FALSE),"")</f>
        <v/>
      </c>
      <c r="H140" t="str">
        <f>IFERROR(VLOOKUP(Logs_Registre[[#This Row],[Cell_ID]],Registre_Maintenance[],3,FALSE),"")</f>
        <v/>
      </c>
      <c r="I140" t="str">
        <f>IFERROR(VLOOKUP(Logs_Registre[[#This Row],[Cell_ID]],Registre_Maintenance[],4,FALSE),"")</f>
        <v/>
      </c>
      <c r="J140" t="str">
        <f>IFERROR(VLOOKUP(Logs_Registre[[#This Row],[Cell_ID]],Registre_Maintenance[],5,FALSE),"")</f>
        <v/>
      </c>
      <c r="K140" t="str">
        <f>IFERROR(VLOOKUP(Logs_Registre[[#This Row],[Cell_ID]],Registre_Maintenance[],6,FALSE),"")</f>
        <v/>
      </c>
    </row>
    <row r="141" spans="1:11" x14ac:dyDescent="0.25">
      <c r="A141" s="1" t="s">
        <v>1308</v>
      </c>
      <c r="B141" s="1" t="s">
        <v>1025</v>
      </c>
      <c r="C141" s="2">
        <v>45226.659722222219</v>
      </c>
      <c r="D141" s="3">
        <v>45226.659722222219</v>
      </c>
      <c r="E141">
        <v>65</v>
      </c>
      <c r="F141" s="1" t="s">
        <v>735</v>
      </c>
      <c r="G141" t="str">
        <f>IFERROR(VLOOKUP(Logs_Registre[[#This Row],[Cell_ID]],Registre_Maintenance[],2,FALSE),"")</f>
        <v>Haut-Katanga</v>
      </c>
      <c r="H141">
        <f>IFERROR(VLOOKUP(Logs_Registre[[#This Row],[Cell_ID]],Registre_Maintenance[],3,FALSE),"")</f>
        <v>-11.594525000000001</v>
      </c>
      <c r="I141">
        <f>IFERROR(VLOOKUP(Logs_Registre[[#This Row],[Cell_ID]],Registre_Maintenance[],4,FALSE),"")</f>
        <v>29.744895</v>
      </c>
      <c r="J141" t="str">
        <f>IFERROR(VLOOKUP(Logs_Registre[[#This Row],[Cell_ID]],Registre_Maintenance[],5,FALSE),"")</f>
        <v>3G</v>
      </c>
      <c r="K141" t="str">
        <f>IFERROR(VLOOKUP(Logs_Registre[[#This Row],[Cell_ID]],Registre_Maintenance[],6,FALSE),"")</f>
        <v>ZTE</v>
      </c>
    </row>
    <row r="142" spans="1:11" x14ac:dyDescent="0.25">
      <c r="A142" s="1" t="s">
        <v>1165</v>
      </c>
      <c r="B142" s="1" t="s">
        <v>984</v>
      </c>
      <c r="C142" s="2">
        <v>45226.656944444447</v>
      </c>
      <c r="D142" s="3">
        <v>45226.656944444447</v>
      </c>
      <c r="E142">
        <v>7</v>
      </c>
      <c r="F142" s="1" t="s">
        <v>732</v>
      </c>
      <c r="G142" t="str">
        <f>IFERROR(VLOOKUP(Logs_Registre[[#This Row],[Cell_ID]],Registre_Maintenance[],2,FALSE),"")</f>
        <v/>
      </c>
      <c r="H142" t="str">
        <f>IFERROR(VLOOKUP(Logs_Registre[[#This Row],[Cell_ID]],Registre_Maintenance[],3,FALSE),"")</f>
        <v/>
      </c>
      <c r="I142" t="str">
        <f>IFERROR(VLOOKUP(Logs_Registre[[#This Row],[Cell_ID]],Registre_Maintenance[],4,FALSE),"")</f>
        <v/>
      </c>
      <c r="J142" t="str">
        <f>IFERROR(VLOOKUP(Logs_Registre[[#This Row],[Cell_ID]],Registre_Maintenance[],5,FALSE),"")</f>
        <v/>
      </c>
      <c r="K142" t="str">
        <f>IFERROR(VLOOKUP(Logs_Registre[[#This Row],[Cell_ID]],Registre_Maintenance[],6,FALSE),"")</f>
        <v/>
      </c>
    </row>
    <row r="143" spans="1:11" x14ac:dyDescent="0.25">
      <c r="A143" s="1" t="s">
        <v>1308</v>
      </c>
      <c r="B143" s="1" t="s">
        <v>1329</v>
      </c>
      <c r="C143" s="2">
        <v>45226.631249999999</v>
      </c>
      <c r="D143" s="3">
        <v>45226.631249999999</v>
      </c>
      <c r="E143">
        <v>112</v>
      </c>
      <c r="F143" s="1" t="s">
        <v>735</v>
      </c>
      <c r="G143" t="str">
        <f>IFERROR(VLOOKUP(Logs_Registre[[#This Row],[Cell_ID]],Registre_Maintenance[],2,FALSE),"")</f>
        <v/>
      </c>
      <c r="H143" t="str">
        <f>IFERROR(VLOOKUP(Logs_Registre[[#This Row],[Cell_ID]],Registre_Maintenance[],3,FALSE),"")</f>
        <v/>
      </c>
      <c r="I143" t="str">
        <f>IFERROR(VLOOKUP(Logs_Registre[[#This Row],[Cell_ID]],Registre_Maintenance[],4,FALSE),"")</f>
        <v/>
      </c>
      <c r="J143" t="str">
        <f>IFERROR(VLOOKUP(Logs_Registre[[#This Row],[Cell_ID]],Registre_Maintenance[],5,FALSE),"")</f>
        <v/>
      </c>
      <c r="K143" t="str">
        <f>IFERROR(VLOOKUP(Logs_Registre[[#This Row],[Cell_ID]],Registre_Maintenance[],6,FALSE),"")</f>
        <v/>
      </c>
    </row>
    <row r="144" spans="1:11" x14ac:dyDescent="0.25">
      <c r="A144" s="1" t="s">
        <v>861</v>
      </c>
      <c r="B144" s="1" t="s">
        <v>865</v>
      </c>
      <c r="C144" s="2">
        <v>45226.623611111107</v>
      </c>
      <c r="D144" s="3">
        <v>45226.623611111107</v>
      </c>
      <c r="E144">
        <v>98</v>
      </c>
      <c r="F144" s="1" t="s">
        <v>737</v>
      </c>
      <c r="G144" t="str">
        <f>IFERROR(VLOOKUP(Logs_Registre[[#This Row],[Cell_ID]],Registre_Maintenance[],2,FALSE),"")</f>
        <v>Nord-Ubangi</v>
      </c>
      <c r="H144">
        <f>IFERROR(VLOOKUP(Logs_Registre[[#This Row],[Cell_ID]],Registre_Maintenance[],3,FALSE),"")</f>
        <v>-7.9987219999999999</v>
      </c>
      <c r="I144">
        <f>IFERROR(VLOOKUP(Logs_Registre[[#This Row],[Cell_ID]],Registre_Maintenance[],4,FALSE),"")</f>
        <v>12.779335</v>
      </c>
      <c r="J144" t="str">
        <f>IFERROR(VLOOKUP(Logs_Registre[[#This Row],[Cell_ID]],Registre_Maintenance[],5,FALSE),"")</f>
        <v>5G</v>
      </c>
      <c r="K144" t="str">
        <f>IFERROR(VLOOKUP(Logs_Registre[[#This Row],[Cell_ID]],Registre_Maintenance[],6,FALSE),"")</f>
        <v>Nokia</v>
      </c>
    </row>
    <row r="145" spans="1:11" x14ac:dyDescent="0.25">
      <c r="A145" s="1" t="s">
        <v>978</v>
      </c>
      <c r="B145" s="1" t="s">
        <v>990</v>
      </c>
      <c r="C145" s="2">
        <v>45226.586805555547</v>
      </c>
      <c r="D145" s="3">
        <v>45226.586805555547</v>
      </c>
      <c r="E145">
        <v>33</v>
      </c>
      <c r="F145" s="1" t="s">
        <v>737</v>
      </c>
      <c r="G145" t="str">
        <f>IFERROR(VLOOKUP(Logs_Registre[[#This Row],[Cell_ID]],Registre_Maintenance[],2,FALSE),"")</f>
        <v>Nord-Ubangi</v>
      </c>
      <c r="H145">
        <f>IFERROR(VLOOKUP(Logs_Registre[[#This Row],[Cell_ID]],Registre_Maintenance[],3,FALSE),"")</f>
        <v>-7.7839049999999999</v>
      </c>
      <c r="I145">
        <f>IFERROR(VLOOKUP(Logs_Registre[[#This Row],[Cell_ID]],Registre_Maintenance[],4,FALSE),"")</f>
        <v>14.114281999999999</v>
      </c>
      <c r="J145" t="str">
        <f>IFERROR(VLOOKUP(Logs_Registre[[#This Row],[Cell_ID]],Registre_Maintenance[],5,FALSE),"")</f>
        <v>3G</v>
      </c>
      <c r="K145" t="str">
        <f>IFERROR(VLOOKUP(Logs_Registre[[#This Row],[Cell_ID]],Registre_Maintenance[],6,FALSE),"")</f>
        <v>ZTE</v>
      </c>
    </row>
    <row r="146" spans="1:11" x14ac:dyDescent="0.25">
      <c r="A146" s="1" t="s">
        <v>1330</v>
      </c>
      <c r="B146" s="1" t="s">
        <v>979</v>
      </c>
      <c r="C146" s="2">
        <v>45226.574305555558</v>
      </c>
      <c r="D146" s="3">
        <v>45226.574305555558</v>
      </c>
      <c r="E146">
        <v>81</v>
      </c>
      <c r="F146" s="1" t="s">
        <v>735</v>
      </c>
      <c r="G146" t="str">
        <f>IFERROR(VLOOKUP(Logs_Registre[[#This Row],[Cell_ID]],Registre_Maintenance[],2,FALSE),"")</f>
        <v/>
      </c>
      <c r="H146" t="str">
        <f>IFERROR(VLOOKUP(Logs_Registre[[#This Row],[Cell_ID]],Registre_Maintenance[],3,FALSE),"")</f>
        <v/>
      </c>
      <c r="I146" t="str">
        <f>IFERROR(VLOOKUP(Logs_Registre[[#This Row],[Cell_ID]],Registre_Maintenance[],4,FALSE),"")</f>
        <v/>
      </c>
      <c r="J146" t="str">
        <f>IFERROR(VLOOKUP(Logs_Registre[[#This Row],[Cell_ID]],Registre_Maintenance[],5,FALSE),"")</f>
        <v/>
      </c>
      <c r="K146" t="str">
        <f>IFERROR(VLOOKUP(Logs_Registre[[#This Row],[Cell_ID]],Registre_Maintenance[],6,FALSE),"")</f>
        <v/>
      </c>
    </row>
    <row r="147" spans="1:11" x14ac:dyDescent="0.25">
      <c r="A147" s="1" t="s">
        <v>1361</v>
      </c>
      <c r="B147" s="1" t="s">
        <v>1365</v>
      </c>
      <c r="C147" s="2">
        <v>45226.530555555553</v>
      </c>
      <c r="D147" s="3">
        <v>45226.530555555553</v>
      </c>
      <c r="E147">
        <v>101</v>
      </c>
      <c r="F147" s="1" t="s">
        <v>737</v>
      </c>
      <c r="G147" t="str">
        <f>IFERROR(VLOOKUP(Logs_Registre[[#This Row],[Cell_ID]],Registre_Maintenance[],2,FALSE),"")</f>
        <v>Maniema</v>
      </c>
      <c r="H147">
        <f>IFERROR(VLOOKUP(Logs_Registre[[#This Row],[Cell_ID]],Registre_Maintenance[],3,FALSE),"")</f>
        <v>-10.650321</v>
      </c>
      <c r="I147">
        <f>IFERROR(VLOOKUP(Logs_Registre[[#This Row],[Cell_ID]],Registre_Maintenance[],4,FALSE),"")</f>
        <v>15.917044000000001</v>
      </c>
      <c r="J147" t="str">
        <f>IFERROR(VLOOKUP(Logs_Registre[[#This Row],[Cell_ID]],Registre_Maintenance[],5,FALSE),"")</f>
        <v>4G</v>
      </c>
      <c r="K147" t="str">
        <f>IFERROR(VLOOKUP(Logs_Registre[[#This Row],[Cell_ID]],Registre_Maintenance[],6,FALSE),"")</f>
        <v>Nokia</v>
      </c>
    </row>
    <row r="148" spans="1:11" x14ac:dyDescent="0.25">
      <c r="A148" s="1" t="s">
        <v>1330</v>
      </c>
      <c r="B148" s="1" t="s">
        <v>1335</v>
      </c>
      <c r="C148" s="2">
        <v>45226.388194444437</v>
      </c>
      <c r="D148" s="3">
        <v>45226.388194444437</v>
      </c>
      <c r="E148">
        <v>115</v>
      </c>
      <c r="F148" s="1" t="s">
        <v>737</v>
      </c>
      <c r="G148" t="str">
        <f>IFERROR(VLOOKUP(Logs_Registre[[#This Row],[Cell_ID]],Registre_Maintenance[],2,FALSE),"")</f>
        <v/>
      </c>
      <c r="H148" t="str">
        <f>IFERROR(VLOOKUP(Logs_Registre[[#This Row],[Cell_ID]],Registre_Maintenance[],3,FALSE),"")</f>
        <v/>
      </c>
      <c r="I148" t="str">
        <f>IFERROR(VLOOKUP(Logs_Registre[[#This Row],[Cell_ID]],Registre_Maintenance[],4,FALSE),"")</f>
        <v/>
      </c>
      <c r="J148" t="str">
        <f>IFERROR(VLOOKUP(Logs_Registre[[#This Row],[Cell_ID]],Registre_Maintenance[],5,FALSE),"")</f>
        <v/>
      </c>
      <c r="K148" t="str">
        <f>IFERROR(VLOOKUP(Logs_Registre[[#This Row],[Cell_ID]],Registre_Maintenance[],6,FALSE),"")</f>
        <v/>
      </c>
    </row>
    <row r="149" spans="1:11" x14ac:dyDescent="0.25">
      <c r="A149" s="1" t="s">
        <v>1024</v>
      </c>
      <c r="B149" s="1" t="s">
        <v>1026</v>
      </c>
      <c r="C149" s="2">
        <v>45226.37777777778</v>
      </c>
      <c r="D149" s="3">
        <v>45226.37777777778</v>
      </c>
      <c r="E149">
        <v>74</v>
      </c>
      <c r="F149" s="1" t="s">
        <v>737</v>
      </c>
      <c r="G149" t="str">
        <f>IFERROR(VLOOKUP(Logs_Registre[[#This Row],[Cell_ID]],Registre_Maintenance[],2,FALSE),"")</f>
        <v>Mongala</v>
      </c>
      <c r="H149">
        <f>IFERROR(VLOOKUP(Logs_Registre[[#This Row],[Cell_ID]],Registre_Maintenance[],3,FALSE),"")</f>
        <v>4.6809229999999999</v>
      </c>
      <c r="I149">
        <f>IFERROR(VLOOKUP(Logs_Registre[[#This Row],[Cell_ID]],Registre_Maintenance[],4,FALSE),"")</f>
        <v>28.934242000000001</v>
      </c>
      <c r="J149" t="str">
        <f>IFERROR(VLOOKUP(Logs_Registre[[#This Row],[Cell_ID]],Registre_Maintenance[],5,FALSE),"")</f>
        <v>5G</v>
      </c>
      <c r="K149" t="str">
        <f>IFERROR(VLOOKUP(Logs_Registre[[#This Row],[Cell_ID]],Registre_Maintenance[],6,FALSE),"")</f>
        <v>Nokia</v>
      </c>
    </row>
    <row r="150" spans="1:11" x14ac:dyDescent="0.25">
      <c r="A150" s="1" t="s">
        <v>823</v>
      </c>
      <c r="B150" s="1" t="s">
        <v>856</v>
      </c>
      <c r="C150" s="2">
        <v>45226.321527777778</v>
      </c>
      <c r="D150" s="3">
        <v>45226.321527777778</v>
      </c>
      <c r="E150">
        <v>22</v>
      </c>
      <c r="F150" s="1" t="s">
        <v>737</v>
      </c>
      <c r="G150" t="str">
        <f>IFERROR(VLOOKUP(Logs_Registre[[#This Row],[Cell_ID]],Registre_Maintenance[],2,FALSE),"")</f>
        <v/>
      </c>
      <c r="H150" t="str">
        <f>IFERROR(VLOOKUP(Logs_Registre[[#This Row],[Cell_ID]],Registre_Maintenance[],3,FALSE),"")</f>
        <v/>
      </c>
      <c r="I150" t="str">
        <f>IFERROR(VLOOKUP(Logs_Registre[[#This Row],[Cell_ID]],Registre_Maintenance[],4,FALSE),"")</f>
        <v/>
      </c>
      <c r="J150" t="str">
        <f>IFERROR(VLOOKUP(Logs_Registre[[#This Row],[Cell_ID]],Registre_Maintenance[],5,FALSE),"")</f>
        <v/>
      </c>
      <c r="K150" t="str">
        <f>IFERROR(VLOOKUP(Logs_Registre[[#This Row],[Cell_ID]],Registre_Maintenance[],6,FALSE),"")</f>
        <v/>
      </c>
    </row>
    <row r="151" spans="1:11" x14ac:dyDescent="0.25">
      <c r="A151" s="1" t="s">
        <v>1165</v>
      </c>
      <c r="B151" s="1" t="s">
        <v>1190</v>
      </c>
      <c r="C151" s="2">
        <v>45226.313194444447</v>
      </c>
      <c r="D151" s="3">
        <v>45226.313194444447</v>
      </c>
      <c r="E151">
        <v>66</v>
      </c>
      <c r="F151" s="1" t="s">
        <v>737</v>
      </c>
      <c r="G151" t="str">
        <f>IFERROR(VLOOKUP(Logs_Registre[[#This Row],[Cell_ID]],Registre_Maintenance[],2,FALSE),"")</f>
        <v>Equateur</v>
      </c>
      <c r="H151">
        <f>IFERROR(VLOOKUP(Logs_Registre[[#This Row],[Cell_ID]],Registre_Maintenance[],3,FALSE),"")</f>
        <v>-12.839263000000001</v>
      </c>
      <c r="I151">
        <f>IFERROR(VLOOKUP(Logs_Registre[[#This Row],[Cell_ID]],Registre_Maintenance[],4,FALSE),"")</f>
        <v>12.355677</v>
      </c>
      <c r="J151" t="str">
        <f>IFERROR(VLOOKUP(Logs_Registre[[#This Row],[Cell_ID]],Registre_Maintenance[],5,FALSE),"")</f>
        <v>3G</v>
      </c>
      <c r="K151" t="str">
        <f>IFERROR(VLOOKUP(Logs_Registre[[#This Row],[Cell_ID]],Registre_Maintenance[],6,FALSE),"")</f>
        <v>Huawei</v>
      </c>
    </row>
    <row r="152" spans="1:11" x14ac:dyDescent="0.25">
      <c r="A152" s="1" t="s">
        <v>1308</v>
      </c>
      <c r="B152" s="1" t="s">
        <v>1309</v>
      </c>
      <c r="C152" s="2">
        <v>45226.224999999999</v>
      </c>
      <c r="D152" s="3">
        <v>45226.224999999999</v>
      </c>
      <c r="E152">
        <v>11</v>
      </c>
      <c r="F152" s="1" t="s">
        <v>735</v>
      </c>
      <c r="G152" t="str">
        <f>IFERROR(VLOOKUP(Logs_Registre[[#This Row],[Cell_ID]],Registre_Maintenance[],2,FALSE),"")</f>
        <v>Sankuru</v>
      </c>
      <c r="H152">
        <f>IFERROR(VLOOKUP(Logs_Registre[[#This Row],[Cell_ID]],Registre_Maintenance[],3,FALSE),"")</f>
        <v>-0.157111</v>
      </c>
      <c r="I152">
        <f>IFERROR(VLOOKUP(Logs_Registre[[#This Row],[Cell_ID]],Registre_Maintenance[],4,FALSE),"")</f>
        <v>25.415125</v>
      </c>
      <c r="J152" t="str">
        <f>IFERROR(VLOOKUP(Logs_Registre[[#This Row],[Cell_ID]],Registre_Maintenance[],5,FALSE),"")</f>
        <v>4G</v>
      </c>
      <c r="K152" t="str">
        <f>IFERROR(VLOOKUP(Logs_Registre[[#This Row],[Cell_ID]],Registre_Maintenance[],6,FALSE),"")</f>
        <v>Ericsson</v>
      </c>
    </row>
    <row r="153" spans="1:11" x14ac:dyDescent="0.25">
      <c r="A153" s="1" t="s">
        <v>1288</v>
      </c>
      <c r="B153" s="1" t="s">
        <v>1201</v>
      </c>
      <c r="C153" s="2">
        <v>45226.209027777782</v>
      </c>
      <c r="D153" s="3">
        <v>45226.209027777782</v>
      </c>
      <c r="E153">
        <v>81</v>
      </c>
      <c r="F153" s="1" t="s">
        <v>737</v>
      </c>
      <c r="G153" t="str">
        <f>IFERROR(VLOOKUP(Logs_Registre[[#This Row],[Cell_ID]],Registre_Maintenance[],2,FALSE),"")</f>
        <v>Nord-Ubangi</v>
      </c>
      <c r="H153">
        <f>IFERROR(VLOOKUP(Logs_Registre[[#This Row],[Cell_ID]],Registre_Maintenance[],3,FALSE),"")</f>
        <v>-8.4985189999999999</v>
      </c>
      <c r="I153">
        <f>IFERROR(VLOOKUP(Logs_Registre[[#This Row],[Cell_ID]],Registre_Maintenance[],4,FALSE),"")</f>
        <v>12.929456999999999</v>
      </c>
      <c r="J153" t="str">
        <f>IFERROR(VLOOKUP(Logs_Registre[[#This Row],[Cell_ID]],Registre_Maintenance[],5,FALSE),"")</f>
        <v>4G</v>
      </c>
      <c r="K153" t="str">
        <f>IFERROR(VLOOKUP(Logs_Registre[[#This Row],[Cell_ID]],Registre_Maintenance[],6,FALSE),"")</f>
        <v>Ericsson</v>
      </c>
    </row>
    <row r="154" spans="1:11" x14ac:dyDescent="0.25">
      <c r="A154" s="1" t="s">
        <v>1382</v>
      </c>
      <c r="B154" s="1" t="s">
        <v>782</v>
      </c>
      <c r="C154" s="2">
        <v>45226.17083333333</v>
      </c>
      <c r="D154" s="3">
        <v>45226.17083333333</v>
      </c>
      <c r="E154">
        <v>54</v>
      </c>
      <c r="F154" s="1" t="s">
        <v>732</v>
      </c>
      <c r="G154" t="str">
        <f>IFERROR(VLOOKUP(Logs_Registre[[#This Row],[Cell_ID]],Registre_Maintenance[],2,FALSE),"")</f>
        <v/>
      </c>
      <c r="H154" t="str">
        <f>IFERROR(VLOOKUP(Logs_Registre[[#This Row],[Cell_ID]],Registre_Maintenance[],3,FALSE),"")</f>
        <v/>
      </c>
      <c r="I154" t="str">
        <f>IFERROR(VLOOKUP(Logs_Registre[[#This Row],[Cell_ID]],Registre_Maintenance[],4,FALSE),"")</f>
        <v/>
      </c>
      <c r="J154" t="str">
        <f>IFERROR(VLOOKUP(Logs_Registre[[#This Row],[Cell_ID]],Registre_Maintenance[],5,FALSE),"")</f>
        <v/>
      </c>
      <c r="K154" t="str">
        <f>IFERROR(VLOOKUP(Logs_Registre[[#This Row],[Cell_ID]],Registre_Maintenance[],6,FALSE),"")</f>
        <v/>
      </c>
    </row>
    <row r="155" spans="1:11" x14ac:dyDescent="0.25">
      <c r="A155" s="1" t="s">
        <v>1241</v>
      </c>
      <c r="B155" s="1" t="s">
        <v>1257</v>
      </c>
      <c r="C155" s="2">
        <v>45226.163194444453</v>
      </c>
      <c r="D155" s="3">
        <v>45226.163194444453</v>
      </c>
      <c r="E155">
        <v>36</v>
      </c>
      <c r="F155" s="1" t="s">
        <v>735</v>
      </c>
      <c r="G155" t="str">
        <f>IFERROR(VLOOKUP(Logs_Registre[[#This Row],[Cell_ID]],Registre_Maintenance[],2,FALSE),"")</f>
        <v/>
      </c>
      <c r="H155" t="str">
        <f>IFERROR(VLOOKUP(Logs_Registre[[#This Row],[Cell_ID]],Registre_Maintenance[],3,FALSE),"")</f>
        <v/>
      </c>
      <c r="I155" t="str">
        <f>IFERROR(VLOOKUP(Logs_Registre[[#This Row],[Cell_ID]],Registre_Maintenance[],4,FALSE),"")</f>
        <v/>
      </c>
      <c r="J155" t="str">
        <f>IFERROR(VLOOKUP(Logs_Registre[[#This Row],[Cell_ID]],Registre_Maintenance[],5,FALSE),"")</f>
        <v/>
      </c>
      <c r="K155" t="str">
        <f>IFERROR(VLOOKUP(Logs_Registre[[#This Row],[Cell_ID]],Registre_Maintenance[],6,FALSE),"")</f>
        <v/>
      </c>
    </row>
    <row r="156" spans="1:11" x14ac:dyDescent="0.25">
      <c r="A156" s="1" t="s">
        <v>1404</v>
      </c>
      <c r="B156" s="1" t="s">
        <v>1055</v>
      </c>
      <c r="C156" s="2">
        <v>45226.115972222222</v>
      </c>
      <c r="D156" s="3">
        <v>45226.115972222222</v>
      </c>
      <c r="E156">
        <v>5</v>
      </c>
      <c r="F156" s="1" t="s">
        <v>737</v>
      </c>
      <c r="G156" t="str">
        <f>IFERROR(VLOOKUP(Logs_Registre[[#This Row],[Cell_ID]],Registre_Maintenance[],2,FALSE),"")</f>
        <v>Kasai-Oriental</v>
      </c>
      <c r="H156">
        <f>IFERROR(VLOOKUP(Logs_Registre[[#This Row],[Cell_ID]],Registre_Maintenance[],3,FALSE),"")</f>
        <v>2.486888</v>
      </c>
      <c r="I156">
        <f>IFERROR(VLOOKUP(Logs_Registre[[#This Row],[Cell_ID]],Registre_Maintenance[],4,FALSE),"")</f>
        <v>23.798074</v>
      </c>
      <c r="J156" t="str">
        <f>IFERROR(VLOOKUP(Logs_Registre[[#This Row],[Cell_ID]],Registre_Maintenance[],5,FALSE),"")</f>
        <v>5G</v>
      </c>
      <c r="K156" t="str">
        <f>IFERROR(VLOOKUP(Logs_Registre[[#This Row],[Cell_ID]],Registre_Maintenance[],6,FALSE),"")</f>
        <v>ZTE</v>
      </c>
    </row>
    <row r="157" spans="1:11" x14ac:dyDescent="0.25">
      <c r="A157" s="1" t="s">
        <v>861</v>
      </c>
      <c r="B157" s="1" t="s">
        <v>875</v>
      </c>
      <c r="C157" s="2">
        <v>45226.104166666657</v>
      </c>
      <c r="D157" s="3">
        <v>45226.104166666657</v>
      </c>
      <c r="E157">
        <v>110</v>
      </c>
      <c r="F157" s="1" t="s">
        <v>735</v>
      </c>
      <c r="G157" t="str">
        <f>IFERROR(VLOOKUP(Logs_Registre[[#This Row],[Cell_ID]],Registre_Maintenance[],2,FALSE),"")</f>
        <v/>
      </c>
      <c r="H157" t="str">
        <f>IFERROR(VLOOKUP(Logs_Registre[[#This Row],[Cell_ID]],Registre_Maintenance[],3,FALSE),"")</f>
        <v/>
      </c>
      <c r="I157" t="str">
        <f>IFERROR(VLOOKUP(Logs_Registre[[#This Row],[Cell_ID]],Registre_Maintenance[],4,FALSE),"")</f>
        <v/>
      </c>
      <c r="J157" t="str">
        <f>IFERROR(VLOOKUP(Logs_Registre[[#This Row],[Cell_ID]],Registre_Maintenance[],5,FALSE),"")</f>
        <v/>
      </c>
      <c r="K157" t="str">
        <f>IFERROR(VLOOKUP(Logs_Registre[[#This Row],[Cell_ID]],Registre_Maintenance[],6,FALSE),"")</f>
        <v/>
      </c>
    </row>
    <row r="158" spans="1:11" x14ac:dyDescent="0.25">
      <c r="A158" s="1" t="s">
        <v>902</v>
      </c>
      <c r="B158" s="1" t="s">
        <v>905</v>
      </c>
      <c r="C158" s="2">
        <v>45226.100694444453</v>
      </c>
      <c r="D158" s="3">
        <v>45226.100694444453</v>
      </c>
      <c r="E158">
        <v>110</v>
      </c>
      <c r="F158" s="1" t="s">
        <v>735</v>
      </c>
      <c r="G158" t="str">
        <f>IFERROR(VLOOKUP(Logs_Registre[[#This Row],[Cell_ID]],Registre_Maintenance[],2,FALSE),"")</f>
        <v>Lomami</v>
      </c>
      <c r="H158">
        <f>IFERROR(VLOOKUP(Logs_Registre[[#This Row],[Cell_ID]],Registre_Maintenance[],3,FALSE),"")</f>
        <v>-2.2681789999999999</v>
      </c>
      <c r="I158">
        <f>IFERROR(VLOOKUP(Logs_Registre[[#This Row],[Cell_ID]],Registre_Maintenance[],4,FALSE),"")</f>
        <v>25.699068</v>
      </c>
      <c r="J158" t="str">
        <f>IFERROR(VLOOKUP(Logs_Registre[[#This Row],[Cell_ID]],Registre_Maintenance[],5,FALSE),"")</f>
        <v>3G</v>
      </c>
      <c r="K158" t="str">
        <f>IFERROR(VLOOKUP(Logs_Registre[[#This Row],[Cell_ID]],Registre_Maintenance[],6,FALSE),"")</f>
        <v>ZTE</v>
      </c>
    </row>
    <row r="159" spans="1:11" x14ac:dyDescent="0.25">
      <c r="A159" s="1" t="s">
        <v>730</v>
      </c>
      <c r="B159" s="1" t="s">
        <v>772</v>
      </c>
      <c r="C159" s="2">
        <v>45226.07708333333</v>
      </c>
      <c r="D159" s="3">
        <v>45226.07708333333</v>
      </c>
      <c r="E159">
        <v>101</v>
      </c>
      <c r="F159" s="1" t="s">
        <v>732</v>
      </c>
      <c r="G159" t="str">
        <f>IFERROR(VLOOKUP(Logs_Registre[[#This Row],[Cell_ID]],Registre_Maintenance[],2,FALSE),"")</f>
        <v/>
      </c>
      <c r="H159" t="str">
        <f>IFERROR(VLOOKUP(Logs_Registre[[#This Row],[Cell_ID]],Registre_Maintenance[],3,FALSE),"")</f>
        <v/>
      </c>
      <c r="I159" t="str">
        <f>IFERROR(VLOOKUP(Logs_Registre[[#This Row],[Cell_ID]],Registre_Maintenance[],4,FALSE),"")</f>
        <v/>
      </c>
      <c r="J159" t="str">
        <f>IFERROR(VLOOKUP(Logs_Registre[[#This Row],[Cell_ID]],Registre_Maintenance[],5,FALSE),"")</f>
        <v/>
      </c>
      <c r="K159" t="str">
        <f>IFERROR(VLOOKUP(Logs_Registre[[#This Row],[Cell_ID]],Registre_Maintenance[],6,FALSE),"")</f>
        <v/>
      </c>
    </row>
    <row r="160" spans="1:11" x14ac:dyDescent="0.25">
      <c r="A160" s="1" t="s">
        <v>1382</v>
      </c>
      <c r="B160" s="1" t="s">
        <v>1398</v>
      </c>
      <c r="C160" s="2">
        <v>45226.072222222218</v>
      </c>
      <c r="D160" s="3">
        <v>45226.072222222218</v>
      </c>
      <c r="E160">
        <v>29</v>
      </c>
      <c r="F160" s="1" t="s">
        <v>737</v>
      </c>
      <c r="G160" t="str">
        <f>IFERROR(VLOOKUP(Logs_Registre[[#This Row],[Cell_ID]],Registre_Maintenance[],2,FALSE),"")</f>
        <v/>
      </c>
      <c r="H160" t="str">
        <f>IFERROR(VLOOKUP(Logs_Registre[[#This Row],[Cell_ID]],Registre_Maintenance[],3,FALSE),"")</f>
        <v/>
      </c>
      <c r="I160" t="str">
        <f>IFERROR(VLOOKUP(Logs_Registre[[#This Row],[Cell_ID]],Registre_Maintenance[],4,FALSE),"")</f>
        <v/>
      </c>
      <c r="J160" t="str">
        <f>IFERROR(VLOOKUP(Logs_Registre[[#This Row],[Cell_ID]],Registre_Maintenance[],5,FALSE),"")</f>
        <v/>
      </c>
      <c r="K160" t="str">
        <f>IFERROR(VLOOKUP(Logs_Registre[[#This Row],[Cell_ID]],Registre_Maintenance[],6,FALSE),"")</f>
        <v/>
      </c>
    </row>
    <row r="161" spans="1:11" x14ac:dyDescent="0.25">
      <c r="A161" s="1" t="s">
        <v>823</v>
      </c>
      <c r="B161" s="1" t="s">
        <v>848</v>
      </c>
      <c r="C161" s="2">
        <v>45226.013194444437</v>
      </c>
      <c r="D161" s="3">
        <v>45226.013194444437</v>
      </c>
      <c r="E161">
        <v>107</v>
      </c>
      <c r="F161" s="1" t="s">
        <v>735</v>
      </c>
      <c r="G161" t="str">
        <f>IFERROR(VLOOKUP(Logs_Registre[[#This Row],[Cell_ID]],Registre_Maintenance[],2,FALSE),"")</f>
        <v/>
      </c>
      <c r="H161" t="str">
        <f>IFERROR(VLOOKUP(Logs_Registre[[#This Row],[Cell_ID]],Registre_Maintenance[],3,FALSE),"")</f>
        <v/>
      </c>
      <c r="I161" t="str">
        <f>IFERROR(VLOOKUP(Logs_Registre[[#This Row],[Cell_ID]],Registre_Maintenance[],4,FALSE),"")</f>
        <v/>
      </c>
      <c r="J161" t="str">
        <f>IFERROR(VLOOKUP(Logs_Registre[[#This Row],[Cell_ID]],Registre_Maintenance[],5,FALSE),"")</f>
        <v/>
      </c>
      <c r="K161" t="str">
        <f>IFERROR(VLOOKUP(Logs_Registre[[#This Row],[Cell_ID]],Registre_Maintenance[],6,FALSE),"")</f>
        <v/>
      </c>
    </row>
    <row r="162" spans="1:11" x14ac:dyDescent="0.25">
      <c r="A162" s="1" t="s">
        <v>779</v>
      </c>
      <c r="B162" s="1" t="s">
        <v>733</v>
      </c>
      <c r="C162" s="2">
        <v>45226.003472222219</v>
      </c>
      <c r="D162" s="3">
        <v>45226.003472222219</v>
      </c>
      <c r="E162">
        <v>111</v>
      </c>
      <c r="F162" s="1" t="s">
        <v>732</v>
      </c>
      <c r="G162" t="str">
        <f>IFERROR(VLOOKUP(Logs_Registre[[#This Row],[Cell_ID]],Registre_Maintenance[],2,FALSE),"")</f>
        <v/>
      </c>
      <c r="H162" t="str">
        <f>IFERROR(VLOOKUP(Logs_Registre[[#This Row],[Cell_ID]],Registre_Maintenance[],3,FALSE),"")</f>
        <v/>
      </c>
      <c r="I162" t="str">
        <f>IFERROR(VLOOKUP(Logs_Registre[[#This Row],[Cell_ID]],Registre_Maintenance[],4,FALSE),"")</f>
        <v/>
      </c>
      <c r="J162" t="str">
        <f>IFERROR(VLOOKUP(Logs_Registre[[#This Row],[Cell_ID]],Registre_Maintenance[],5,FALSE),"")</f>
        <v/>
      </c>
      <c r="K162" t="str">
        <f>IFERROR(VLOOKUP(Logs_Registre[[#This Row],[Cell_ID]],Registre_Maintenance[],6,FALSE),"")</f>
        <v/>
      </c>
    </row>
    <row r="163" spans="1:11" x14ac:dyDescent="0.25">
      <c r="A163" s="1" t="s">
        <v>1086</v>
      </c>
      <c r="B163" s="1" t="s">
        <v>1111</v>
      </c>
      <c r="C163" s="2">
        <v>45226.003472222219</v>
      </c>
      <c r="D163" s="3">
        <v>45226.003472222219</v>
      </c>
      <c r="E163">
        <v>76</v>
      </c>
      <c r="F163" s="1" t="s">
        <v>732</v>
      </c>
      <c r="G163" t="str">
        <f>IFERROR(VLOOKUP(Logs_Registre[[#This Row],[Cell_ID]],Registre_Maintenance[],2,FALSE),"")</f>
        <v/>
      </c>
      <c r="H163" t="str">
        <f>IFERROR(VLOOKUP(Logs_Registre[[#This Row],[Cell_ID]],Registre_Maintenance[],3,FALSE),"")</f>
        <v/>
      </c>
      <c r="I163" t="str">
        <f>IFERROR(VLOOKUP(Logs_Registre[[#This Row],[Cell_ID]],Registre_Maintenance[],4,FALSE),"")</f>
        <v/>
      </c>
      <c r="J163" t="str">
        <f>IFERROR(VLOOKUP(Logs_Registre[[#This Row],[Cell_ID]],Registre_Maintenance[],5,FALSE),"")</f>
        <v/>
      </c>
      <c r="K163" t="str">
        <f>IFERROR(VLOOKUP(Logs_Registre[[#This Row],[Cell_ID]],Registre_Maintenance[],6,FALSE),"")</f>
        <v/>
      </c>
    </row>
    <row r="164" spans="1:11" x14ac:dyDescent="0.25">
      <c r="A164" s="1" t="s">
        <v>1114</v>
      </c>
      <c r="B164" s="1" t="s">
        <v>942</v>
      </c>
      <c r="C164" s="2">
        <v>45225.996527777781</v>
      </c>
      <c r="D164" s="3">
        <v>45225.996527777781</v>
      </c>
      <c r="E164">
        <v>55</v>
      </c>
      <c r="F164" s="1" t="s">
        <v>735</v>
      </c>
      <c r="G164" t="str">
        <f>IFERROR(VLOOKUP(Logs_Registre[[#This Row],[Cell_ID]],Registre_Maintenance[],2,FALSE),"")</f>
        <v/>
      </c>
      <c r="H164" t="str">
        <f>IFERROR(VLOOKUP(Logs_Registre[[#This Row],[Cell_ID]],Registre_Maintenance[],3,FALSE),"")</f>
        <v/>
      </c>
      <c r="I164" t="str">
        <f>IFERROR(VLOOKUP(Logs_Registre[[#This Row],[Cell_ID]],Registre_Maintenance[],4,FALSE),"")</f>
        <v/>
      </c>
      <c r="J164" t="str">
        <f>IFERROR(VLOOKUP(Logs_Registre[[#This Row],[Cell_ID]],Registre_Maintenance[],5,FALSE),"")</f>
        <v/>
      </c>
      <c r="K164" t="str">
        <f>IFERROR(VLOOKUP(Logs_Registre[[#This Row],[Cell_ID]],Registre_Maintenance[],6,FALSE),"")</f>
        <v/>
      </c>
    </row>
    <row r="165" spans="1:11" x14ac:dyDescent="0.25">
      <c r="A165" s="1" t="s">
        <v>1165</v>
      </c>
      <c r="B165" s="1" t="s">
        <v>1017</v>
      </c>
      <c r="C165" s="2">
        <v>45225.979166666657</v>
      </c>
      <c r="D165" s="3">
        <v>45225.979166666657</v>
      </c>
      <c r="E165">
        <v>6</v>
      </c>
      <c r="F165" s="1" t="s">
        <v>732</v>
      </c>
      <c r="G165" t="str">
        <f>IFERROR(VLOOKUP(Logs_Registre[[#This Row],[Cell_ID]],Registre_Maintenance[],2,FALSE),"")</f>
        <v>Tshuapa</v>
      </c>
      <c r="H165">
        <f>IFERROR(VLOOKUP(Logs_Registre[[#This Row],[Cell_ID]],Registre_Maintenance[],3,FALSE),"")</f>
        <v>-10.577049000000001</v>
      </c>
      <c r="I165">
        <f>IFERROR(VLOOKUP(Logs_Registre[[#This Row],[Cell_ID]],Registre_Maintenance[],4,FALSE),"")</f>
        <v>23.721854</v>
      </c>
      <c r="J165" t="str">
        <f>IFERROR(VLOOKUP(Logs_Registre[[#This Row],[Cell_ID]],Registre_Maintenance[],5,FALSE),"")</f>
        <v>4G</v>
      </c>
      <c r="K165" t="str">
        <f>IFERROR(VLOOKUP(Logs_Registre[[#This Row],[Cell_ID]],Registre_Maintenance[],6,FALSE),"")</f>
        <v>ZTE</v>
      </c>
    </row>
    <row r="166" spans="1:11" x14ac:dyDescent="0.25">
      <c r="A166" s="1" t="s">
        <v>823</v>
      </c>
      <c r="B166" s="1" t="s">
        <v>852</v>
      </c>
      <c r="C166" s="2">
        <v>45225.965277777781</v>
      </c>
      <c r="D166" s="3">
        <v>45225.965277777781</v>
      </c>
      <c r="E166">
        <v>36</v>
      </c>
      <c r="F166" s="1" t="s">
        <v>732</v>
      </c>
      <c r="G166" t="str">
        <f>IFERROR(VLOOKUP(Logs_Registre[[#This Row],[Cell_ID]],Registre_Maintenance[],2,FALSE),"")</f>
        <v>Tanganyika</v>
      </c>
      <c r="H166">
        <f>IFERROR(VLOOKUP(Logs_Registre[[#This Row],[Cell_ID]],Registre_Maintenance[],3,FALSE),"")</f>
        <v>-9.002459</v>
      </c>
      <c r="I166">
        <f>IFERROR(VLOOKUP(Logs_Registre[[#This Row],[Cell_ID]],Registre_Maintenance[],4,FALSE),"")</f>
        <v>25.182109000000001</v>
      </c>
      <c r="J166" t="str">
        <f>IFERROR(VLOOKUP(Logs_Registre[[#This Row],[Cell_ID]],Registre_Maintenance[],5,FALSE),"")</f>
        <v>5G</v>
      </c>
      <c r="K166" t="str">
        <f>IFERROR(VLOOKUP(Logs_Registre[[#This Row],[Cell_ID]],Registre_Maintenance[],6,FALSE),"")</f>
        <v>Huawei</v>
      </c>
    </row>
    <row r="167" spans="1:11" x14ac:dyDescent="0.25">
      <c r="A167" s="1" t="s">
        <v>1261</v>
      </c>
      <c r="B167" s="1" t="s">
        <v>1281</v>
      </c>
      <c r="C167" s="2">
        <v>45225.949305555558</v>
      </c>
      <c r="D167" s="3">
        <v>45225.949305555558</v>
      </c>
      <c r="E167">
        <v>117</v>
      </c>
      <c r="F167" s="1" t="s">
        <v>732</v>
      </c>
      <c r="G167" t="str">
        <f>IFERROR(VLOOKUP(Logs_Registre[[#This Row],[Cell_ID]],Registre_Maintenance[],2,FALSE),"")</f>
        <v/>
      </c>
      <c r="H167" t="str">
        <f>IFERROR(VLOOKUP(Logs_Registre[[#This Row],[Cell_ID]],Registre_Maintenance[],3,FALSE),"")</f>
        <v/>
      </c>
      <c r="I167" t="str">
        <f>IFERROR(VLOOKUP(Logs_Registre[[#This Row],[Cell_ID]],Registre_Maintenance[],4,FALSE),"")</f>
        <v/>
      </c>
      <c r="J167" t="str">
        <f>IFERROR(VLOOKUP(Logs_Registre[[#This Row],[Cell_ID]],Registre_Maintenance[],5,FALSE),"")</f>
        <v/>
      </c>
      <c r="K167" t="str">
        <f>IFERROR(VLOOKUP(Logs_Registre[[#This Row],[Cell_ID]],Registre_Maintenance[],6,FALSE),"")</f>
        <v/>
      </c>
    </row>
    <row r="168" spans="1:11" x14ac:dyDescent="0.25">
      <c r="A168" s="1" t="s">
        <v>1193</v>
      </c>
      <c r="B168" s="1" t="s">
        <v>1195</v>
      </c>
      <c r="C168" s="2">
        <v>45225.948611111111</v>
      </c>
      <c r="D168" s="3">
        <v>45225.948611111111</v>
      </c>
      <c r="E168">
        <v>30</v>
      </c>
      <c r="F168" s="1" t="s">
        <v>732</v>
      </c>
      <c r="G168" t="str">
        <f>IFERROR(VLOOKUP(Logs_Registre[[#This Row],[Cell_ID]],Registre_Maintenance[],2,FALSE),"")</f>
        <v>Kwango</v>
      </c>
      <c r="H168">
        <f>IFERROR(VLOOKUP(Logs_Registre[[#This Row],[Cell_ID]],Registre_Maintenance[],3,FALSE),"")</f>
        <v>-10.653247</v>
      </c>
      <c r="I168">
        <f>IFERROR(VLOOKUP(Logs_Registre[[#This Row],[Cell_ID]],Registre_Maintenance[],4,FALSE),"")</f>
        <v>14.685601</v>
      </c>
      <c r="J168" t="str">
        <f>IFERROR(VLOOKUP(Logs_Registre[[#This Row],[Cell_ID]],Registre_Maintenance[],5,FALSE),"")</f>
        <v>4G</v>
      </c>
      <c r="K168" t="str">
        <f>IFERROR(VLOOKUP(Logs_Registre[[#This Row],[Cell_ID]],Registre_Maintenance[],6,FALSE),"")</f>
        <v>Ericsson</v>
      </c>
    </row>
    <row r="169" spans="1:11" x14ac:dyDescent="0.25">
      <c r="A169" s="1" t="s">
        <v>1219</v>
      </c>
      <c r="B169" s="1" t="s">
        <v>1161</v>
      </c>
      <c r="C169" s="2">
        <v>45225.921527777777</v>
      </c>
      <c r="D169" s="3">
        <v>45225.921527777777</v>
      </c>
      <c r="E169">
        <v>45</v>
      </c>
      <c r="F169" s="1" t="s">
        <v>732</v>
      </c>
      <c r="G169" t="str">
        <f>IFERROR(VLOOKUP(Logs_Registre[[#This Row],[Cell_ID]],Registre_Maintenance[],2,FALSE),"")</f>
        <v/>
      </c>
      <c r="H169" t="str">
        <f>IFERROR(VLOOKUP(Logs_Registre[[#This Row],[Cell_ID]],Registre_Maintenance[],3,FALSE),"")</f>
        <v/>
      </c>
      <c r="I169" t="str">
        <f>IFERROR(VLOOKUP(Logs_Registre[[#This Row],[Cell_ID]],Registre_Maintenance[],4,FALSE),"")</f>
        <v/>
      </c>
      <c r="J169" t="str">
        <f>IFERROR(VLOOKUP(Logs_Registre[[#This Row],[Cell_ID]],Registre_Maintenance[],5,FALSE),"")</f>
        <v/>
      </c>
      <c r="K169" t="str">
        <f>IFERROR(VLOOKUP(Logs_Registre[[#This Row],[Cell_ID]],Registre_Maintenance[],6,FALSE),"")</f>
        <v/>
      </c>
    </row>
    <row r="170" spans="1:11" x14ac:dyDescent="0.25">
      <c r="A170" s="1" t="s">
        <v>1404</v>
      </c>
      <c r="B170" s="1" t="s">
        <v>1411</v>
      </c>
      <c r="C170" s="2">
        <v>45225.888194444437</v>
      </c>
      <c r="D170" s="3">
        <v>45225.888194444437</v>
      </c>
      <c r="E170">
        <v>87</v>
      </c>
      <c r="F170" s="1" t="s">
        <v>737</v>
      </c>
      <c r="G170" t="str">
        <f>IFERROR(VLOOKUP(Logs_Registre[[#This Row],[Cell_ID]],Registre_Maintenance[],2,FALSE),"")</f>
        <v>Haut-Lomami</v>
      </c>
      <c r="H170">
        <f>IFERROR(VLOOKUP(Logs_Registre[[#This Row],[Cell_ID]],Registre_Maintenance[],3,FALSE),"")</f>
        <v>-5.8145569999999998</v>
      </c>
      <c r="I170">
        <f>IFERROR(VLOOKUP(Logs_Registre[[#This Row],[Cell_ID]],Registre_Maintenance[],4,FALSE),"")</f>
        <v>21.942052</v>
      </c>
      <c r="J170" t="str">
        <f>IFERROR(VLOOKUP(Logs_Registre[[#This Row],[Cell_ID]],Registre_Maintenance[],5,FALSE),"")</f>
        <v>5G</v>
      </c>
      <c r="K170" t="str">
        <f>IFERROR(VLOOKUP(Logs_Registre[[#This Row],[Cell_ID]],Registre_Maintenance[],6,FALSE),"")</f>
        <v>Huawei</v>
      </c>
    </row>
    <row r="171" spans="1:11" x14ac:dyDescent="0.25">
      <c r="A171" s="1" t="s">
        <v>902</v>
      </c>
      <c r="B171" s="1" t="s">
        <v>926</v>
      </c>
      <c r="C171" s="2">
        <v>45225.859027777777</v>
      </c>
      <c r="D171" s="3">
        <v>45225.859027777777</v>
      </c>
      <c r="E171">
        <v>90</v>
      </c>
      <c r="F171" s="1" t="s">
        <v>735</v>
      </c>
      <c r="G171" t="str">
        <f>IFERROR(VLOOKUP(Logs_Registre[[#This Row],[Cell_ID]],Registre_Maintenance[],2,FALSE),"")</f>
        <v/>
      </c>
      <c r="H171" t="str">
        <f>IFERROR(VLOOKUP(Logs_Registre[[#This Row],[Cell_ID]],Registre_Maintenance[],3,FALSE),"")</f>
        <v/>
      </c>
      <c r="I171" t="str">
        <f>IFERROR(VLOOKUP(Logs_Registre[[#This Row],[Cell_ID]],Registre_Maintenance[],4,FALSE),"")</f>
        <v/>
      </c>
      <c r="J171" t="str">
        <f>IFERROR(VLOOKUP(Logs_Registre[[#This Row],[Cell_ID]],Registre_Maintenance[],5,FALSE),"")</f>
        <v/>
      </c>
      <c r="K171" t="str">
        <f>IFERROR(VLOOKUP(Logs_Registre[[#This Row],[Cell_ID]],Registre_Maintenance[],6,FALSE),"")</f>
        <v/>
      </c>
    </row>
    <row r="172" spans="1:11" x14ac:dyDescent="0.25">
      <c r="A172" s="1" t="s">
        <v>1193</v>
      </c>
      <c r="B172" s="1" t="s">
        <v>1205</v>
      </c>
      <c r="C172" s="2">
        <v>45225.839583333327</v>
      </c>
      <c r="D172" s="3">
        <v>45225.839583333327</v>
      </c>
      <c r="E172">
        <v>60</v>
      </c>
      <c r="F172" s="1" t="s">
        <v>737</v>
      </c>
      <c r="G172" t="str">
        <f>IFERROR(VLOOKUP(Logs_Registre[[#This Row],[Cell_ID]],Registre_Maintenance[],2,FALSE),"")</f>
        <v/>
      </c>
      <c r="H172" t="str">
        <f>IFERROR(VLOOKUP(Logs_Registre[[#This Row],[Cell_ID]],Registre_Maintenance[],3,FALSE),"")</f>
        <v/>
      </c>
      <c r="I172" t="str">
        <f>IFERROR(VLOOKUP(Logs_Registre[[#This Row],[Cell_ID]],Registre_Maintenance[],4,FALSE),"")</f>
        <v/>
      </c>
      <c r="J172" t="str">
        <f>IFERROR(VLOOKUP(Logs_Registre[[#This Row],[Cell_ID]],Registre_Maintenance[],5,FALSE),"")</f>
        <v/>
      </c>
      <c r="K172" t="str">
        <f>IFERROR(VLOOKUP(Logs_Registre[[#This Row],[Cell_ID]],Registre_Maintenance[],6,FALSE),"")</f>
        <v/>
      </c>
    </row>
    <row r="173" spans="1:11" x14ac:dyDescent="0.25">
      <c r="A173" s="1" t="s">
        <v>1165</v>
      </c>
      <c r="B173" s="1" t="s">
        <v>1177</v>
      </c>
      <c r="C173" s="2">
        <v>45225.781944444447</v>
      </c>
      <c r="D173" s="3">
        <v>45225.781944444447</v>
      </c>
      <c r="E173">
        <v>113</v>
      </c>
      <c r="F173" s="1" t="s">
        <v>735</v>
      </c>
      <c r="G173" t="str">
        <f>IFERROR(VLOOKUP(Logs_Registre[[#This Row],[Cell_ID]],Registre_Maintenance[],2,FALSE),"")</f>
        <v>Tanganyika</v>
      </c>
      <c r="H173">
        <f>IFERROR(VLOOKUP(Logs_Registre[[#This Row],[Cell_ID]],Registre_Maintenance[],3,FALSE),"")</f>
        <v>-7.9425049999999997</v>
      </c>
      <c r="I173">
        <f>IFERROR(VLOOKUP(Logs_Registre[[#This Row],[Cell_ID]],Registre_Maintenance[],4,FALSE),"")</f>
        <v>24.111059000000001</v>
      </c>
      <c r="J173" t="str">
        <f>IFERROR(VLOOKUP(Logs_Registre[[#This Row],[Cell_ID]],Registre_Maintenance[],5,FALSE),"")</f>
        <v>3G</v>
      </c>
      <c r="K173" t="str">
        <f>IFERROR(VLOOKUP(Logs_Registre[[#This Row],[Cell_ID]],Registre_Maintenance[],6,FALSE),"")</f>
        <v>ZTE</v>
      </c>
    </row>
    <row r="174" spans="1:11" x14ac:dyDescent="0.25">
      <c r="A174" s="1" t="s">
        <v>1361</v>
      </c>
      <c r="B174" s="1" t="s">
        <v>1370</v>
      </c>
      <c r="C174" s="2">
        <v>45225.779861111107</v>
      </c>
      <c r="D174" s="3">
        <v>45225.779861111107</v>
      </c>
      <c r="E174">
        <v>69</v>
      </c>
      <c r="F174" s="1" t="s">
        <v>735</v>
      </c>
      <c r="G174" t="str">
        <f>IFERROR(VLOOKUP(Logs_Registre[[#This Row],[Cell_ID]],Registre_Maintenance[],2,FALSE),"")</f>
        <v/>
      </c>
      <c r="H174" t="str">
        <f>IFERROR(VLOOKUP(Logs_Registre[[#This Row],[Cell_ID]],Registre_Maintenance[],3,FALSE),"")</f>
        <v/>
      </c>
      <c r="I174" t="str">
        <f>IFERROR(VLOOKUP(Logs_Registre[[#This Row],[Cell_ID]],Registre_Maintenance[],4,FALSE),"")</f>
        <v/>
      </c>
      <c r="J174" t="str">
        <f>IFERROR(VLOOKUP(Logs_Registre[[#This Row],[Cell_ID]],Registre_Maintenance[],5,FALSE),"")</f>
        <v/>
      </c>
      <c r="K174" t="str">
        <f>IFERROR(VLOOKUP(Logs_Registre[[#This Row],[Cell_ID]],Registre_Maintenance[],6,FALSE),"")</f>
        <v/>
      </c>
    </row>
    <row r="175" spans="1:11" x14ac:dyDescent="0.25">
      <c r="A175" s="1" t="s">
        <v>1024</v>
      </c>
      <c r="B175" s="1" t="s">
        <v>1031</v>
      </c>
      <c r="C175" s="2">
        <v>45225.77847222222</v>
      </c>
      <c r="D175" s="3">
        <v>45225.77847222222</v>
      </c>
      <c r="E175">
        <v>89</v>
      </c>
      <c r="F175" s="1" t="s">
        <v>732</v>
      </c>
      <c r="G175" t="str">
        <f>IFERROR(VLOOKUP(Logs_Registre[[#This Row],[Cell_ID]],Registre_Maintenance[],2,FALSE),"")</f>
        <v/>
      </c>
      <c r="H175" t="str">
        <f>IFERROR(VLOOKUP(Logs_Registre[[#This Row],[Cell_ID]],Registre_Maintenance[],3,FALSE),"")</f>
        <v/>
      </c>
      <c r="I175" t="str">
        <f>IFERROR(VLOOKUP(Logs_Registre[[#This Row],[Cell_ID]],Registre_Maintenance[],4,FALSE),"")</f>
        <v/>
      </c>
      <c r="J175" t="str">
        <f>IFERROR(VLOOKUP(Logs_Registre[[#This Row],[Cell_ID]],Registre_Maintenance[],5,FALSE),"")</f>
        <v/>
      </c>
      <c r="K175" t="str">
        <f>IFERROR(VLOOKUP(Logs_Registre[[#This Row],[Cell_ID]],Registre_Maintenance[],6,FALSE),"")</f>
        <v/>
      </c>
    </row>
    <row r="176" spans="1:11" x14ac:dyDescent="0.25">
      <c r="A176" s="1" t="s">
        <v>823</v>
      </c>
      <c r="B176" s="1" t="s">
        <v>797</v>
      </c>
      <c r="C176" s="2">
        <v>45225.776388888888</v>
      </c>
      <c r="D176" s="3">
        <v>45225.776388888888</v>
      </c>
      <c r="E176">
        <v>71</v>
      </c>
      <c r="F176" s="1" t="s">
        <v>732</v>
      </c>
      <c r="G176" t="str">
        <f>IFERROR(VLOOKUP(Logs_Registre[[#This Row],[Cell_ID]],Registre_Maintenance[],2,FALSE),"")</f>
        <v>Nord-Kivu</v>
      </c>
      <c r="H176">
        <f>IFERROR(VLOOKUP(Logs_Registre[[#This Row],[Cell_ID]],Registre_Maintenance[],3,FALSE),"")</f>
        <v>0.82868600000000003</v>
      </c>
      <c r="I176">
        <f>IFERROR(VLOOKUP(Logs_Registre[[#This Row],[Cell_ID]],Registre_Maintenance[],4,FALSE),"")</f>
        <v>26.958843999999999</v>
      </c>
      <c r="J176" t="str">
        <f>IFERROR(VLOOKUP(Logs_Registre[[#This Row],[Cell_ID]],Registre_Maintenance[],5,FALSE),"")</f>
        <v>5G</v>
      </c>
      <c r="K176" t="str">
        <f>IFERROR(VLOOKUP(Logs_Registre[[#This Row],[Cell_ID]],Registre_Maintenance[],6,FALSE),"")</f>
        <v>ZTE</v>
      </c>
    </row>
    <row r="177" spans="1:11" x14ac:dyDescent="0.25">
      <c r="A177" s="1" t="s">
        <v>779</v>
      </c>
      <c r="B177" s="1" t="s">
        <v>800</v>
      </c>
      <c r="C177" s="2">
        <v>45225.737500000003</v>
      </c>
      <c r="D177" s="3">
        <v>45225.737500000003</v>
      </c>
      <c r="E177">
        <v>6</v>
      </c>
      <c r="F177" s="1" t="s">
        <v>735</v>
      </c>
      <c r="G177" t="str">
        <f>IFERROR(VLOOKUP(Logs_Registre[[#This Row],[Cell_ID]],Registre_Maintenance[],2,FALSE),"")</f>
        <v/>
      </c>
      <c r="H177" t="str">
        <f>IFERROR(VLOOKUP(Logs_Registre[[#This Row],[Cell_ID]],Registre_Maintenance[],3,FALSE),"")</f>
        <v/>
      </c>
      <c r="I177" t="str">
        <f>IFERROR(VLOOKUP(Logs_Registre[[#This Row],[Cell_ID]],Registre_Maintenance[],4,FALSE),"")</f>
        <v/>
      </c>
      <c r="J177" t="str">
        <f>IFERROR(VLOOKUP(Logs_Registre[[#This Row],[Cell_ID]],Registre_Maintenance[],5,FALSE),"")</f>
        <v/>
      </c>
      <c r="K177" t="str">
        <f>IFERROR(VLOOKUP(Logs_Registre[[#This Row],[Cell_ID]],Registre_Maintenance[],6,FALSE),"")</f>
        <v/>
      </c>
    </row>
    <row r="178" spans="1:11" x14ac:dyDescent="0.25">
      <c r="A178" s="1" t="s">
        <v>779</v>
      </c>
      <c r="B178" s="1" t="s">
        <v>792</v>
      </c>
      <c r="C178" s="2">
        <v>45225.712500000001</v>
      </c>
      <c r="D178" s="3">
        <v>45225.712500000001</v>
      </c>
      <c r="E178">
        <v>25</v>
      </c>
      <c r="F178" s="1" t="s">
        <v>732</v>
      </c>
      <c r="G178" t="str">
        <f>IFERROR(VLOOKUP(Logs_Registre[[#This Row],[Cell_ID]],Registre_Maintenance[],2,FALSE),"")</f>
        <v>Haut-Katanga</v>
      </c>
      <c r="H178">
        <f>IFERROR(VLOOKUP(Logs_Registre[[#This Row],[Cell_ID]],Registre_Maintenance[],3,FALSE),"")</f>
        <v>-5.5445120000000001</v>
      </c>
      <c r="I178">
        <f>IFERROR(VLOOKUP(Logs_Registre[[#This Row],[Cell_ID]],Registre_Maintenance[],4,FALSE),"")</f>
        <v>27.547335</v>
      </c>
      <c r="J178" t="str">
        <f>IFERROR(VLOOKUP(Logs_Registre[[#This Row],[Cell_ID]],Registre_Maintenance[],5,FALSE),"")</f>
        <v>4G</v>
      </c>
      <c r="K178" t="str">
        <f>IFERROR(VLOOKUP(Logs_Registre[[#This Row],[Cell_ID]],Registre_Maintenance[],6,FALSE),"")</f>
        <v>Ericsson</v>
      </c>
    </row>
    <row r="179" spans="1:11" x14ac:dyDescent="0.25">
      <c r="A179" s="1" t="s">
        <v>779</v>
      </c>
      <c r="B179" s="1" t="s">
        <v>781</v>
      </c>
      <c r="C179" s="2">
        <v>45225.660416666673</v>
      </c>
      <c r="D179" s="3">
        <v>45225.660416666673</v>
      </c>
      <c r="E179">
        <v>14</v>
      </c>
      <c r="F179" s="1" t="s">
        <v>732</v>
      </c>
      <c r="G179" t="str">
        <f>IFERROR(VLOOKUP(Logs_Registre[[#This Row],[Cell_ID]],Registre_Maintenance[],2,FALSE),"")</f>
        <v/>
      </c>
      <c r="H179" t="str">
        <f>IFERROR(VLOOKUP(Logs_Registre[[#This Row],[Cell_ID]],Registre_Maintenance[],3,FALSE),"")</f>
        <v/>
      </c>
      <c r="I179" t="str">
        <f>IFERROR(VLOOKUP(Logs_Registre[[#This Row],[Cell_ID]],Registre_Maintenance[],4,FALSE),"")</f>
        <v/>
      </c>
      <c r="J179" t="str">
        <f>IFERROR(VLOOKUP(Logs_Registre[[#This Row],[Cell_ID]],Registre_Maintenance[],5,FALSE),"")</f>
        <v/>
      </c>
      <c r="K179" t="str">
        <f>IFERROR(VLOOKUP(Logs_Registre[[#This Row],[Cell_ID]],Registre_Maintenance[],6,FALSE),"")</f>
        <v/>
      </c>
    </row>
    <row r="180" spans="1:11" x14ac:dyDescent="0.25">
      <c r="A180" s="1" t="s">
        <v>1114</v>
      </c>
      <c r="B180" s="1" t="s">
        <v>1116</v>
      </c>
      <c r="C180" s="2">
        <v>45225.647916666669</v>
      </c>
      <c r="D180" s="3">
        <v>45225.647916666669</v>
      </c>
      <c r="E180">
        <v>49</v>
      </c>
      <c r="F180" s="1" t="s">
        <v>732</v>
      </c>
      <c r="G180" t="str">
        <f>IFERROR(VLOOKUP(Logs_Registre[[#This Row],[Cell_ID]],Registre_Maintenance[],2,FALSE),"")</f>
        <v/>
      </c>
      <c r="H180" t="str">
        <f>IFERROR(VLOOKUP(Logs_Registre[[#This Row],[Cell_ID]],Registre_Maintenance[],3,FALSE),"")</f>
        <v/>
      </c>
      <c r="I180" t="str">
        <f>IFERROR(VLOOKUP(Logs_Registre[[#This Row],[Cell_ID]],Registre_Maintenance[],4,FALSE),"")</f>
        <v/>
      </c>
      <c r="J180" t="str">
        <f>IFERROR(VLOOKUP(Logs_Registre[[#This Row],[Cell_ID]],Registre_Maintenance[],5,FALSE),"")</f>
        <v/>
      </c>
      <c r="K180" t="str">
        <f>IFERROR(VLOOKUP(Logs_Registre[[#This Row],[Cell_ID]],Registre_Maintenance[],6,FALSE),"")</f>
        <v/>
      </c>
    </row>
    <row r="181" spans="1:11" x14ac:dyDescent="0.25">
      <c r="A181" s="1" t="s">
        <v>1086</v>
      </c>
      <c r="B181" s="1" t="s">
        <v>1092</v>
      </c>
      <c r="C181" s="2">
        <v>45225.625694444447</v>
      </c>
      <c r="D181" s="3">
        <v>45225.625694444447</v>
      </c>
      <c r="E181">
        <v>108</v>
      </c>
      <c r="F181" s="1" t="s">
        <v>737</v>
      </c>
      <c r="G181" t="str">
        <f>IFERROR(VLOOKUP(Logs_Registre[[#This Row],[Cell_ID]],Registre_Maintenance[],2,FALSE),"")</f>
        <v>Sud-Ubangi</v>
      </c>
      <c r="H181">
        <f>IFERROR(VLOOKUP(Logs_Registre[[#This Row],[Cell_ID]],Registre_Maintenance[],3,FALSE),"")</f>
        <v>-10.611184</v>
      </c>
      <c r="I181">
        <f>IFERROR(VLOOKUP(Logs_Registre[[#This Row],[Cell_ID]],Registre_Maintenance[],4,FALSE),"")</f>
        <v>23.022268</v>
      </c>
      <c r="J181" t="str">
        <f>IFERROR(VLOOKUP(Logs_Registre[[#This Row],[Cell_ID]],Registre_Maintenance[],5,FALSE),"")</f>
        <v>5G</v>
      </c>
      <c r="K181" t="str">
        <f>IFERROR(VLOOKUP(Logs_Registre[[#This Row],[Cell_ID]],Registre_Maintenance[],6,FALSE),"")</f>
        <v>ZTE</v>
      </c>
    </row>
    <row r="182" spans="1:11" x14ac:dyDescent="0.25">
      <c r="A182" s="1" t="s">
        <v>1165</v>
      </c>
      <c r="B182" s="1" t="s">
        <v>1170</v>
      </c>
      <c r="C182" s="2">
        <v>45225.623611111107</v>
      </c>
      <c r="D182" s="3">
        <v>45225.623611111107</v>
      </c>
      <c r="E182">
        <v>22</v>
      </c>
      <c r="F182" s="1" t="s">
        <v>732</v>
      </c>
      <c r="G182" t="str">
        <f>IFERROR(VLOOKUP(Logs_Registre[[#This Row],[Cell_ID]],Registre_Maintenance[],2,FALSE),"")</f>
        <v>Mai-Ndombe</v>
      </c>
      <c r="H182">
        <f>IFERROR(VLOOKUP(Logs_Registre[[#This Row],[Cell_ID]],Registre_Maintenance[],3,FALSE),"")</f>
        <v>-0.47411900000000001</v>
      </c>
      <c r="I182">
        <f>IFERROR(VLOOKUP(Logs_Registre[[#This Row],[Cell_ID]],Registre_Maintenance[],4,FALSE),"")</f>
        <v>27.184329000000002</v>
      </c>
      <c r="J182" t="str">
        <f>IFERROR(VLOOKUP(Logs_Registre[[#This Row],[Cell_ID]],Registre_Maintenance[],5,FALSE),"")</f>
        <v>5G</v>
      </c>
      <c r="K182" t="str">
        <f>IFERROR(VLOOKUP(Logs_Registre[[#This Row],[Cell_ID]],Registre_Maintenance[],6,FALSE),"")</f>
        <v>ZTE</v>
      </c>
    </row>
    <row r="183" spans="1:11" x14ac:dyDescent="0.25">
      <c r="A183" s="1" t="s">
        <v>939</v>
      </c>
      <c r="B183" s="1" t="s">
        <v>970</v>
      </c>
      <c r="C183" s="2">
        <v>45225.622916666667</v>
      </c>
      <c r="D183" s="3">
        <v>45225.622916666667</v>
      </c>
      <c r="E183">
        <v>86</v>
      </c>
      <c r="F183" s="1" t="s">
        <v>732</v>
      </c>
      <c r="G183" t="str">
        <f>IFERROR(VLOOKUP(Logs_Registre[[#This Row],[Cell_ID]],Registre_Maintenance[],2,FALSE),"")</f>
        <v>Kasai</v>
      </c>
      <c r="H183">
        <f>IFERROR(VLOOKUP(Logs_Registre[[#This Row],[Cell_ID]],Registre_Maintenance[],3,FALSE),"")</f>
        <v>-10.165072</v>
      </c>
      <c r="I183">
        <f>IFERROR(VLOOKUP(Logs_Registre[[#This Row],[Cell_ID]],Registre_Maintenance[],4,FALSE),"")</f>
        <v>29.428024000000001</v>
      </c>
      <c r="J183" t="str">
        <f>IFERROR(VLOOKUP(Logs_Registre[[#This Row],[Cell_ID]],Registre_Maintenance[],5,FALSE),"")</f>
        <v>5G</v>
      </c>
      <c r="K183" t="str">
        <f>IFERROR(VLOOKUP(Logs_Registre[[#This Row],[Cell_ID]],Registre_Maintenance[],6,FALSE),"")</f>
        <v>Huawei</v>
      </c>
    </row>
    <row r="184" spans="1:11" x14ac:dyDescent="0.25">
      <c r="A184" s="1" t="s">
        <v>1261</v>
      </c>
      <c r="B184" s="1" t="s">
        <v>1269</v>
      </c>
      <c r="C184" s="2">
        <v>45225.553472222222</v>
      </c>
      <c r="D184" s="3">
        <v>45225.553472222222</v>
      </c>
      <c r="E184">
        <v>120</v>
      </c>
      <c r="F184" s="1" t="s">
        <v>732</v>
      </c>
      <c r="G184" t="str">
        <f>IFERROR(VLOOKUP(Logs_Registre[[#This Row],[Cell_ID]],Registre_Maintenance[],2,FALSE),"")</f>
        <v/>
      </c>
      <c r="H184" t="str">
        <f>IFERROR(VLOOKUP(Logs_Registre[[#This Row],[Cell_ID]],Registre_Maintenance[],3,FALSE),"")</f>
        <v/>
      </c>
      <c r="I184" t="str">
        <f>IFERROR(VLOOKUP(Logs_Registre[[#This Row],[Cell_ID]],Registre_Maintenance[],4,FALSE),"")</f>
        <v/>
      </c>
      <c r="J184" t="str">
        <f>IFERROR(VLOOKUP(Logs_Registre[[#This Row],[Cell_ID]],Registre_Maintenance[],5,FALSE),"")</f>
        <v/>
      </c>
      <c r="K184" t="str">
        <f>IFERROR(VLOOKUP(Logs_Registre[[#This Row],[Cell_ID]],Registre_Maintenance[],6,FALSE),"")</f>
        <v/>
      </c>
    </row>
    <row r="185" spans="1:11" x14ac:dyDescent="0.25">
      <c r="A185" s="1" t="s">
        <v>1219</v>
      </c>
      <c r="B185" s="1" t="s">
        <v>1231</v>
      </c>
      <c r="C185" s="2">
        <v>45225.527777777781</v>
      </c>
      <c r="D185" s="3">
        <v>45225.527777777781</v>
      </c>
      <c r="E185">
        <v>6</v>
      </c>
      <c r="F185" s="1" t="s">
        <v>735</v>
      </c>
      <c r="G185" t="str">
        <f>IFERROR(VLOOKUP(Logs_Registre[[#This Row],[Cell_ID]],Registre_Maintenance[],2,FALSE),"")</f>
        <v/>
      </c>
      <c r="H185" t="str">
        <f>IFERROR(VLOOKUP(Logs_Registre[[#This Row],[Cell_ID]],Registre_Maintenance[],3,FALSE),"")</f>
        <v/>
      </c>
      <c r="I185" t="str">
        <f>IFERROR(VLOOKUP(Logs_Registre[[#This Row],[Cell_ID]],Registre_Maintenance[],4,FALSE),"")</f>
        <v/>
      </c>
      <c r="J185" t="str">
        <f>IFERROR(VLOOKUP(Logs_Registre[[#This Row],[Cell_ID]],Registre_Maintenance[],5,FALSE),"")</f>
        <v/>
      </c>
      <c r="K185" t="str">
        <f>IFERROR(VLOOKUP(Logs_Registre[[#This Row],[Cell_ID]],Registre_Maintenance[],6,FALSE),"")</f>
        <v/>
      </c>
    </row>
    <row r="186" spans="1:11" x14ac:dyDescent="0.25">
      <c r="A186" s="1" t="s">
        <v>1345</v>
      </c>
      <c r="B186" s="1" t="s">
        <v>904</v>
      </c>
      <c r="C186" s="2">
        <v>45225.432638888888</v>
      </c>
      <c r="D186" s="3">
        <v>45225.432638888888</v>
      </c>
      <c r="E186">
        <v>50</v>
      </c>
      <c r="F186" s="1" t="s">
        <v>735</v>
      </c>
      <c r="G186" t="str">
        <f>IFERROR(VLOOKUP(Logs_Registre[[#This Row],[Cell_ID]],Registre_Maintenance[],2,FALSE),"")</f>
        <v/>
      </c>
      <c r="H186" t="str">
        <f>IFERROR(VLOOKUP(Logs_Registre[[#This Row],[Cell_ID]],Registre_Maintenance[],3,FALSE),"")</f>
        <v/>
      </c>
      <c r="I186" t="str">
        <f>IFERROR(VLOOKUP(Logs_Registre[[#This Row],[Cell_ID]],Registre_Maintenance[],4,FALSE),"")</f>
        <v/>
      </c>
      <c r="J186" t="str">
        <f>IFERROR(VLOOKUP(Logs_Registre[[#This Row],[Cell_ID]],Registre_Maintenance[],5,FALSE),"")</f>
        <v/>
      </c>
      <c r="K186" t="str">
        <f>IFERROR(VLOOKUP(Logs_Registre[[#This Row],[Cell_ID]],Registre_Maintenance[],6,FALSE),"")</f>
        <v/>
      </c>
    </row>
    <row r="187" spans="1:11" x14ac:dyDescent="0.25">
      <c r="A187" s="1" t="s">
        <v>1219</v>
      </c>
      <c r="B187" s="1" t="s">
        <v>1238</v>
      </c>
      <c r="C187" s="2">
        <v>45225.415277777778</v>
      </c>
      <c r="D187" s="3">
        <v>45225.415277777778</v>
      </c>
      <c r="E187">
        <v>15</v>
      </c>
      <c r="F187" s="1" t="s">
        <v>732</v>
      </c>
      <c r="G187" t="str">
        <f>IFERROR(VLOOKUP(Logs_Registre[[#This Row],[Cell_ID]],Registre_Maintenance[],2,FALSE),"")</f>
        <v/>
      </c>
      <c r="H187" t="str">
        <f>IFERROR(VLOOKUP(Logs_Registre[[#This Row],[Cell_ID]],Registre_Maintenance[],3,FALSE),"")</f>
        <v/>
      </c>
      <c r="I187" t="str">
        <f>IFERROR(VLOOKUP(Logs_Registre[[#This Row],[Cell_ID]],Registre_Maintenance[],4,FALSE),"")</f>
        <v/>
      </c>
      <c r="J187" t="str">
        <f>IFERROR(VLOOKUP(Logs_Registre[[#This Row],[Cell_ID]],Registre_Maintenance[],5,FALSE),"")</f>
        <v/>
      </c>
      <c r="K187" t="str">
        <f>IFERROR(VLOOKUP(Logs_Registre[[#This Row],[Cell_ID]],Registre_Maintenance[],6,FALSE),"")</f>
        <v/>
      </c>
    </row>
    <row r="188" spans="1:11" x14ac:dyDescent="0.25">
      <c r="A188" s="1" t="s">
        <v>1138</v>
      </c>
      <c r="B188" s="1" t="s">
        <v>1163</v>
      </c>
      <c r="C188" s="2">
        <v>45225.406944444447</v>
      </c>
      <c r="D188" s="3">
        <v>45225.406944444447</v>
      </c>
      <c r="E188">
        <v>74</v>
      </c>
      <c r="F188" s="1" t="s">
        <v>732</v>
      </c>
      <c r="G188" t="str">
        <f>IFERROR(VLOOKUP(Logs_Registre[[#This Row],[Cell_ID]],Registre_Maintenance[],2,FALSE),"")</f>
        <v>Kwango</v>
      </c>
      <c r="H188">
        <f>IFERROR(VLOOKUP(Logs_Registre[[#This Row],[Cell_ID]],Registre_Maintenance[],3,FALSE),"")</f>
        <v>-4.6957509999999996</v>
      </c>
      <c r="I188">
        <f>IFERROR(VLOOKUP(Logs_Registre[[#This Row],[Cell_ID]],Registre_Maintenance[],4,FALSE),"")</f>
        <v>14.233525999999999</v>
      </c>
      <c r="J188" t="str">
        <f>IFERROR(VLOOKUP(Logs_Registre[[#This Row],[Cell_ID]],Registre_Maintenance[],5,FALSE),"")</f>
        <v>4G</v>
      </c>
      <c r="K188" t="str">
        <f>IFERROR(VLOOKUP(Logs_Registre[[#This Row],[Cell_ID]],Registre_Maintenance[],6,FALSE),"")</f>
        <v>Nokia</v>
      </c>
    </row>
    <row r="189" spans="1:11" x14ac:dyDescent="0.25">
      <c r="A189" s="1" t="s">
        <v>1382</v>
      </c>
      <c r="B189" s="1" t="s">
        <v>1289</v>
      </c>
      <c r="C189" s="2">
        <v>45225.384027777778</v>
      </c>
      <c r="D189" s="3">
        <v>45225.384027777778</v>
      </c>
      <c r="E189">
        <v>42</v>
      </c>
      <c r="F189" s="1" t="s">
        <v>732</v>
      </c>
      <c r="G189" t="str">
        <f>IFERROR(VLOOKUP(Logs_Registre[[#This Row],[Cell_ID]],Registre_Maintenance[],2,FALSE),"")</f>
        <v/>
      </c>
      <c r="H189" t="str">
        <f>IFERROR(VLOOKUP(Logs_Registre[[#This Row],[Cell_ID]],Registre_Maintenance[],3,FALSE),"")</f>
        <v/>
      </c>
      <c r="I189" t="str">
        <f>IFERROR(VLOOKUP(Logs_Registre[[#This Row],[Cell_ID]],Registre_Maintenance[],4,FALSE),"")</f>
        <v/>
      </c>
      <c r="J189" t="str">
        <f>IFERROR(VLOOKUP(Logs_Registre[[#This Row],[Cell_ID]],Registre_Maintenance[],5,FALSE),"")</f>
        <v/>
      </c>
      <c r="K189" t="str">
        <f>IFERROR(VLOOKUP(Logs_Registre[[#This Row],[Cell_ID]],Registre_Maintenance[],6,FALSE),"")</f>
        <v/>
      </c>
    </row>
    <row r="190" spans="1:11" x14ac:dyDescent="0.25">
      <c r="A190" s="1" t="s">
        <v>1193</v>
      </c>
      <c r="B190" s="1" t="s">
        <v>1203</v>
      </c>
      <c r="C190" s="2">
        <v>45225.322916666657</v>
      </c>
      <c r="D190" s="3">
        <v>45225.322916666657</v>
      </c>
      <c r="E190">
        <v>47</v>
      </c>
      <c r="F190" s="1" t="s">
        <v>737</v>
      </c>
      <c r="G190" t="str">
        <f>IFERROR(VLOOKUP(Logs_Registre[[#This Row],[Cell_ID]],Registre_Maintenance[],2,FALSE),"")</f>
        <v/>
      </c>
      <c r="H190" t="str">
        <f>IFERROR(VLOOKUP(Logs_Registre[[#This Row],[Cell_ID]],Registre_Maintenance[],3,FALSE),"")</f>
        <v/>
      </c>
      <c r="I190" t="str">
        <f>IFERROR(VLOOKUP(Logs_Registre[[#This Row],[Cell_ID]],Registre_Maintenance[],4,FALSE),"")</f>
        <v/>
      </c>
      <c r="J190" t="str">
        <f>IFERROR(VLOOKUP(Logs_Registre[[#This Row],[Cell_ID]],Registre_Maintenance[],5,FALSE),"")</f>
        <v/>
      </c>
      <c r="K190" t="str">
        <f>IFERROR(VLOOKUP(Logs_Registre[[#This Row],[Cell_ID]],Registre_Maintenance[],6,FALSE),"")</f>
        <v/>
      </c>
    </row>
    <row r="191" spans="1:11" x14ac:dyDescent="0.25">
      <c r="A191" s="1" t="s">
        <v>978</v>
      </c>
      <c r="B191" s="1" t="s">
        <v>865</v>
      </c>
      <c r="C191" s="2">
        <v>45225.317361111112</v>
      </c>
      <c r="D191" s="3">
        <v>45225.317361111112</v>
      </c>
      <c r="E191">
        <v>56</v>
      </c>
      <c r="F191" s="1" t="s">
        <v>735</v>
      </c>
      <c r="G191" t="str">
        <f>IFERROR(VLOOKUP(Logs_Registre[[#This Row],[Cell_ID]],Registre_Maintenance[],2,FALSE),"")</f>
        <v>Nord-Ubangi</v>
      </c>
      <c r="H191">
        <f>IFERROR(VLOOKUP(Logs_Registre[[#This Row],[Cell_ID]],Registre_Maintenance[],3,FALSE),"")</f>
        <v>-7.9987219999999999</v>
      </c>
      <c r="I191">
        <f>IFERROR(VLOOKUP(Logs_Registre[[#This Row],[Cell_ID]],Registre_Maintenance[],4,FALSE),"")</f>
        <v>12.779335</v>
      </c>
      <c r="J191" t="str">
        <f>IFERROR(VLOOKUP(Logs_Registre[[#This Row],[Cell_ID]],Registre_Maintenance[],5,FALSE),"")</f>
        <v>5G</v>
      </c>
      <c r="K191" t="str">
        <f>IFERROR(VLOOKUP(Logs_Registre[[#This Row],[Cell_ID]],Registre_Maintenance[],6,FALSE),"")</f>
        <v>Nokia</v>
      </c>
    </row>
    <row r="192" spans="1:11" x14ac:dyDescent="0.25">
      <c r="A192" s="1" t="s">
        <v>1059</v>
      </c>
      <c r="B192" s="1" t="s">
        <v>1032</v>
      </c>
      <c r="C192" s="2">
        <v>45225.288888888892</v>
      </c>
      <c r="D192" s="3">
        <v>45225.288888888892</v>
      </c>
      <c r="E192">
        <v>89</v>
      </c>
      <c r="F192" s="1" t="s">
        <v>732</v>
      </c>
      <c r="G192" t="str">
        <f>IFERROR(VLOOKUP(Logs_Registre[[#This Row],[Cell_ID]],Registre_Maintenance[],2,FALSE),"")</f>
        <v>Haut-Lomami</v>
      </c>
      <c r="H192">
        <f>IFERROR(VLOOKUP(Logs_Registre[[#This Row],[Cell_ID]],Registre_Maintenance[],3,FALSE),"")</f>
        <v>0.16327700000000001</v>
      </c>
      <c r="I192">
        <f>IFERROR(VLOOKUP(Logs_Registre[[#This Row],[Cell_ID]],Registre_Maintenance[],4,FALSE),"")</f>
        <v>14.871577</v>
      </c>
      <c r="J192" t="str">
        <f>IFERROR(VLOOKUP(Logs_Registre[[#This Row],[Cell_ID]],Registre_Maintenance[],5,FALSE),"")</f>
        <v>4G</v>
      </c>
      <c r="K192" t="str">
        <f>IFERROR(VLOOKUP(Logs_Registre[[#This Row],[Cell_ID]],Registre_Maintenance[],6,FALSE),"")</f>
        <v>Huawei</v>
      </c>
    </row>
    <row r="193" spans="1:11" x14ac:dyDescent="0.25">
      <c r="A193" s="1" t="s">
        <v>730</v>
      </c>
      <c r="B193" s="1" t="s">
        <v>747</v>
      </c>
      <c r="C193" s="2">
        <v>45225.238888888889</v>
      </c>
      <c r="D193" s="3">
        <v>45225.238888888889</v>
      </c>
      <c r="E193">
        <v>16</v>
      </c>
      <c r="F193" s="1" t="s">
        <v>735</v>
      </c>
      <c r="G193" t="str">
        <f>IFERROR(VLOOKUP(Logs_Registre[[#This Row],[Cell_ID]],Registre_Maintenance[],2,FALSE),"")</f>
        <v/>
      </c>
      <c r="H193" t="str">
        <f>IFERROR(VLOOKUP(Logs_Registre[[#This Row],[Cell_ID]],Registre_Maintenance[],3,FALSE),"")</f>
        <v/>
      </c>
      <c r="I193" t="str">
        <f>IFERROR(VLOOKUP(Logs_Registre[[#This Row],[Cell_ID]],Registre_Maintenance[],4,FALSE),"")</f>
        <v/>
      </c>
      <c r="J193" t="str">
        <f>IFERROR(VLOOKUP(Logs_Registre[[#This Row],[Cell_ID]],Registre_Maintenance[],5,FALSE),"")</f>
        <v/>
      </c>
      <c r="K193" t="str">
        <f>IFERROR(VLOOKUP(Logs_Registre[[#This Row],[Cell_ID]],Registre_Maintenance[],6,FALSE),"")</f>
        <v/>
      </c>
    </row>
    <row r="194" spans="1:11" x14ac:dyDescent="0.25">
      <c r="A194" s="1" t="s">
        <v>1382</v>
      </c>
      <c r="B194" s="1" t="s">
        <v>1397</v>
      </c>
      <c r="C194" s="2">
        <v>45225.220833333333</v>
      </c>
      <c r="D194" s="3">
        <v>45225.220833333333</v>
      </c>
      <c r="E194">
        <v>104</v>
      </c>
      <c r="F194" s="1" t="s">
        <v>735</v>
      </c>
      <c r="G194" t="str">
        <f>IFERROR(VLOOKUP(Logs_Registre[[#This Row],[Cell_ID]],Registre_Maintenance[],2,FALSE),"")</f>
        <v>Kasai-Central</v>
      </c>
      <c r="H194">
        <f>IFERROR(VLOOKUP(Logs_Registre[[#This Row],[Cell_ID]],Registre_Maintenance[],3,FALSE),"")</f>
        <v>-8.0800809999999998</v>
      </c>
      <c r="I194">
        <f>IFERROR(VLOOKUP(Logs_Registre[[#This Row],[Cell_ID]],Registre_Maintenance[],4,FALSE),"")</f>
        <v>30.147970999999998</v>
      </c>
      <c r="J194" t="str">
        <f>IFERROR(VLOOKUP(Logs_Registre[[#This Row],[Cell_ID]],Registre_Maintenance[],5,FALSE),"")</f>
        <v>5G</v>
      </c>
      <c r="K194" t="str">
        <f>IFERROR(VLOOKUP(Logs_Registre[[#This Row],[Cell_ID]],Registre_Maintenance[],6,FALSE),"")</f>
        <v>Huawei</v>
      </c>
    </row>
    <row r="195" spans="1:11" x14ac:dyDescent="0.25">
      <c r="A195" s="1" t="s">
        <v>939</v>
      </c>
      <c r="B195" s="1" t="s">
        <v>968</v>
      </c>
      <c r="C195" s="2">
        <v>45225.215277777781</v>
      </c>
      <c r="D195" s="3">
        <v>45225.215277777781</v>
      </c>
      <c r="E195">
        <v>41</v>
      </c>
      <c r="F195" s="1" t="s">
        <v>737</v>
      </c>
      <c r="G195" t="str">
        <f>IFERROR(VLOOKUP(Logs_Registre[[#This Row],[Cell_ID]],Registre_Maintenance[],2,FALSE),"")</f>
        <v>Mai-Ndombe</v>
      </c>
      <c r="H195">
        <f>IFERROR(VLOOKUP(Logs_Registre[[#This Row],[Cell_ID]],Registre_Maintenance[],3,FALSE),"")</f>
        <v>-4.9552579999999997</v>
      </c>
      <c r="I195">
        <f>IFERROR(VLOOKUP(Logs_Registre[[#This Row],[Cell_ID]],Registre_Maintenance[],4,FALSE),"")</f>
        <v>22.008103999999999</v>
      </c>
      <c r="J195" t="str">
        <f>IFERROR(VLOOKUP(Logs_Registre[[#This Row],[Cell_ID]],Registre_Maintenance[],5,FALSE),"")</f>
        <v>4G</v>
      </c>
      <c r="K195" t="str">
        <f>IFERROR(VLOOKUP(Logs_Registre[[#This Row],[Cell_ID]],Registre_Maintenance[],6,FALSE),"")</f>
        <v>Huawei</v>
      </c>
    </row>
    <row r="196" spans="1:11" x14ac:dyDescent="0.25">
      <c r="A196" s="1" t="s">
        <v>1361</v>
      </c>
      <c r="B196" s="1" t="s">
        <v>1367</v>
      </c>
      <c r="C196" s="2">
        <v>45225.213194444441</v>
      </c>
      <c r="D196" s="3">
        <v>45225.213194444441</v>
      </c>
      <c r="E196">
        <v>35</v>
      </c>
      <c r="F196" s="1" t="s">
        <v>737</v>
      </c>
      <c r="G196" t="str">
        <f>IFERROR(VLOOKUP(Logs_Registre[[#This Row],[Cell_ID]],Registre_Maintenance[],2,FALSE),"")</f>
        <v/>
      </c>
      <c r="H196" t="str">
        <f>IFERROR(VLOOKUP(Logs_Registre[[#This Row],[Cell_ID]],Registre_Maintenance[],3,FALSE),"")</f>
        <v/>
      </c>
      <c r="I196" t="str">
        <f>IFERROR(VLOOKUP(Logs_Registre[[#This Row],[Cell_ID]],Registre_Maintenance[],4,FALSE),"")</f>
        <v/>
      </c>
      <c r="J196" t="str">
        <f>IFERROR(VLOOKUP(Logs_Registre[[#This Row],[Cell_ID]],Registre_Maintenance[],5,FALSE),"")</f>
        <v/>
      </c>
      <c r="K196" t="str">
        <f>IFERROR(VLOOKUP(Logs_Registre[[#This Row],[Cell_ID]],Registre_Maintenance[],6,FALSE),"")</f>
        <v/>
      </c>
    </row>
    <row r="197" spans="1:11" x14ac:dyDescent="0.25">
      <c r="A197" s="1" t="s">
        <v>1330</v>
      </c>
      <c r="B197" s="1" t="s">
        <v>1340</v>
      </c>
      <c r="C197" s="2">
        <v>45225.211111111108</v>
      </c>
      <c r="D197" s="3">
        <v>45225.211111111108</v>
      </c>
      <c r="E197">
        <v>33</v>
      </c>
      <c r="F197" s="1" t="s">
        <v>735</v>
      </c>
      <c r="G197" t="str">
        <f>IFERROR(VLOOKUP(Logs_Registre[[#This Row],[Cell_ID]],Registre_Maintenance[],2,FALSE),"")</f>
        <v/>
      </c>
      <c r="H197" t="str">
        <f>IFERROR(VLOOKUP(Logs_Registre[[#This Row],[Cell_ID]],Registre_Maintenance[],3,FALSE),"")</f>
        <v/>
      </c>
      <c r="I197" t="str">
        <f>IFERROR(VLOOKUP(Logs_Registre[[#This Row],[Cell_ID]],Registre_Maintenance[],4,FALSE),"")</f>
        <v/>
      </c>
      <c r="J197" t="str">
        <f>IFERROR(VLOOKUP(Logs_Registre[[#This Row],[Cell_ID]],Registre_Maintenance[],5,FALSE),"")</f>
        <v/>
      </c>
      <c r="K197" t="str">
        <f>IFERROR(VLOOKUP(Logs_Registre[[#This Row],[Cell_ID]],Registre_Maintenance[],6,FALSE),"")</f>
        <v/>
      </c>
    </row>
    <row r="198" spans="1:11" x14ac:dyDescent="0.25">
      <c r="A198" s="1" t="s">
        <v>1086</v>
      </c>
      <c r="B198" s="1" t="s">
        <v>1091</v>
      </c>
      <c r="C198" s="2">
        <v>45225.177083333343</v>
      </c>
      <c r="D198" s="3">
        <v>45225.177083333343</v>
      </c>
      <c r="E198">
        <v>36</v>
      </c>
      <c r="F198" s="1" t="s">
        <v>737</v>
      </c>
      <c r="G198" t="str">
        <f>IFERROR(VLOOKUP(Logs_Registre[[#This Row],[Cell_ID]],Registre_Maintenance[],2,FALSE),"")</f>
        <v/>
      </c>
      <c r="H198" t="str">
        <f>IFERROR(VLOOKUP(Logs_Registre[[#This Row],[Cell_ID]],Registre_Maintenance[],3,FALSE),"")</f>
        <v/>
      </c>
      <c r="I198" t="str">
        <f>IFERROR(VLOOKUP(Logs_Registre[[#This Row],[Cell_ID]],Registre_Maintenance[],4,FALSE),"")</f>
        <v/>
      </c>
      <c r="J198" t="str">
        <f>IFERROR(VLOOKUP(Logs_Registre[[#This Row],[Cell_ID]],Registre_Maintenance[],5,FALSE),"")</f>
        <v/>
      </c>
      <c r="K198" t="str">
        <f>IFERROR(VLOOKUP(Logs_Registre[[#This Row],[Cell_ID]],Registre_Maintenance[],6,FALSE),"")</f>
        <v/>
      </c>
    </row>
    <row r="199" spans="1:11" x14ac:dyDescent="0.25">
      <c r="A199" s="1" t="s">
        <v>1288</v>
      </c>
      <c r="B199" s="1" t="s">
        <v>1291</v>
      </c>
      <c r="C199" s="2">
        <v>45225.171527777777</v>
      </c>
      <c r="D199" s="3">
        <v>45225.171527777777</v>
      </c>
      <c r="E199">
        <v>104</v>
      </c>
      <c r="F199" s="1" t="s">
        <v>735</v>
      </c>
      <c r="G199" t="str">
        <f>IFERROR(VLOOKUP(Logs_Registre[[#This Row],[Cell_ID]],Registre_Maintenance[],2,FALSE),"")</f>
        <v>Kongo-Central</v>
      </c>
      <c r="H199">
        <f>IFERROR(VLOOKUP(Logs_Registre[[#This Row],[Cell_ID]],Registre_Maintenance[],3,FALSE),"")</f>
        <v>1.2463919999999999</v>
      </c>
      <c r="I199">
        <f>IFERROR(VLOOKUP(Logs_Registre[[#This Row],[Cell_ID]],Registre_Maintenance[],4,FALSE),"")</f>
        <v>13.266916999999999</v>
      </c>
      <c r="J199" t="str">
        <f>IFERROR(VLOOKUP(Logs_Registre[[#This Row],[Cell_ID]],Registre_Maintenance[],5,FALSE),"")</f>
        <v>5G</v>
      </c>
      <c r="K199" t="str">
        <f>IFERROR(VLOOKUP(Logs_Registre[[#This Row],[Cell_ID]],Registre_Maintenance[],6,FALSE),"")</f>
        <v>Huawei</v>
      </c>
    </row>
    <row r="200" spans="1:11" x14ac:dyDescent="0.25">
      <c r="A200" s="1" t="s">
        <v>861</v>
      </c>
      <c r="B200" s="1" t="s">
        <v>894</v>
      </c>
      <c r="C200" s="2">
        <v>45225.159722222219</v>
      </c>
      <c r="D200" s="3">
        <v>45225.159722222219</v>
      </c>
      <c r="E200">
        <v>113</v>
      </c>
      <c r="F200" s="1" t="s">
        <v>732</v>
      </c>
      <c r="G200" t="str">
        <f>IFERROR(VLOOKUP(Logs_Registre[[#This Row],[Cell_ID]],Registre_Maintenance[],2,FALSE),"")</f>
        <v/>
      </c>
      <c r="H200" t="str">
        <f>IFERROR(VLOOKUP(Logs_Registre[[#This Row],[Cell_ID]],Registre_Maintenance[],3,FALSE),"")</f>
        <v/>
      </c>
      <c r="I200" t="str">
        <f>IFERROR(VLOOKUP(Logs_Registre[[#This Row],[Cell_ID]],Registre_Maintenance[],4,FALSE),"")</f>
        <v/>
      </c>
      <c r="J200" t="str">
        <f>IFERROR(VLOOKUP(Logs_Registre[[#This Row],[Cell_ID]],Registre_Maintenance[],5,FALSE),"")</f>
        <v/>
      </c>
      <c r="K200" t="str">
        <f>IFERROR(VLOOKUP(Logs_Registre[[#This Row],[Cell_ID]],Registre_Maintenance[],6,FALSE),"")</f>
        <v/>
      </c>
    </row>
    <row r="201" spans="1:11" x14ac:dyDescent="0.25">
      <c r="A201" s="1" t="s">
        <v>1024</v>
      </c>
      <c r="B201" s="1" t="s">
        <v>1058</v>
      </c>
      <c r="C201" s="2">
        <v>45225.147222222222</v>
      </c>
      <c r="D201" s="3">
        <v>45225.147222222222</v>
      </c>
      <c r="E201">
        <v>44</v>
      </c>
      <c r="F201" s="1" t="s">
        <v>732</v>
      </c>
      <c r="G201" t="str">
        <f>IFERROR(VLOOKUP(Logs_Registre[[#This Row],[Cell_ID]],Registre_Maintenance[],2,FALSE),"")</f>
        <v>Sud-Kivu</v>
      </c>
      <c r="H201">
        <f>IFERROR(VLOOKUP(Logs_Registre[[#This Row],[Cell_ID]],Registre_Maintenance[],3,FALSE),"")</f>
        <v>4.2904629999999999</v>
      </c>
      <c r="I201">
        <f>IFERROR(VLOOKUP(Logs_Registre[[#This Row],[Cell_ID]],Registre_Maintenance[],4,FALSE),"")</f>
        <v>26.354195000000001</v>
      </c>
      <c r="J201" t="str">
        <f>IFERROR(VLOOKUP(Logs_Registre[[#This Row],[Cell_ID]],Registre_Maintenance[],5,FALSE),"")</f>
        <v>3G</v>
      </c>
      <c r="K201" t="str">
        <f>IFERROR(VLOOKUP(Logs_Registre[[#This Row],[Cell_ID]],Registre_Maintenance[],6,FALSE),"")</f>
        <v>Ericsson</v>
      </c>
    </row>
    <row r="202" spans="1:11" x14ac:dyDescent="0.25">
      <c r="A202" s="1" t="s">
        <v>1241</v>
      </c>
      <c r="B202" s="1" t="s">
        <v>826</v>
      </c>
      <c r="C202" s="2">
        <v>45225.129166666673</v>
      </c>
      <c r="D202" s="3">
        <v>45225.129166666673</v>
      </c>
      <c r="E202">
        <v>36</v>
      </c>
      <c r="F202" s="1" t="s">
        <v>737</v>
      </c>
      <c r="G202" t="str">
        <f>IFERROR(VLOOKUP(Logs_Registre[[#This Row],[Cell_ID]],Registre_Maintenance[],2,FALSE),"")</f>
        <v/>
      </c>
      <c r="H202" t="str">
        <f>IFERROR(VLOOKUP(Logs_Registre[[#This Row],[Cell_ID]],Registre_Maintenance[],3,FALSE),"")</f>
        <v/>
      </c>
      <c r="I202" t="str">
        <f>IFERROR(VLOOKUP(Logs_Registre[[#This Row],[Cell_ID]],Registre_Maintenance[],4,FALSE),"")</f>
        <v/>
      </c>
      <c r="J202" t="str">
        <f>IFERROR(VLOOKUP(Logs_Registre[[#This Row],[Cell_ID]],Registre_Maintenance[],5,FALSE),"")</f>
        <v/>
      </c>
      <c r="K202" t="str">
        <f>IFERROR(VLOOKUP(Logs_Registre[[#This Row],[Cell_ID]],Registre_Maintenance[],6,FALSE),"")</f>
        <v/>
      </c>
    </row>
    <row r="203" spans="1:11" x14ac:dyDescent="0.25">
      <c r="A203" s="1" t="s">
        <v>1345</v>
      </c>
      <c r="B203" s="1" t="s">
        <v>1356</v>
      </c>
      <c r="C203" s="2">
        <v>45225.088888888888</v>
      </c>
      <c r="D203" s="3">
        <v>45225.088888888888</v>
      </c>
      <c r="E203">
        <v>51</v>
      </c>
      <c r="F203" s="1" t="s">
        <v>732</v>
      </c>
      <c r="G203" t="str">
        <f>IFERROR(VLOOKUP(Logs_Registre[[#This Row],[Cell_ID]],Registre_Maintenance[],2,FALSE),"")</f>
        <v/>
      </c>
      <c r="H203" t="str">
        <f>IFERROR(VLOOKUP(Logs_Registre[[#This Row],[Cell_ID]],Registre_Maintenance[],3,FALSE),"")</f>
        <v/>
      </c>
      <c r="I203" t="str">
        <f>IFERROR(VLOOKUP(Logs_Registre[[#This Row],[Cell_ID]],Registre_Maintenance[],4,FALSE),"")</f>
        <v/>
      </c>
      <c r="J203" t="str">
        <f>IFERROR(VLOOKUP(Logs_Registre[[#This Row],[Cell_ID]],Registre_Maintenance[],5,FALSE),"")</f>
        <v/>
      </c>
      <c r="K203" t="str">
        <f>IFERROR(VLOOKUP(Logs_Registre[[#This Row],[Cell_ID]],Registre_Maintenance[],6,FALSE),"")</f>
        <v/>
      </c>
    </row>
    <row r="204" spans="1:11" x14ac:dyDescent="0.25">
      <c r="A204" s="1" t="s">
        <v>1138</v>
      </c>
      <c r="B204" s="1" t="s">
        <v>1160</v>
      </c>
      <c r="C204" s="2">
        <v>45225.061805555553</v>
      </c>
      <c r="D204" s="3">
        <v>45225.061805555553</v>
      </c>
      <c r="E204">
        <v>15</v>
      </c>
      <c r="F204" s="1" t="s">
        <v>737</v>
      </c>
      <c r="G204" t="str">
        <f>IFERROR(VLOOKUP(Logs_Registre[[#This Row],[Cell_ID]],Registre_Maintenance[],2,FALSE),"")</f>
        <v/>
      </c>
      <c r="H204" t="str">
        <f>IFERROR(VLOOKUP(Logs_Registre[[#This Row],[Cell_ID]],Registre_Maintenance[],3,FALSE),"")</f>
        <v/>
      </c>
      <c r="I204" t="str">
        <f>IFERROR(VLOOKUP(Logs_Registre[[#This Row],[Cell_ID]],Registre_Maintenance[],4,FALSE),"")</f>
        <v/>
      </c>
      <c r="J204" t="str">
        <f>IFERROR(VLOOKUP(Logs_Registre[[#This Row],[Cell_ID]],Registre_Maintenance[],5,FALSE),"")</f>
        <v/>
      </c>
      <c r="K204" t="str">
        <f>IFERROR(VLOOKUP(Logs_Registre[[#This Row],[Cell_ID]],Registre_Maintenance[],6,FALSE),"")</f>
        <v/>
      </c>
    </row>
    <row r="205" spans="1:11" x14ac:dyDescent="0.25">
      <c r="A205" s="1" t="s">
        <v>1308</v>
      </c>
      <c r="B205" s="1" t="s">
        <v>1321</v>
      </c>
      <c r="C205" s="2">
        <v>45225.054166666669</v>
      </c>
      <c r="D205" s="3">
        <v>45225.054166666669</v>
      </c>
      <c r="E205">
        <v>38</v>
      </c>
      <c r="F205" s="1" t="s">
        <v>737</v>
      </c>
      <c r="G205" t="str">
        <f>IFERROR(VLOOKUP(Logs_Registre[[#This Row],[Cell_ID]],Registre_Maintenance[],2,FALSE),"")</f>
        <v/>
      </c>
      <c r="H205" t="str">
        <f>IFERROR(VLOOKUP(Logs_Registre[[#This Row],[Cell_ID]],Registre_Maintenance[],3,FALSE),"")</f>
        <v/>
      </c>
      <c r="I205" t="str">
        <f>IFERROR(VLOOKUP(Logs_Registre[[#This Row],[Cell_ID]],Registre_Maintenance[],4,FALSE),"")</f>
        <v/>
      </c>
      <c r="J205" t="str">
        <f>IFERROR(VLOOKUP(Logs_Registre[[#This Row],[Cell_ID]],Registre_Maintenance[],5,FALSE),"")</f>
        <v/>
      </c>
      <c r="K205" t="str">
        <f>IFERROR(VLOOKUP(Logs_Registre[[#This Row],[Cell_ID]],Registre_Maintenance[],6,FALSE),"")</f>
        <v/>
      </c>
    </row>
    <row r="206" spans="1:11" x14ac:dyDescent="0.25">
      <c r="A206" s="1" t="s">
        <v>1114</v>
      </c>
      <c r="B206" s="1" t="s">
        <v>786</v>
      </c>
      <c r="C206" s="2">
        <v>45224.988194444442</v>
      </c>
      <c r="D206" s="3">
        <v>45224.988194444442</v>
      </c>
      <c r="E206">
        <v>39</v>
      </c>
      <c r="F206" s="1" t="s">
        <v>732</v>
      </c>
      <c r="G206" t="str">
        <f>IFERROR(VLOOKUP(Logs_Registre[[#This Row],[Cell_ID]],Registre_Maintenance[],2,FALSE),"")</f>
        <v/>
      </c>
      <c r="H206" t="str">
        <f>IFERROR(VLOOKUP(Logs_Registre[[#This Row],[Cell_ID]],Registre_Maintenance[],3,FALSE),"")</f>
        <v/>
      </c>
      <c r="I206" t="str">
        <f>IFERROR(VLOOKUP(Logs_Registre[[#This Row],[Cell_ID]],Registre_Maintenance[],4,FALSE),"")</f>
        <v/>
      </c>
      <c r="J206" t="str">
        <f>IFERROR(VLOOKUP(Logs_Registre[[#This Row],[Cell_ID]],Registre_Maintenance[],5,FALSE),"")</f>
        <v/>
      </c>
      <c r="K206" t="str">
        <f>IFERROR(VLOOKUP(Logs_Registre[[#This Row],[Cell_ID]],Registre_Maintenance[],6,FALSE),"")</f>
        <v/>
      </c>
    </row>
    <row r="207" spans="1:11" x14ac:dyDescent="0.25">
      <c r="A207" s="1" t="s">
        <v>1404</v>
      </c>
      <c r="B207" s="1" t="s">
        <v>1408</v>
      </c>
      <c r="C207" s="2">
        <v>45224.984027777777</v>
      </c>
      <c r="D207" s="3">
        <v>45224.984027777777</v>
      </c>
      <c r="E207">
        <v>49</v>
      </c>
      <c r="F207" s="1" t="s">
        <v>732</v>
      </c>
      <c r="G207" t="str">
        <f>IFERROR(VLOOKUP(Logs_Registre[[#This Row],[Cell_ID]],Registre_Maintenance[],2,FALSE),"")</f>
        <v/>
      </c>
      <c r="H207" t="str">
        <f>IFERROR(VLOOKUP(Logs_Registre[[#This Row],[Cell_ID]],Registre_Maintenance[],3,FALSE),"")</f>
        <v/>
      </c>
      <c r="I207" t="str">
        <f>IFERROR(VLOOKUP(Logs_Registre[[#This Row],[Cell_ID]],Registre_Maintenance[],4,FALSE),"")</f>
        <v/>
      </c>
      <c r="J207" t="str">
        <f>IFERROR(VLOOKUP(Logs_Registre[[#This Row],[Cell_ID]],Registre_Maintenance[],5,FALSE),"")</f>
        <v/>
      </c>
      <c r="K207" t="str">
        <f>IFERROR(VLOOKUP(Logs_Registre[[#This Row],[Cell_ID]],Registre_Maintenance[],6,FALSE),"")</f>
        <v/>
      </c>
    </row>
    <row r="208" spans="1:11" x14ac:dyDescent="0.25">
      <c r="A208" s="1" t="s">
        <v>1361</v>
      </c>
      <c r="B208" s="1" t="s">
        <v>917</v>
      </c>
      <c r="C208" s="2">
        <v>45224.98333333333</v>
      </c>
      <c r="D208" s="3">
        <v>45224.98333333333</v>
      </c>
      <c r="E208">
        <v>107</v>
      </c>
      <c r="F208" s="1" t="s">
        <v>737</v>
      </c>
      <c r="G208" t="str">
        <f>IFERROR(VLOOKUP(Logs_Registre[[#This Row],[Cell_ID]],Registre_Maintenance[],2,FALSE),"")</f>
        <v>Mai-Ndombe</v>
      </c>
      <c r="H208">
        <f>IFERROR(VLOOKUP(Logs_Registre[[#This Row],[Cell_ID]],Registre_Maintenance[],3,FALSE),"")</f>
        <v>-9.3652280000000001</v>
      </c>
      <c r="I208">
        <f>IFERROR(VLOOKUP(Logs_Registre[[#This Row],[Cell_ID]],Registre_Maintenance[],4,FALSE),"")</f>
        <v>18.674116000000001</v>
      </c>
      <c r="J208" t="str">
        <f>IFERROR(VLOOKUP(Logs_Registre[[#This Row],[Cell_ID]],Registre_Maintenance[],5,FALSE),"")</f>
        <v>4G</v>
      </c>
      <c r="K208" t="str">
        <f>IFERROR(VLOOKUP(Logs_Registre[[#This Row],[Cell_ID]],Registre_Maintenance[],6,FALSE),"")</f>
        <v>Huawei</v>
      </c>
    </row>
    <row r="209" spans="1:11" x14ac:dyDescent="0.25">
      <c r="A209" s="1" t="s">
        <v>1193</v>
      </c>
      <c r="B209" s="1" t="s">
        <v>1194</v>
      </c>
      <c r="C209" s="2">
        <v>45224.963888888888</v>
      </c>
      <c r="D209" s="3">
        <v>45224.963888888888</v>
      </c>
      <c r="E209">
        <v>83</v>
      </c>
      <c r="F209" s="1" t="s">
        <v>735</v>
      </c>
      <c r="G209" t="str">
        <f>IFERROR(VLOOKUP(Logs_Registre[[#This Row],[Cell_ID]],Registre_Maintenance[],2,FALSE),"")</f>
        <v/>
      </c>
      <c r="H209" t="str">
        <f>IFERROR(VLOOKUP(Logs_Registre[[#This Row],[Cell_ID]],Registre_Maintenance[],3,FALSE),"")</f>
        <v/>
      </c>
      <c r="I209" t="str">
        <f>IFERROR(VLOOKUP(Logs_Registre[[#This Row],[Cell_ID]],Registre_Maintenance[],4,FALSE),"")</f>
        <v/>
      </c>
      <c r="J209" t="str">
        <f>IFERROR(VLOOKUP(Logs_Registre[[#This Row],[Cell_ID]],Registre_Maintenance[],5,FALSE),"")</f>
        <v/>
      </c>
      <c r="K209" t="str">
        <f>IFERROR(VLOOKUP(Logs_Registre[[#This Row],[Cell_ID]],Registre_Maintenance[],6,FALSE),"")</f>
        <v/>
      </c>
    </row>
    <row r="210" spans="1:11" x14ac:dyDescent="0.25">
      <c r="A210" s="1" t="s">
        <v>1241</v>
      </c>
      <c r="B210" s="1" t="s">
        <v>1205</v>
      </c>
      <c r="C210" s="2">
        <v>45224.961805555547</v>
      </c>
      <c r="D210" s="3">
        <v>45224.961805555547</v>
      </c>
      <c r="E210">
        <v>83</v>
      </c>
      <c r="F210" s="1" t="s">
        <v>737</v>
      </c>
      <c r="G210" t="str">
        <f>IFERROR(VLOOKUP(Logs_Registre[[#This Row],[Cell_ID]],Registre_Maintenance[],2,FALSE),"")</f>
        <v/>
      </c>
      <c r="H210" t="str">
        <f>IFERROR(VLOOKUP(Logs_Registre[[#This Row],[Cell_ID]],Registre_Maintenance[],3,FALSE),"")</f>
        <v/>
      </c>
      <c r="I210" t="str">
        <f>IFERROR(VLOOKUP(Logs_Registre[[#This Row],[Cell_ID]],Registre_Maintenance[],4,FALSE),"")</f>
        <v/>
      </c>
      <c r="J210" t="str">
        <f>IFERROR(VLOOKUP(Logs_Registre[[#This Row],[Cell_ID]],Registre_Maintenance[],5,FALSE),"")</f>
        <v/>
      </c>
      <c r="K210" t="str">
        <f>IFERROR(VLOOKUP(Logs_Registre[[#This Row],[Cell_ID]],Registre_Maintenance[],6,FALSE),"")</f>
        <v/>
      </c>
    </row>
    <row r="211" spans="1:11" x14ac:dyDescent="0.25">
      <c r="A211" s="1" t="s">
        <v>1308</v>
      </c>
      <c r="B211" s="1" t="s">
        <v>1319</v>
      </c>
      <c r="C211" s="2">
        <v>45224.884722222218</v>
      </c>
      <c r="D211" s="3">
        <v>45224.884722222218</v>
      </c>
      <c r="E211">
        <v>119</v>
      </c>
      <c r="F211" s="1" t="s">
        <v>735</v>
      </c>
      <c r="G211" t="str">
        <f>IFERROR(VLOOKUP(Logs_Registre[[#This Row],[Cell_ID]],Registre_Maintenance[],2,FALSE),"")</f>
        <v/>
      </c>
      <c r="H211" t="str">
        <f>IFERROR(VLOOKUP(Logs_Registre[[#This Row],[Cell_ID]],Registre_Maintenance[],3,FALSE),"")</f>
        <v/>
      </c>
      <c r="I211" t="str">
        <f>IFERROR(VLOOKUP(Logs_Registre[[#This Row],[Cell_ID]],Registre_Maintenance[],4,FALSE),"")</f>
        <v/>
      </c>
      <c r="J211" t="str">
        <f>IFERROR(VLOOKUP(Logs_Registre[[#This Row],[Cell_ID]],Registre_Maintenance[],5,FALSE),"")</f>
        <v/>
      </c>
      <c r="K211" t="str">
        <f>IFERROR(VLOOKUP(Logs_Registre[[#This Row],[Cell_ID]],Registre_Maintenance[],6,FALSE),"")</f>
        <v/>
      </c>
    </row>
    <row r="212" spans="1:11" x14ac:dyDescent="0.25">
      <c r="A212" s="1" t="s">
        <v>1114</v>
      </c>
      <c r="B212" s="1" t="s">
        <v>1129</v>
      </c>
      <c r="C212" s="2">
        <v>45224.831944444442</v>
      </c>
      <c r="D212" s="3">
        <v>45224.831944444442</v>
      </c>
      <c r="E212">
        <v>100</v>
      </c>
      <c r="F212" s="1" t="s">
        <v>732</v>
      </c>
      <c r="G212" t="str">
        <f>IFERROR(VLOOKUP(Logs_Registre[[#This Row],[Cell_ID]],Registre_Maintenance[],2,FALSE),"")</f>
        <v/>
      </c>
      <c r="H212" t="str">
        <f>IFERROR(VLOOKUP(Logs_Registre[[#This Row],[Cell_ID]],Registre_Maintenance[],3,FALSE),"")</f>
        <v/>
      </c>
      <c r="I212" t="str">
        <f>IFERROR(VLOOKUP(Logs_Registre[[#This Row],[Cell_ID]],Registre_Maintenance[],4,FALSE),"")</f>
        <v/>
      </c>
      <c r="J212" t="str">
        <f>IFERROR(VLOOKUP(Logs_Registre[[#This Row],[Cell_ID]],Registre_Maintenance[],5,FALSE),"")</f>
        <v/>
      </c>
      <c r="K212" t="str">
        <f>IFERROR(VLOOKUP(Logs_Registre[[#This Row],[Cell_ID]],Registre_Maintenance[],6,FALSE),"")</f>
        <v/>
      </c>
    </row>
    <row r="213" spans="1:11" x14ac:dyDescent="0.25">
      <c r="A213" s="1" t="s">
        <v>1193</v>
      </c>
      <c r="B213" s="1" t="s">
        <v>954</v>
      </c>
      <c r="C213" s="2">
        <v>45224.818055555559</v>
      </c>
      <c r="D213" s="3">
        <v>45224.818055555559</v>
      </c>
      <c r="E213">
        <v>5</v>
      </c>
      <c r="F213" s="1" t="s">
        <v>737</v>
      </c>
      <c r="G213" t="str">
        <f>IFERROR(VLOOKUP(Logs_Registre[[#This Row],[Cell_ID]],Registre_Maintenance[],2,FALSE),"")</f>
        <v/>
      </c>
      <c r="H213" t="str">
        <f>IFERROR(VLOOKUP(Logs_Registre[[#This Row],[Cell_ID]],Registre_Maintenance[],3,FALSE),"")</f>
        <v/>
      </c>
      <c r="I213" t="str">
        <f>IFERROR(VLOOKUP(Logs_Registre[[#This Row],[Cell_ID]],Registre_Maintenance[],4,FALSE),"")</f>
        <v/>
      </c>
      <c r="J213" t="str">
        <f>IFERROR(VLOOKUP(Logs_Registre[[#This Row],[Cell_ID]],Registre_Maintenance[],5,FALSE),"")</f>
        <v/>
      </c>
      <c r="K213" t="str">
        <f>IFERROR(VLOOKUP(Logs_Registre[[#This Row],[Cell_ID]],Registre_Maintenance[],6,FALSE),"")</f>
        <v/>
      </c>
    </row>
    <row r="214" spans="1:11" x14ac:dyDescent="0.25">
      <c r="A214" s="1" t="s">
        <v>1114</v>
      </c>
      <c r="B214" s="1" t="s">
        <v>1124</v>
      </c>
      <c r="C214" s="2">
        <v>45224.775000000001</v>
      </c>
      <c r="D214" s="3">
        <v>45224.775000000001</v>
      </c>
      <c r="E214">
        <v>107</v>
      </c>
      <c r="F214" s="1" t="s">
        <v>737</v>
      </c>
      <c r="G214" t="str">
        <f>IFERROR(VLOOKUP(Logs_Registre[[#This Row],[Cell_ID]],Registre_Maintenance[],2,FALSE),"")</f>
        <v>Equateur</v>
      </c>
      <c r="H214">
        <f>IFERROR(VLOOKUP(Logs_Registre[[#This Row],[Cell_ID]],Registre_Maintenance[],3,FALSE),"")</f>
        <v>-5.7200150000000001</v>
      </c>
      <c r="I214">
        <f>IFERROR(VLOOKUP(Logs_Registre[[#This Row],[Cell_ID]],Registre_Maintenance[],4,FALSE),"")</f>
        <v>25.022109</v>
      </c>
      <c r="J214" t="str">
        <f>IFERROR(VLOOKUP(Logs_Registre[[#This Row],[Cell_ID]],Registre_Maintenance[],5,FALSE),"")</f>
        <v>5G</v>
      </c>
      <c r="K214" t="str">
        <f>IFERROR(VLOOKUP(Logs_Registre[[#This Row],[Cell_ID]],Registre_Maintenance[],6,FALSE),"")</f>
        <v>ZTE</v>
      </c>
    </row>
    <row r="215" spans="1:11" x14ac:dyDescent="0.25">
      <c r="A215" s="1" t="s">
        <v>1382</v>
      </c>
      <c r="B215" s="1" t="s">
        <v>1399</v>
      </c>
      <c r="C215" s="2">
        <v>45224.709722222222</v>
      </c>
      <c r="D215" s="3">
        <v>45224.709722222222</v>
      </c>
      <c r="E215">
        <v>62</v>
      </c>
      <c r="F215" s="1" t="s">
        <v>735</v>
      </c>
      <c r="G215" t="str">
        <f>IFERROR(VLOOKUP(Logs_Registre[[#This Row],[Cell_ID]],Registre_Maintenance[],2,FALSE),"")</f>
        <v/>
      </c>
      <c r="H215" t="str">
        <f>IFERROR(VLOOKUP(Logs_Registre[[#This Row],[Cell_ID]],Registre_Maintenance[],3,FALSE),"")</f>
        <v/>
      </c>
      <c r="I215" t="str">
        <f>IFERROR(VLOOKUP(Logs_Registre[[#This Row],[Cell_ID]],Registre_Maintenance[],4,FALSE),"")</f>
        <v/>
      </c>
      <c r="J215" t="str">
        <f>IFERROR(VLOOKUP(Logs_Registre[[#This Row],[Cell_ID]],Registre_Maintenance[],5,FALSE),"")</f>
        <v/>
      </c>
      <c r="K215" t="str">
        <f>IFERROR(VLOOKUP(Logs_Registre[[#This Row],[Cell_ID]],Registre_Maintenance[],6,FALSE),"")</f>
        <v/>
      </c>
    </row>
    <row r="216" spans="1:11" x14ac:dyDescent="0.25">
      <c r="A216" s="1" t="s">
        <v>902</v>
      </c>
      <c r="B216" s="1" t="s">
        <v>913</v>
      </c>
      <c r="C216" s="2">
        <v>45224.683333333327</v>
      </c>
      <c r="D216" s="3">
        <v>45224.683333333327</v>
      </c>
      <c r="E216">
        <v>71</v>
      </c>
      <c r="F216" s="1" t="s">
        <v>732</v>
      </c>
      <c r="G216" t="str">
        <f>IFERROR(VLOOKUP(Logs_Registre[[#This Row],[Cell_ID]],Registre_Maintenance[],2,FALSE),"")</f>
        <v/>
      </c>
      <c r="H216" t="str">
        <f>IFERROR(VLOOKUP(Logs_Registre[[#This Row],[Cell_ID]],Registre_Maintenance[],3,FALSE),"")</f>
        <v/>
      </c>
      <c r="I216" t="str">
        <f>IFERROR(VLOOKUP(Logs_Registre[[#This Row],[Cell_ID]],Registre_Maintenance[],4,FALSE),"")</f>
        <v/>
      </c>
      <c r="J216" t="str">
        <f>IFERROR(VLOOKUP(Logs_Registre[[#This Row],[Cell_ID]],Registre_Maintenance[],5,FALSE),"")</f>
        <v/>
      </c>
      <c r="K216" t="str">
        <f>IFERROR(VLOOKUP(Logs_Registre[[#This Row],[Cell_ID]],Registre_Maintenance[],6,FALSE),"")</f>
        <v/>
      </c>
    </row>
    <row r="217" spans="1:11" x14ac:dyDescent="0.25">
      <c r="A217" s="1" t="s">
        <v>999</v>
      </c>
      <c r="B217" s="1" t="s">
        <v>887</v>
      </c>
      <c r="C217" s="2">
        <v>45224.671527777777</v>
      </c>
      <c r="D217" s="3">
        <v>45224.671527777777</v>
      </c>
      <c r="E217">
        <v>14</v>
      </c>
      <c r="F217" s="1" t="s">
        <v>737</v>
      </c>
      <c r="G217" t="str">
        <f>IFERROR(VLOOKUP(Logs_Registre[[#This Row],[Cell_ID]],Registre_Maintenance[],2,FALSE),"")</f>
        <v/>
      </c>
      <c r="H217" t="str">
        <f>IFERROR(VLOOKUP(Logs_Registre[[#This Row],[Cell_ID]],Registre_Maintenance[],3,FALSE),"")</f>
        <v/>
      </c>
      <c r="I217" t="str">
        <f>IFERROR(VLOOKUP(Logs_Registre[[#This Row],[Cell_ID]],Registre_Maintenance[],4,FALSE),"")</f>
        <v/>
      </c>
      <c r="J217" t="str">
        <f>IFERROR(VLOOKUP(Logs_Registre[[#This Row],[Cell_ID]],Registre_Maintenance[],5,FALSE),"")</f>
        <v/>
      </c>
      <c r="K217" t="str">
        <f>IFERROR(VLOOKUP(Logs_Registre[[#This Row],[Cell_ID]],Registre_Maintenance[],6,FALSE),"")</f>
        <v/>
      </c>
    </row>
    <row r="218" spans="1:11" x14ac:dyDescent="0.25">
      <c r="A218" s="1" t="s">
        <v>1404</v>
      </c>
      <c r="B218" s="1" t="s">
        <v>1412</v>
      </c>
      <c r="C218" s="2">
        <v>45224.6</v>
      </c>
      <c r="D218" s="3">
        <v>45224.6</v>
      </c>
      <c r="E218">
        <v>70</v>
      </c>
      <c r="F218" s="1" t="s">
        <v>737</v>
      </c>
      <c r="G218" t="str">
        <f>IFERROR(VLOOKUP(Logs_Registre[[#This Row],[Cell_ID]],Registre_Maintenance[],2,FALSE),"")</f>
        <v/>
      </c>
      <c r="H218" t="str">
        <f>IFERROR(VLOOKUP(Logs_Registre[[#This Row],[Cell_ID]],Registre_Maintenance[],3,FALSE),"")</f>
        <v/>
      </c>
      <c r="I218" t="str">
        <f>IFERROR(VLOOKUP(Logs_Registre[[#This Row],[Cell_ID]],Registre_Maintenance[],4,FALSE),"")</f>
        <v/>
      </c>
      <c r="J218" t="str">
        <f>IFERROR(VLOOKUP(Logs_Registre[[#This Row],[Cell_ID]],Registre_Maintenance[],5,FALSE),"")</f>
        <v/>
      </c>
      <c r="K218" t="str">
        <f>IFERROR(VLOOKUP(Logs_Registre[[#This Row],[Cell_ID]],Registre_Maintenance[],6,FALSE),"")</f>
        <v/>
      </c>
    </row>
    <row r="219" spans="1:11" x14ac:dyDescent="0.25">
      <c r="A219" s="1" t="s">
        <v>902</v>
      </c>
      <c r="B219" s="1" t="s">
        <v>911</v>
      </c>
      <c r="C219" s="2">
        <v>45224.568055555559</v>
      </c>
      <c r="D219" s="3">
        <v>45224.568055555559</v>
      </c>
      <c r="E219">
        <v>27</v>
      </c>
      <c r="F219" s="1" t="s">
        <v>732</v>
      </c>
      <c r="G219" t="str">
        <f>IFERROR(VLOOKUP(Logs_Registre[[#This Row],[Cell_ID]],Registre_Maintenance[],2,FALSE),"")</f>
        <v>Mai-Ndombe</v>
      </c>
      <c r="H219">
        <f>IFERROR(VLOOKUP(Logs_Registre[[#This Row],[Cell_ID]],Registre_Maintenance[],3,FALSE),"")</f>
        <v>-10.442425</v>
      </c>
      <c r="I219">
        <f>IFERROR(VLOOKUP(Logs_Registre[[#This Row],[Cell_ID]],Registre_Maintenance[],4,FALSE),"")</f>
        <v>23.243632000000002</v>
      </c>
      <c r="J219" t="str">
        <f>IFERROR(VLOOKUP(Logs_Registre[[#This Row],[Cell_ID]],Registre_Maintenance[],5,FALSE),"")</f>
        <v>4G</v>
      </c>
      <c r="K219" t="str">
        <f>IFERROR(VLOOKUP(Logs_Registre[[#This Row],[Cell_ID]],Registre_Maintenance[],6,FALSE),"")</f>
        <v>Nokia</v>
      </c>
    </row>
    <row r="220" spans="1:11" x14ac:dyDescent="0.25">
      <c r="A220" s="1" t="s">
        <v>861</v>
      </c>
      <c r="B220" s="1" t="s">
        <v>874</v>
      </c>
      <c r="C220" s="2">
        <v>45224.552777777782</v>
      </c>
      <c r="D220" s="3">
        <v>45224.552777777782</v>
      </c>
      <c r="E220">
        <v>60</v>
      </c>
      <c r="F220" s="1" t="s">
        <v>735</v>
      </c>
      <c r="G220" t="str">
        <f>IFERROR(VLOOKUP(Logs_Registre[[#This Row],[Cell_ID]],Registre_Maintenance[],2,FALSE),"")</f>
        <v/>
      </c>
      <c r="H220" t="str">
        <f>IFERROR(VLOOKUP(Logs_Registre[[#This Row],[Cell_ID]],Registre_Maintenance[],3,FALSE),"")</f>
        <v/>
      </c>
      <c r="I220" t="str">
        <f>IFERROR(VLOOKUP(Logs_Registre[[#This Row],[Cell_ID]],Registre_Maintenance[],4,FALSE),"")</f>
        <v/>
      </c>
      <c r="J220" t="str">
        <f>IFERROR(VLOOKUP(Logs_Registre[[#This Row],[Cell_ID]],Registre_Maintenance[],5,FALSE),"")</f>
        <v/>
      </c>
      <c r="K220" t="str">
        <f>IFERROR(VLOOKUP(Logs_Registre[[#This Row],[Cell_ID]],Registre_Maintenance[],6,FALSE),"")</f>
        <v/>
      </c>
    </row>
    <row r="221" spans="1:11" x14ac:dyDescent="0.25">
      <c r="A221" s="1" t="s">
        <v>1382</v>
      </c>
      <c r="B221" s="1" t="s">
        <v>749</v>
      </c>
      <c r="C221" s="2">
        <v>45224.482638888891</v>
      </c>
      <c r="D221" s="3">
        <v>45224.482638888891</v>
      </c>
      <c r="E221">
        <v>95</v>
      </c>
      <c r="F221" s="1" t="s">
        <v>735</v>
      </c>
      <c r="G221" t="str">
        <f>IFERROR(VLOOKUP(Logs_Registre[[#This Row],[Cell_ID]],Registre_Maintenance[],2,FALSE),"")</f>
        <v>Lomami</v>
      </c>
      <c r="H221">
        <f>IFERROR(VLOOKUP(Logs_Registre[[#This Row],[Cell_ID]],Registre_Maintenance[],3,FALSE),"")</f>
        <v>-2.2371569999999998</v>
      </c>
      <c r="I221">
        <f>IFERROR(VLOOKUP(Logs_Registre[[#This Row],[Cell_ID]],Registre_Maintenance[],4,FALSE),"")</f>
        <v>25.926188</v>
      </c>
      <c r="J221" t="str">
        <f>IFERROR(VLOOKUP(Logs_Registre[[#This Row],[Cell_ID]],Registre_Maintenance[],5,FALSE),"")</f>
        <v>3G</v>
      </c>
      <c r="K221" t="str">
        <f>IFERROR(VLOOKUP(Logs_Registre[[#This Row],[Cell_ID]],Registre_Maintenance[],6,FALSE),"")</f>
        <v>Nokia</v>
      </c>
    </row>
    <row r="222" spans="1:11" x14ac:dyDescent="0.25">
      <c r="A222" s="1" t="s">
        <v>1165</v>
      </c>
      <c r="B222" s="1" t="s">
        <v>756</v>
      </c>
      <c r="C222" s="2">
        <v>45224.456944444442</v>
      </c>
      <c r="D222" s="3">
        <v>45224.456944444442</v>
      </c>
      <c r="E222">
        <v>32</v>
      </c>
      <c r="F222" s="1" t="s">
        <v>732</v>
      </c>
      <c r="G222" t="str">
        <f>IFERROR(VLOOKUP(Logs_Registre[[#This Row],[Cell_ID]],Registre_Maintenance[],2,FALSE),"")</f>
        <v/>
      </c>
      <c r="H222" t="str">
        <f>IFERROR(VLOOKUP(Logs_Registre[[#This Row],[Cell_ID]],Registre_Maintenance[],3,FALSE),"")</f>
        <v/>
      </c>
      <c r="I222" t="str">
        <f>IFERROR(VLOOKUP(Logs_Registre[[#This Row],[Cell_ID]],Registre_Maintenance[],4,FALSE),"")</f>
        <v/>
      </c>
      <c r="J222" t="str">
        <f>IFERROR(VLOOKUP(Logs_Registre[[#This Row],[Cell_ID]],Registre_Maintenance[],5,FALSE),"")</f>
        <v/>
      </c>
      <c r="K222" t="str">
        <f>IFERROR(VLOOKUP(Logs_Registre[[#This Row],[Cell_ID]],Registre_Maintenance[],6,FALSE),"")</f>
        <v/>
      </c>
    </row>
    <row r="223" spans="1:11" x14ac:dyDescent="0.25">
      <c r="A223" s="1" t="s">
        <v>1330</v>
      </c>
      <c r="B223" s="1" t="s">
        <v>753</v>
      </c>
      <c r="C223" s="2">
        <v>45224.428472222222</v>
      </c>
      <c r="D223" s="3">
        <v>45224.428472222222</v>
      </c>
      <c r="E223">
        <v>65</v>
      </c>
      <c r="F223" s="1" t="s">
        <v>735</v>
      </c>
      <c r="G223" t="str">
        <f>IFERROR(VLOOKUP(Logs_Registre[[#This Row],[Cell_ID]],Registre_Maintenance[],2,FALSE),"")</f>
        <v>Haut-Katanga</v>
      </c>
      <c r="H223">
        <f>IFERROR(VLOOKUP(Logs_Registre[[#This Row],[Cell_ID]],Registre_Maintenance[],3,FALSE),"")</f>
        <v>0.172153</v>
      </c>
      <c r="I223">
        <f>IFERROR(VLOOKUP(Logs_Registre[[#This Row],[Cell_ID]],Registre_Maintenance[],4,FALSE),"")</f>
        <v>21.091376</v>
      </c>
      <c r="J223" t="str">
        <f>IFERROR(VLOOKUP(Logs_Registre[[#This Row],[Cell_ID]],Registre_Maintenance[],5,FALSE),"")</f>
        <v>3G</v>
      </c>
      <c r="K223" t="str">
        <f>IFERROR(VLOOKUP(Logs_Registre[[#This Row],[Cell_ID]],Registre_Maintenance[],6,FALSE),"")</f>
        <v>Ericsson</v>
      </c>
    </row>
    <row r="224" spans="1:11" x14ac:dyDescent="0.25">
      <c r="A224" s="1" t="s">
        <v>730</v>
      </c>
      <c r="B224" s="1" t="s">
        <v>734</v>
      </c>
      <c r="C224" s="2">
        <v>45224.378472222219</v>
      </c>
      <c r="D224" s="3">
        <v>45224.378472222219</v>
      </c>
      <c r="E224">
        <v>53</v>
      </c>
      <c r="F224" s="1" t="s">
        <v>737</v>
      </c>
      <c r="G224" t="str">
        <f>IFERROR(VLOOKUP(Logs_Registre[[#This Row],[Cell_ID]],Registre_Maintenance[],2,FALSE),"")</f>
        <v/>
      </c>
      <c r="H224" t="str">
        <f>IFERROR(VLOOKUP(Logs_Registre[[#This Row],[Cell_ID]],Registre_Maintenance[],3,FALSE),"")</f>
        <v/>
      </c>
      <c r="I224" t="str">
        <f>IFERROR(VLOOKUP(Logs_Registre[[#This Row],[Cell_ID]],Registre_Maintenance[],4,FALSE),"")</f>
        <v/>
      </c>
      <c r="J224" t="str">
        <f>IFERROR(VLOOKUP(Logs_Registre[[#This Row],[Cell_ID]],Registre_Maintenance[],5,FALSE),"")</f>
        <v/>
      </c>
      <c r="K224" t="str">
        <f>IFERROR(VLOOKUP(Logs_Registre[[#This Row],[Cell_ID]],Registre_Maintenance[],6,FALSE),"")</f>
        <v/>
      </c>
    </row>
    <row r="225" spans="1:11" x14ac:dyDescent="0.25">
      <c r="A225" s="1" t="s">
        <v>1138</v>
      </c>
      <c r="B225" s="1" t="s">
        <v>1143</v>
      </c>
      <c r="C225" s="2">
        <v>45224.347916666673</v>
      </c>
      <c r="D225" s="3">
        <v>45224.347916666673</v>
      </c>
      <c r="E225">
        <v>14</v>
      </c>
      <c r="F225" s="1" t="s">
        <v>732</v>
      </c>
      <c r="G225" t="str">
        <f>IFERROR(VLOOKUP(Logs_Registre[[#This Row],[Cell_ID]],Registre_Maintenance[],2,FALSE),"")</f>
        <v>Tshuapa</v>
      </c>
      <c r="H225">
        <f>IFERROR(VLOOKUP(Logs_Registre[[#This Row],[Cell_ID]],Registre_Maintenance[],3,FALSE),"")</f>
        <v>-7.789663</v>
      </c>
      <c r="I225">
        <f>IFERROR(VLOOKUP(Logs_Registre[[#This Row],[Cell_ID]],Registre_Maintenance[],4,FALSE),"")</f>
        <v>26.529098000000001</v>
      </c>
      <c r="J225" t="str">
        <f>IFERROR(VLOOKUP(Logs_Registre[[#This Row],[Cell_ID]],Registre_Maintenance[],5,FALSE),"")</f>
        <v>5G</v>
      </c>
      <c r="K225" t="str">
        <f>IFERROR(VLOOKUP(Logs_Registre[[#This Row],[Cell_ID]],Registre_Maintenance[],6,FALSE),"")</f>
        <v>Nokia</v>
      </c>
    </row>
    <row r="226" spans="1:11" x14ac:dyDescent="0.25">
      <c r="A226" s="1" t="s">
        <v>1241</v>
      </c>
      <c r="B226" s="1" t="s">
        <v>1161</v>
      </c>
      <c r="C226" s="2">
        <v>45224.310416666667</v>
      </c>
      <c r="D226" s="3">
        <v>45224.310416666667</v>
      </c>
      <c r="E226">
        <v>98</v>
      </c>
      <c r="F226" s="1" t="s">
        <v>735</v>
      </c>
      <c r="G226" t="str">
        <f>IFERROR(VLOOKUP(Logs_Registre[[#This Row],[Cell_ID]],Registre_Maintenance[],2,FALSE),"")</f>
        <v/>
      </c>
      <c r="H226" t="str">
        <f>IFERROR(VLOOKUP(Logs_Registre[[#This Row],[Cell_ID]],Registre_Maintenance[],3,FALSE),"")</f>
        <v/>
      </c>
      <c r="I226" t="str">
        <f>IFERROR(VLOOKUP(Logs_Registre[[#This Row],[Cell_ID]],Registre_Maintenance[],4,FALSE),"")</f>
        <v/>
      </c>
      <c r="J226" t="str">
        <f>IFERROR(VLOOKUP(Logs_Registre[[#This Row],[Cell_ID]],Registre_Maintenance[],5,FALSE),"")</f>
        <v/>
      </c>
      <c r="K226" t="str">
        <f>IFERROR(VLOOKUP(Logs_Registre[[#This Row],[Cell_ID]],Registre_Maintenance[],6,FALSE),"")</f>
        <v/>
      </c>
    </row>
    <row r="227" spans="1:11" x14ac:dyDescent="0.25">
      <c r="A227" s="1" t="s">
        <v>1288</v>
      </c>
      <c r="B227" s="1" t="s">
        <v>1292</v>
      </c>
      <c r="C227" s="2">
        <v>45224.297222222223</v>
      </c>
      <c r="D227" s="3">
        <v>45224.297222222223</v>
      </c>
      <c r="E227">
        <v>12</v>
      </c>
      <c r="F227" s="1" t="s">
        <v>737</v>
      </c>
      <c r="G227" t="str">
        <f>IFERROR(VLOOKUP(Logs_Registre[[#This Row],[Cell_ID]],Registre_Maintenance[],2,FALSE),"")</f>
        <v/>
      </c>
      <c r="H227" t="str">
        <f>IFERROR(VLOOKUP(Logs_Registre[[#This Row],[Cell_ID]],Registre_Maintenance[],3,FALSE),"")</f>
        <v/>
      </c>
      <c r="I227" t="str">
        <f>IFERROR(VLOOKUP(Logs_Registre[[#This Row],[Cell_ID]],Registre_Maintenance[],4,FALSE),"")</f>
        <v/>
      </c>
      <c r="J227" t="str">
        <f>IFERROR(VLOOKUP(Logs_Registre[[#This Row],[Cell_ID]],Registre_Maintenance[],5,FALSE),"")</f>
        <v/>
      </c>
      <c r="K227" t="str">
        <f>IFERROR(VLOOKUP(Logs_Registre[[#This Row],[Cell_ID]],Registre_Maintenance[],6,FALSE),"")</f>
        <v/>
      </c>
    </row>
    <row r="228" spans="1:11" x14ac:dyDescent="0.25">
      <c r="A228" s="1" t="s">
        <v>1404</v>
      </c>
      <c r="B228" s="1" t="s">
        <v>1070</v>
      </c>
      <c r="C228" s="2">
        <v>45224.288194444453</v>
      </c>
      <c r="D228" s="3">
        <v>45224.288194444453</v>
      </c>
      <c r="E228">
        <v>116</v>
      </c>
      <c r="F228" s="1" t="s">
        <v>737</v>
      </c>
      <c r="G228" t="str">
        <f>IFERROR(VLOOKUP(Logs_Registre[[#This Row],[Cell_ID]],Registre_Maintenance[],2,FALSE),"")</f>
        <v/>
      </c>
      <c r="H228" t="str">
        <f>IFERROR(VLOOKUP(Logs_Registre[[#This Row],[Cell_ID]],Registre_Maintenance[],3,FALSE),"")</f>
        <v/>
      </c>
      <c r="I228" t="str">
        <f>IFERROR(VLOOKUP(Logs_Registre[[#This Row],[Cell_ID]],Registre_Maintenance[],4,FALSE),"")</f>
        <v/>
      </c>
      <c r="J228" t="str">
        <f>IFERROR(VLOOKUP(Logs_Registre[[#This Row],[Cell_ID]],Registre_Maintenance[],5,FALSE),"")</f>
        <v/>
      </c>
      <c r="K228" t="str">
        <f>IFERROR(VLOOKUP(Logs_Registre[[#This Row],[Cell_ID]],Registre_Maintenance[],6,FALSE),"")</f>
        <v/>
      </c>
    </row>
    <row r="229" spans="1:11" x14ac:dyDescent="0.25">
      <c r="A229" s="1" t="s">
        <v>1345</v>
      </c>
      <c r="B229" s="1" t="s">
        <v>1355</v>
      </c>
      <c r="C229" s="2">
        <v>45224.229861111111</v>
      </c>
      <c r="D229" s="3">
        <v>45224.229861111111</v>
      </c>
      <c r="E229">
        <v>20</v>
      </c>
      <c r="F229" s="1" t="s">
        <v>732</v>
      </c>
      <c r="G229" t="str">
        <f>IFERROR(VLOOKUP(Logs_Registre[[#This Row],[Cell_ID]],Registre_Maintenance[],2,FALSE),"")</f>
        <v>Nord-Kivu</v>
      </c>
      <c r="H229">
        <f>IFERROR(VLOOKUP(Logs_Registre[[#This Row],[Cell_ID]],Registre_Maintenance[],3,FALSE),"")</f>
        <v>-10.298385</v>
      </c>
      <c r="I229">
        <f>IFERROR(VLOOKUP(Logs_Registre[[#This Row],[Cell_ID]],Registre_Maintenance[],4,FALSE),"")</f>
        <v>29.698117</v>
      </c>
      <c r="J229" t="str">
        <f>IFERROR(VLOOKUP(Logs_Registre[[#This Row],[Cell_ID]],Registre_Maintenance[],5,FALSE),"")</f>
        <v>5G</v>
      </c>
      <c r="K229" t="str">
        <f>IFERROR(VLOOKUP(Logs_Registre[[#This Row],[Cell_ID]],Registre_Maintenance[],6,FALSE),"")</f>
        <v>Nokia</v>
      </c>
    </row>
    <row r="230" spans="1:11" x14ac:dyDescent="0.25">
      <c r="A230" s="1" t="s">
        <v>978</v>
      </c>
      <c r="B230" s="1" t="s">
        <v>886</v>
      </c>
      <c r="C230" s="2">
        <v>45224.201388888891</v>
      </c>
      <c r="D230" s="3">
        <v>45224.201388888891</v>
      </c>
      <c r="E230">
        <v>43</v>
      </c>
      <c r="F230" s="1" t="s">
        <v>737</v>
      </c>
      <c r="G230" t="str">
        <f>IFERROR(VLOOKUP(Logs_Registre[[#This Row],[Cell_ID]],Registre_Maintenance[],2,FALSE),"")</f>
        <v>Maniema</v>
      </c>
      <c r="H230">
        <f>IFERROR(VLOOKUP(Logs_Registre[[#This Row],[Cell_ID]],Registre_Maintenance[],3,FALSE),"")</f>
        <v>-4.6818410000000004</v>
      </c>
      <c r="I230">
        <f>IFERROR(VLOOKUP(Logs_Registre[[#This Row],[Cell_ID]],Registre_Maintenance[],4,FALSE),"")</f>
        <v>17.541618</v>
      </c>
      <c r="J230" t="str">
        <f>IFERROR(VLOOKUP(Logs_Registre[[#This Row],[Cell_ID]],Registre_Maintenance[],5,FALSE),"")</f>
        <v>4G</v>
      </c>
      <c r="K230" t="str">
        <f>IFERROR(VLOOKUP(Logs_Registre[[#This Row],[Cell_ID]],Registre_Maintenance[],6,FALSE),"")</f>
        <v>Ericsson</v>
      </c>
    </row>
    <row r="231" spans="1:11" x14ac:dyDescent="0.25">
      <c r="A231" s="1" t="s">
        <v>1241</v>
      </c>
      <c r="B231" s="1" t="s">
        <v>1260</v>
      </c>
      <c r="C231" s="2">
        <v>45224.195138888892</v>
      </c>
      <c r="D231" s="3">
        <v>45224.195138888892</v>
      </c>
      <c r="E231">
        <v>81</v>
      </c>
      <c r="F231" s="1" t="s">
        <v>735</v>
      </c>
      <c r="G231" t="str">
        <f>IFERROR(VLOOKUP(Logs_Registre[[#This Row],[Cell_ID]],Registre_Maintenance[],2,FALSE),"")</f>
        <v>Bas-Uele</v>
      </c>
      <c r="H231">
        <f>IFERROR(VLOOKUP(Logs_Registre[[#This Row],[Cell_ID]],Registre_Maintenance[],3,FALSE),"")</f>
        <v>-1.500685</v>
      </c>
      <c r="I231">
        <f>IFERROR(VLOOKUP(Logs_Registre[[#This Row],[Cell_ID]],Registre_Maintenance[],4,FALSE),"")</f>
        <v>26.563376000000002</v>
      </c>
      <c r="J231" t="str">
        <f>IFERROR(VLOOKUP(Logs_Registre[[#This Row],[Cell_ID]],Registre_Maintenance[],5,FALSE),"")</f>
        <v>5G</v>
      </c>
      <c r="K231" t="str">
        <f>IFERROR(VLOOKUP(Logs_Registre[[#This Row],[Cell_ID]],Registre_Maintenance[],6,FALSE),"")</f>
        <v>Nokia</v>
      </c>
    </row>
    <row r="232" spans="1:11" x14ac:dyDescent="0.25">
      <c r="A232" s="1" t="s">
        <v>1261</v>
      </c>
      <c r="B232" s="1" t="s">
        <v>1276</v>
      </c>
      <c r="C232" s="2">
        <v>45224.164583333331</v>
      </c>
      <c r="D232" s="3">
        <v>45224.164583333331</v>
      </c>
      <c r="E232">
        <v>57</v>
      </c>
      <c r="F232" s="1" t="s">
        <v>735</v>
      </c>
      <c r="G232" t="str">
        <f>IFERROR(VLOOKUP(Logs_Registre[[#This Row],[Cell_ID]],Registre_Maintenance[],2,FALSE),"")</f>
        <v/>
      </c>
      <c r="H232" t="str">
        <f>IFERROR(VLOOKUP(Logs_Registre[[#This Row],[Cell_ID]],Registre_Maintenance[],3,FALSE),"")</f>
        <v/>
      </c>
      <c r="I232" t="str">
        <f>IFERROR(VLOOKUP(Logs_Registre[[#This Row],[Cell_ID]],Registre_Maintenance[],4,FALSE),"")</f>
        <v/>
      </c>
      <c r="J232" t="str">
        <f>IFERROR(VLOOKUP(Logs_Registre[[#This Row],[Cell_ID]],Registre_Maintenance[],5,FALSE),"")</f>
        <v/>
      </c>
      <c r="K232" t="str">
        <f>IFERROR(VLOOKUP(Logs_Registre[[#This Row],[Cell_ID]],Registre_Maintenance[],6,FALSE),"")</f>
        <v/>
      </c>
    </row>
    <row r="233" spans="1:11" x14ac:dyDescent="0.25">
      <c r="A233" s="1" t="s">
        <v>1193</v>
      </c>
      <c r="B233" s="1" t="s">
        <v>1214</v>
      </c>
      <c r="C233" s="2">
        <v>45224.115277777782</v>
      </c>
      <c r="D233" s="3">
        <v>45224.115277777782</v>
      </c>
      <c r="E233">
        <v>45</v>
      </c>
      <c r="F233" s="1" t="s">
        <v>735</v>
      </c>
      <c r="G233" t="str">
        <f>IFERROR(VLOOKUP(Logs_Registre[[#This Row],[Cell_ID]],Registre_Maintenance[],2,FALSE),"")</f>
        <v>Tshopo</v>
      </c>
      <c r="H233">
        <f>IFERROR(VLOOKUP(Logs_Registre[[#This Row],[Cell_ID]],Registre_Maintenance[],3,FALSE),"")</f>
        <v>-11.265995</v>
      </c>
      <c r="I233">
        <f>IFERROR(VLOOKUP(Logs_Registre[[#This Row],[Cell_ID]],Registre_Maintenance[],4,FALSE),"")</f>
        <v>28.935514999999999</v>
      </c>
      <c r="J233" t="str">
        <f>IFERROR(VLOOKUP(Logs_Registre[[#This Row],[Cell_ID]],Registre_Maintenance[],5,FALSE),"")</f>
        <v>4G</v>
      </c>
      <c r="K233" t="str">
        <f>IFERROR(VLOOKUP(Logs_Registre[[#This Row],[Cell_ID]],Registre_Maintenance[],6,FALSE),"")</f>
        <v>Ericsson</v>
      </c>
    </row>
    <row r="234" spans="1:11" x14ac:dyDescent="0.25">
      <c r="A234" s="1" t="s">
        <v>1345</v>
      </c>
      <c r="B234" s="1" t="s">
        <v>1353</v>
      </c>
      <c r="C234" s="2">
        <v>45224.104861111111</v>
      </c>
      <c r="D234" s="3">
        <v>45224.104861111111</v>
      </c>
      <c r="E234">
        <v>98</v>
      </c>
      <c r="F234" s="1" t="s">
        <v>737</v>
      </c>
      <c r="G234" t="str">
        <f>IFERROR(VLOOKUP(Logs_Registre[[#This Row],[Cell_ID]],Registre_Maintenance[],2,FALSE),"")</f>
        <v>Tanganyika</v>
      </c>
      <c r="H234">
        <f>IFERROR(VLOOKUP(Logs_Registre[[#This Row],[Cell_ID]],Registre_Maintenance[],3,FALSE),"")</f>
        <v>-7.0007840000000003</v>
      </c>
      <c r="I234">
        <f>IFERROR(VLOOKUP(Logs_Registre[[#This Row],[Cell_ID]],Registre_Maintenance[],4,FALSE),"")</f>
        <v>22.787997000000001</v>
      </c>
      <c r="J234" t="str">
        <f>IFERROR(VLOOKUP(Logs_Registre[[#This Row],[Cell_ID]],Registre_Maintenance[],5,FALSE),"")</f>
        <v>5G</v>
      </c>
      <c r="K234" t="str">
        <f>IFERROR(VLOOKUP(Logs_Registre[[#This Row],[Cell_ID]],Registre_Maintenance[],6,FALSE),"")</f>
        <v>ZTE</v>
      </c>
    </row>
    <row r="235" spans="1:11" x14ac:dyDescent="0.25">
      <c r="A235" s="1" t="s">
        <v>779</v>
      </c>
      <c r="B235" s="1" t="s">
        <v>821</v>
      </c>
      <c r="C235" s="2">
        <v>45224.083333333343</v>
      </c>
      <c r="D235" s="3">
        <v>45224.083333333343</v>
      </c>
      <c r="E235">
        <v>31</v>
      </c>
      <c r="F235" s="1" t="s">
        <v>732</v>
      </c>
      <c r="G235" t="str">
        <f>IFERROR(VLOOKUP(Logs_Registre[[#This Row],[Cell_ID]],Registre_Maintenance[],2,FALSE),"")</f>
        <v/>
      </c>
      <c r="H235" t="str">
        <f>IFERROR(VLOOKUP(Logs_Registre[[#This Row],[Cell_ID]],Registre_Maintenance[],3,FALSE),"")</f>
        <v/>
      </c>
      <c r="I235" t="str">
        <f>IFERROR(VLOOKUP(Logs_Registre[[#This Row],[Cell_ID]],Registre_Maintenance[],4,FALSE),"")</f>
        <v/>
      </c>
      <c r="J235" t="str">
        <f>IFERROR(VLOOKUP(Logs_Registre[[#This Row],[Cell_ID]],Registre_Maintenance[],5,FALSE),"")</f>
        <v/>
      </c>
      <c r="K235" t="str">
        <f>IFERROR(VLOOKUP(Logs_Registre[[#This Row],[Cell_ID]],Registre_Maintenance[],6,FALSE),"")</f>
        <v/>
      </c>
    </row>
    <row r="236" spans="1:11" x14ac:dyDescent="0.25">
      <c r="A236" s="1" t="s">
        <v>861</v>
      </c>
      <c r="B236" s="1" t="s">
        <v>809</v>
      </c>
      <c r="C236" s="2">
        <v>45224.010416666657</v>
      </c>
      <c r="D236" s="3">
        <v>45224.010416666657</v>
      </c>
      <c r="E236">
        <v>114</v>
      </c>
      <c r="F236" s="1" t="s">
        <v>737</v>
      </c>
      <c r="G236" t="str">
        <f>IFERROR(VLOOKUP(Logs_Registre[[#This Row],[Cell_ID]],Registre_Maintenance[],2,FALSE),"")</f>
        <v>Kwango</v>
      </c>
      <c r="H236">
        <f>IFERROR(VLOOKUP(Logs_Registre[[#This Row],[Cell_ID]],Registre_Maintenance[],3,FALSE),"")</f>
        <v>-9.7712979999999998</v>
      </c>
      <c r="I236">
        <f>IFERROR(VLOOKUP(Logs_Registre[[#This Row],[Cell_ID]],Registre_Maintenance[],4,FALSE),"")</f>
        <v>19.827895999999999</v>
      </c>
      <c r="J236" t="str">
        <f>IFERROR(VLOOKUP(Logs_Registre[[#This Row],[Cell_ID]],Registre_Maintenance[],5,FALSE),"")</f>
        <v>3G</v>
      </c>
      <c r="K236" t="str">
        <f>IFERROR(VLOOKUP(Logs_Registre[[#This Row],[Cell_ID]],Registre_Maintenance[],6,FALSE),"")</f>
        <v>ZTE</v>
      </c>
    </row>
    <row r="237" spans="1:11" x14ac:dyDescent="0.25">
      <c r="A237" s="1" t="s">
        <v>823</v>
      </c>
      <c r="B237" s="1" t="s">
        <v>834</v>
      </c>
      <c r="C237" s="2">
        <v>45223.990972222222</v>
      </c>
      <c r="D237" s="3">
        <v>45223.990972222222</v>
      </c>
      <c r="E237">
        <v>23</v>
      </c>
      <c r="F237" s="1" t="s">
        <v>732</v>
      </c>
      <c r="G237" t="str">
        <f>IFERROR(VLOOKUP(Logs_Registre[[#This Row],[Cell_ID]],Registre_Maintenance[],2,FALSE),"")</f>
        <v>Sankuru</v>
      </c>
      <c r="H237">
        <f>IFERROR(VLOOKUP(Logs_Registre[[#This Row],[Cell_ID]],Registre_Maintenance[],3,FALSE),"")</f>
        <v>-8.0922239999999999</v>
      </c>
      <c r="I237">
        <f>IFERROR(VLOOKUP(Logs_Registre[[#This Row],[Cell_ID]],Registre_Maintenance[],4,FALSE),"")</f>
        <v>15.483708</v>
      </c>
      <c r="J237" t="str">
        <f>IFERROR(VLOOKUP(Logs_Registre[[#This Row],[Cell_ID]],Registre_Maintenance[],5,FALSE),"")</f>
        <v>5G</v>
      </c>
      <c r="K237" t="str">
        <f>IFERROR(VLOOKUP(Logs_Registre[[#This Row],[Cell_ID]],Registre_Maintenance[],6,FALSE),"")</f>
        <v>Nokia</v>
      </c>
    </row>
    <row r="238" spans="1:11" x14ac:dyDescent="0.25">
      <c r="A238" s="1" t="s">
        <v>1404</v>
      </c>
      <c r="B238" s="1" t="s">
        <v>1407</v>
      </c>
      <c r="C238" s="2">
        <v>45223.794444444437</v>
      </c>
      <c r="D238" s="3">
        <v>45223.794444444437</v>
      </c>
      <c r="E238">
        <v>97</v>
      </c>
      <c r="F238" s="1" t="s">
        <v>732</v>
      </c>
      <c r="G238" t="str">
        <f>IFERROR(VLOOKUP(Logs_Registre[[#This Row],[Cell_ID]],Registre_Maintenance[],2,FALSE),"")</f>
        <v>Haut-Uele</v>
      </c>
      <c r="H238">
        <f>IFERROR(VLOOKUP(Logs_Registre[[#This Row],[Cell_ID]],Registre_Maintenance[],3,FALSE),"")</f>
        <v>1.0134879999999999</v>
      </c>
      <c r="I238">
        <f>IFERROR(VLOOKUP(Logs_Registre[[#This Row],[Cell_ID]],Registre_Maintenance[],4,FALSE),"")</f>
        <v>20.363515</v>
      </c>
      <c r="J238" t="str">
        <f>IFERROR(VLOOKUP(Logs_Registre[[#This Row],[Cell_ID]],Registre_Maintenance[],5,FALSE),"")</f>
        <v>4G</v>
      </c>
      <c r="K238" t="str">
        <f>IFERROR(VLOOKUP(Logs_Registre[[#This Row],[Cell_ID]],Registre_Maintenance[],6,FALSE),"")</f>
        <v>Nokia</v>
      </c>
    </row>
    <row r="239" spans="1:11" x14ac:dyDescent="0.25">
      <c r="A239" s="1" t="s">
        <v>1361</v>
      </c>
      <c r="B239" s="1" t="s">
        <v>1041</v>
      </c>
      <c r="C239" s="2">
        <v>45223.759722222218</v>
      </c>
      <c r="D239" s="3">
        <v>45223.759722222218</v>
      </c>
      <c r="E239">
        <v>78</v>
      </c>
      <c r="F239" s="1" t="s">
        <v>735</v>
      </c>
      <c r="G239" t="str">
        <f>IFERROR(VLOOKUP(Logs_Registre[[#This Row],[Cell_ID]],Registre_Maintenance[],2,FALSE),"")</f>
        <v>Mongala</v>
      </c>
      <c r="H239">
        <f>IFERROR(VLOOKUP(Logs_Registre[[#This Row],[Cell_ID]],Registre_Maintenance[],3,FALSE),"")</f>
        <v>-5.3762689999999997</v>
      </c>
      <c r="I239">
        <f>IFERROR(VLOOKUP(Logs_Registre[[#This Row],[Cell_ID]],Registre_Maintenance[],4,FALSE),"")</f>
        <v>28.189575999999999</v>
      </c>
      <c r="J239" t="str">
        <f>IFERROR(VLOOKUP(Logs_Registre[[#This Row],[Cell_ID]],Registre_Maintenance[],5,FALSE),"")</f>
        <v>5G</v>
      </c>
      <c r="K239" t="str">
        <f>IFERROR(VLOOKUP(Logs_Registre[[#This Row],[Cell_ID]],Registre_Maintenance[],6,FALSE),"")</f>
        <v>Huawei</v>
      </c>
    </row>
    <row r="240" spans="1:11" x14ac:dyDescent="0.25">
      <c r="A240" s="1" t="s">
        <v>1382</v>
      </c>
      <c r="B240" s="1" t="s">
        <v>948</v>
      </c>
      <c r="C240" s="2">
        <v>45223.736111111109</v>
      </c>
      <c r="D240" s="3">
        <v>45223.736111111109</v>
      </c>
      <c r="E240">
        <v>116</v>
      </c>
      <c r="F240" s="1" t="s">
        <v>735</v>
      </c>
      <c r="G240" t="str">
        <f>IFERROR(VLOOKUP(Logs_Registre[[#This Row],[Cell_ID]],Registre_Maintenance[],2,FALSE),"")</f>
        <v>Haut-Katanga</v>
      </c>
      <c r="H240">
        <f>IFERROR(VLOOKUP(Logs_Registre[[#This Row],[Cell_ID]],Registre_Maintenance[],3,FALSE),"")</f>
        <v>0.16841400000000001</v>
      </c>
      <c r="I240">
        <f>IFERROR(VLOOKUP(Logs_Registre[[#This Row],[Cell_ID]],Registre_Maintenance[],4,FALSE),"")</f>
        <v>30.029876999999999</v>
      </c>
      <c r="J240" t="str">
        <f>IFERROR(VLOOKUP(Logs_Registre[[#This Row],[Cell_ID]],Registre_Maintenance[],5,FALSE),"")</f>
        <v>5G</v>
      </c>
      <c r="K240" t="str">
        <f>IFERROR(VLOOKUP(Logs_Registre[[#This Row],[Cell_ID]],Registre_Maintenance[],6,FALSE),"")</f>
        <v>Huawei</v>
      </c>
    </row>
    <row r="241" spans="1:11" x14ac:dyDescent="0.25">
      <c r="A241" s="1" t="s">
        <v>1308</v>
      </c>
      <c r="B241" s="1" t="s">
        <v>1033</v>
      </c>
      <c r="C241" s="2">
        <v>45223.719444444447</v>
      </c>
      <c r="D241" s="3">
        <v>45223.719444444447</v>
      </c>
      <c r="E241">
        <v>61</v>
      </c>
      <c r="F241" s="1" t="s">
        <v>735</v>
      </c>
      <c r="G241" t="str">
        <f>IFERROR(VLOOKUP(Logs_Registre[[#This Row],[Cell_ID]],Registre_Maintenance[],2,FALSE),"")</f>
        <v/>
      </c>
      <c r="H241" t="str">
        <f>IFERROR(VLOOKUP(Logs_Registre[[#This Row],[Cell_ID]],Registre_Maintenance[],3,FALSE),"")</f>
        <v/>
      </c>
      <c r="I241" t="str">
        <f>IFERROR(VLOOKUP(Logs_Registre[[#This Row],[Cell_ID]],Registre_Maintenance[],4,FALSE),"")</f>
        <v/>
      </c>
      <c r="J241" t="str">
        <f>IFERROR(VLOOKUP(Logs_Registre[[#This Row],[Cell_ID]],Registre_Maintenance[],5,FALSE),"")</f>
        <v/>
      </c>
      <c r="K241" t="str">
        <f>IFERROR(VLOOKUP(Logs_Registre[[#This Row],[Cell_ID]],Registre_Maintenance[],6,FALSE),"")</f>
        <v/>
      </c>
    </row>
    <row r="242" spans="1:11" x14ac:dyDescent="0.25">
      <c r="A242" s="1" t="s">
        <v>779</v>
      </c>
      <c r="B242" s="1" t="s">
        <v>804</v>
      </c>
      <c r="C242" s="2">
        <v>45223.710416666669</v>
      </c>
      <c r="D242" s="3">
        <v>45223.710416666669</v>
      </c>
      <c r="E242">
        <v>43</v>
      </c>
      <c r="F242" s="1" t="s">
        <v>735</v>
      </c>
      <c r="G242" t="str">
        <f>IFERROR(VLOOKUP(Logs_Registre[[#This Row],[Cell_ID]],Registre_Maintenance[],2,FALSE),"")</f>
        <v/>
      </c>
      <c r="H242" t="str">
        <f>IFERROR(VLOOKUP(Logs_Registre[[#This Row],[Cell_ID]],Registre_Maintenance[],3,FALSE),"")</f>
        <v/>
      </c>
      <c r="I242" t="str">
        <f>IFERROR(VLOOKUP(Logs_Registre[[#This Row],[Cell_ID]],Registre_Maintenance[],4,FALSE),"")</f>
        <v/>
      </c>
      <c r="J242" t="str">
        <f>IFERROR(VLOOKUP(Logs_Registre[[#This Row],[Cell_ID]],Registre_Maintenance[],5,FALSE),"")</f>
        <v/>
      </c>
      <c r="K242" t="str">
        <f>IFERROR(VLOOKUP(Logs_Registre[[#This Row],[Cell_ID]],Registre_Maintenance[],6,FALSE),"")</f>
        <v/>
      </c>
    </row>
    <row r="243" spans="1:11" x14ac:dyDescent="0.25">
      <c r="A243" s="1" t="s">
        <v>1345</v>
      </c>
      <c r="B243" s="1" t="s">
        <v>1338</v>
      </c>
      <c r="C243" s="2">
        <v>45223.693055555559</v>
      </c>
      <c r="D243" s="3">
        <v>45223.693055555559</v>
      </c>
      <c r="E243">
        <v>18</v>
      </c>
      <c r="F243" s="1" t="s">
        <v>735</v>
      </c>
      <c r="G243" t="str">
        <f>IFERROR(VLOOKUP(Logs_Registre[[#This Row],[Cell_ID]],Registre_Maintenance[],2,FALSE),"")</f>
        <v/>
      </c>
      <c r="H243" t="str">
        <f>IFERROR(VLOOKUP(Logs_Registre[[#This Row],[Cell_ID]],Registre_Maintenance[],3,FALSE),"")</f>
        <v/>
      </c>
      <c r="I243" t="str">
        <f>IFERROR(VLOOKUP(Logs_Registre[[#This Row],[Cell_ID]],Registre_Maintenance[],4,FALSE),"")</f>
        <v/>
      </c>
      <c r="J243" t="str">
        <f>IFERROR(VLOOKUP(Logs_Registre[[#This Row],[Cell_ID]],Registre_Maintenance[],5,FALSE),"")</f>
        <v/>
      </c>
      <c r="K243" t="str">
        <f>IFERROR(VLOOKUP(Logs_Registre[[#This Row],[Cell_ID]],Registre_Maintenance[],6,FALSE),"")</f>
        <v/>
      </c>
    </row>
    <row r="244" spans="1:11" x14ac:dyDescent="0.25">
      <c r="A244" s="1" t="s">
        <v>1086</v>
      </c>
      <c r="B244" s="1" t="s">
        <v>1097</v>
      </c>
      <c r="C244" s="2">
        <v>45223.647916666669</v>
      </c>
      <c r="D244" s="3">
        <v>45223.647916666669</v>
      </c>
      <c r="E244">
        <v>14</v>
      </c>
      <c r="F244" s="1" t="s">
        <v>737</v>
      </c>
      <c r="G244" t="str">
        <f>IFERROR(VLOOKUP(Logs_Registre[[#This Row],[Cell_ID]],Registre_Maintenance[],2,FALSE),"")</f>
        <v/>
      </c>
      <c r="H244" t="str">
        <f>IFERROR(VLOOKUP(Logs_Registre[[#This Row],[Cell_ID]],Registre_Maintenance[],3,FALSE),"")</f>
        <v/>
      </c>
      <c r="I244" t="str">
        <f>IFERROR(VLOOKUP(Logs_Registre[[#This Row],[Cell_ID]],Registre_Maintenance[],4,FALSE),"")</f>
        <v/>
      </c>
      <c r="J244" t="str">
        <f>IFERROR(VLOOKUP(Logs_Registre[[#This Row],[Cell_ID]],Registre_Maintenance[],5,FALSE),"")</f>
        <v/>
      </c>
      <c r="K244" t="str">
        <f>IFERROR(VLOOKUP(Logs_Registre[[#This Row],[Cell_ID]],Registre_Maintenance[],6,FALSE),"")</f>
        <v/>
      </c>
    </row>
    <row r="245" spans="1:11" x14ac:dyDescent="0.25">
      <c r="A245" s="1" t="s">
        <v>1241</v>
      </c>
      <c r="B245" s="1" t="s">
        <v>1192</v>
      </c>
      <c r="C245" s="2">
        <v>45223.611111111109</v>
      </c>
      <c r="D245" s="3">
        <v>45223.611111111109</v>
      </c>
      <c r="E245">
        <v>88</v>
      </c>
      <c r="F245" s="1" t="s">
        <v>732</v>
      </c>
      <c r="G245" t="str">
        <f>IFERROR(VLOOKUP(Logs_Registre[[#This Row],[Cell_ID]],Registre_Maintenance[],2,FALSE),"")</f>
        <v>Lualaba</v>
      </c>
      <c r="H245">
        <f>IFERROR(VLOOKUP(Logs_Registre[[#This Row],[Cell_ID]],Registre_Maintenance[],3,FALSE),"")</f>
        <v>-8.0301989999999996</v>
      </c>
      <c r="I245">
        <f>IFERROR(VLOOKUP(Logs_Registre[[#This Row],[Cell_ID]],Registre_Maintenance[],4,FALSE),"")</f>
        <v>24.122495000000001</v>
      </c>
      <c r="J245" t="str">
        <f>IFERROR(VLOOKUP(Logs_Registre[[#This Row],[Cell_ID]],Registre_Maintenance[],5,FALSE),"")</f>
        <v>5G</v>
      </c>
      <c r="K245" t="str">
        <f>IFERROR(VLOOKUP(Logs_Registre[[#This Row],[Cell_ID]],Registre_Maintenance[],6,FALSE),"")</f>
        <v>ZTE</v>
      </c>
    </row>
    <row r="246" spans="1:11" x14ac:dyDescent="0.25">
      <c r="A246" s="1" t="s">
        <v>1404</v>
      </c>
      <c r="B246" s="1" t="s">
        <v>917</v>
      </c>
      <c r="C246" s="2">
        <v>45223.570138888892</v>
      </c>
      <c r="D246" s="3">
        <v>45223.570138888892</v>
      </c>
      <c r="E246">
        <v>10</v>
      </c>
      <c r="F246" s="1" t="s">
        <v>735</v>
      </c>
      <c r="G246" t="str">
        <f>IFERROR(VLOOKUP(Logs_Registre[[#This Row],[Cell_ID]],Registre_Maintenance[],2,FALSE),"")</f>
        <v>Mai-Ndombe</v>
      </c>
      <c r="H246">
        <f>IFERROR(VLOOKUP(Logs_Registre[[#This Row],[Cell_ID]],Registre_Maintenance[],3,FALSE),"")</f>
        <v>-9.3652280000000001</v>
      </c>
      <c r="I246">
        <f>IFERROR(VLOOKUP(Logs_Registre[[#This Row],[Cell_ID]],Registre_Maintenance[],4,FALSE),"")</f>
        <v>18.674116000000001</v>
      </c>
      <c r="J246" t="str">
        <f>IFERROR(VLOOKUP(Logs_Registre[[#This Row],[Cell_ID]],Registre_Maintenance[],5,FALSE),"")</f>
        <v>4G</v>
      </c>
      <c r="K246" t="str">
        <f>IFERROR(VLOOKUP(Logs_Registre[[#This Row],[Cell_ID]],Registre_Maintenance[],6,FALSE),"")</f>
        <v>Huawei</v>
      </c>
    </row>
    <row r="247" spans="1:11" x14ac:dyDescent="0.25">
      <c r="A247" s="1" t="s">
        <v>1330</v>
      </c>
      <c r="B247" s="1" t="s">
        <v>1338</v>
      </c>
      <c r="C247" s="2">
        <v>45223.568055555559</v>
      </c>
      <c r="D247" s="3">
        <v>45223.568055555559</v>
      </c>
      <c r="E247">
        <v>21</v>
      </c>
      <c r="F247" s="1" t="s">
        <v>732</v>
      </c>
      <c r="G247" t="str">
        <f>IFERROR(VLOOKUP(Logs_Registre[[#This Row],[Cell_ID]],Registre_Maintenance[],2,FALSE),"")</f>
        <v/>
      </c>
      <c r="H247" t="str">
        <f>IFERROR(VLOOKUP(Logs_Registre[[#This Row],[Cell_ID]],Registre_Maintenance[],3,FALSE),"")</f>
        <v/>
      </c>
      <c r="I247" t="str">
        <f>IFERROR(VLOOKUP(Logs_Registre[[#This Row],[Cell_ID]],Registre_Maintenance[],4,FALSE),"")</f>
        <v/>
      </c>
      <c r="J247" t="str">
        <f>IFERROR(VLOOKUP(Logs_Registre[[#This Row],[Cell_ID]],Registre_Maintenance[],5,FALSE),"")</f>
        <v/>
      </c>
      <c r="K247" t="str">
        <f>IFERROR(VLOOKUP(Logs_Registre[[#This Row],[Cell_ID]],Registre_Maintenance[],6,FALSE),"")</f>
        <v/>
      </c>
    </row>
    <row r="248" spans="1:11" x14ac:dyDescent="0.25">
      <c r="A248" s="1" t="s">
        <v>1165</v>
      </c>
      <c r="B248" s="1" t="s">
        <v>1188</v>
      </c>
      <c r="C248" s="2">
        <v>45223.554166666669</v>
      </c>
      <c r="D248" s="3">
        <v>45223.554166666669</v>
      </c>
      <c r="E248">
        <v>86</v>
      </c>
      <c r="F248" s="1" t="s">
        <v>735</v>
      </c>
      <c r="G248" t="str">
        <f>IFERROR(VLOOKUP(Logs_Registre[[#This Row],[Cell_ID]],Registre_Maintenance[],2,FALSE),"")</f>
        <v>Sud-Ubangi</v>
      </c>
      <c r="H248">
        <f>IFERROR(VLOOKUP(Logs_Registre[[#This Row],[Cell_ID]],Registre_Maintenance[],3,FALSE),"")</f>
        <v>-12.050063</v>
      </c>
      <c r="I248">
        <f>IFERROR(VLOOKUP(Logs_Registre[[#This Row],[Cell_ID]],Registre_Maintenance[],4,FALSE),"")</f>
        <v>26.636987999999999</v>
      </c>
      <c r="J248" t="str">
        <f>IFERROR(VLOOKUP(Logs_Registre[[#This Row],[Cell_ID]],Registre_Maintenance[],5,FALSE),"")</f>
        <v>3G</v>
      </c>
      <c r="K248" t="str">
        <f>IFERROR(VLOOKUP(Logs_Registre[[#This Row],[Cell_ID]],Registre_Maintenance[],6,FALSE),"")</f>
        <v>Nokia</v>
      </c>
    </row>
    <row r="249" spans="1:11" x14ac:dyDescent="0.25">
      <c r="A249" s="1" t="s">
        <v>1308</v>
      </c>
      <c r="B249" s="1" t="s">
        <v>1259</v>
      </c>
      <c r="C249" s="2">
        <v>45223.548611111109</v>
      </c>
      <c r="D249" s="3">
        <v>45223.548611111109</v>
      </c>
      <c r="E249">
        <v>19</v>
      </c>
      <c r="F249" s="1" t="s">
        <v>735</v>
      </c>
      <c r="G249" t="str">
        <f>IFERROR(VLOOKUP(Logs_Registre[[#This Row],[Cell_ID]],Registre_Maintenance[],2,FALSE),"")</f>
        <v/>
      </c>
      <c r="H249" t="str">
        <f>IFERROR(VLOOKUP(Logs_Registre[[#This Row],[Cell_ID]],Registre_Maintenance[],3,FALSE),"")</f>
        <v/>
      </c>
      <c r="I249" t="str">
        <f>IFERROR(VLOOKUP(Logs_Registre[[#This Row],[Cell_ID]],Registre_Maintenance[],4,FALSE),"")</f>
        <v/>
      </c>
      <c r="J249" t="str">
        <f>IFERROR(VLOOKUP(Logs_Registre[[#This Row],[Cell_ID]],Registre_Maintenance[],5,FALSE),"")</f>
        <v/>
      </c>
      <c r="K249" t="str">
        <f>IFERROR(VLOOKUP(Logs_Registre[[#This Row],[Cell_ID]],Registre_Maintenance[],6,FALSE),"")</f>
        <v/>
      </c>
    </row>
    <row r="250" spans="1:11" x14ac:dyDescent="0.25">
      <c r="A250" s="1" t="s">
        <v>1193</v>
      </c>
      <c r="B250" s="1" t="s">
        <v>1077</v>
      </c>
      <c r="C250" s="2">
        <v>45223.513888888891</v>
      </c>
      <c r="D250" s="3">
        <v>45223.513888888891</v>
      </c>
      <c r="E250">
        <v>109</v>
      </c>
      <c r="F250" s="1" t="s">
        <v>735</v>
      </c>
      <c r="G250" t="str">
        <f>IFERROR(VLOOKUP(Logs_Registre[[#This Row],[Cell_ID]],Registre_Maintenance[],2,FALSE),"")</f>
        <v/>
      </c>
      <c r="H250" t="str">
        <f>IFERROR(VLOOKUP(Logs_Registre[[#This Row],[Cell_ID]],Registre_Maintenance[],3,FALSE),"")</f>
        <v/>
      </c>
      <c r="I250" t="str">
        <f>IFERROR(VLOOKUP(Logs_Registre[[#This Row],[Cell_ID]],Registre_Maintenance[],4,FALSE),"")</f>
        <v/>
      </c>
      <c r="J250" t="str">
        <f>IFERROR(VLOOKUP(Logs_Registre[[#This Row],[Cell_ID]],Registre_Maintenance[],5,FALSE),"")</f>
        <v/>
      </c>
      <c r="K250" t="str">
        <f>IFERROR(VLOOKUP(Logs_Registre[[#This Row],[Cell_ID]],Registre_Maintenance[],6,FALSE),"")</f>
        <v/>
      </c>
    </row>
    <row r="251" spans="1:11" x14ac:dyDescent="0.25">
      <c r="A251" s="1" t="s">
        <v>779</v>
      </c>
      <c r="B251" s="1" t="s">
        <v>787</v>
      </c>
      <c r="C251" s="2">
        <v>45223.45208333333</v>
      </c>
      <c r="D251" s="3">
        <v>45223.45208333333</v>
      </c>
      <c r="E251">
        <v>117</v>
      </c>
      <c r="F251" s="1" t="s">
        <v>737</v>
      </c>
      <c r="G251" t="str">
        <f>IFERROR(VLOOKUP(Logs_Registre[[#This Row],[Cell_ID]],Registre_Maintenance[],2,FALSE),"")</f>
        <v/>
      </c>
      <c r="H251" t="str">
        <f>IFERROR(VLOOKUP(Logs_Registre[[#This Row],[Cell_ID]],Registre_Maintenance[],3,FALSE),"")</f>
        <v/>
      </c>
      <c r="I251" t="str">
        <f>IFERROR(VLOOKUP(Logs_Registre[[#This Row],[Cell_ID]],Registre_Maintenance[],4,FALSE),"")</f>
        <v/>
      </c>
      <c r="J251" t="str">
        <f>IFERROR(VLOOKUP(Logs_Registre[[#This Row],[Cell_ID]],Registre_Maintenance[],5,FALSE),"")</f>
        <v/>
      </c>
      <c r="K251" t="str">
        <f>IFERROR(VLOOKUP(Logs_Registre[[#This Row],[Cell_ID]],Registre_Maintenance[],6,FALSE),"")</f>
        <v/>
      </c>
    </row>
    <row r="252" spans="1:11" x14ac:dyDescent="0.25">
      <c r="A252" s="1" t="s">
        <v>999</v>
      </c>
      <c r="B252" s="1" t="s">
        <v>1015</v>
      </c>
      <c r="C252" s="2">
        <v>45223.450694444437</v>
      </c>
      <c r="D252" s="3">
        <v>45223.450694444437</v>
      </c>
      <c r="E252">
        <v>14</v>
      </c>
      <c r="F252" s="1" t="s">
        <v>737</v>
      </c>
      <c r="G252" t="str">
        <f>IFERROR(VLOOKUP(Logs_Registre[[#This Row],[Cell_ID]],Registre_Maintenance[],2,FALSE),"")</f>
        <v>Tshuapa</v>
      </c>
      <c r="H252">
        <f>IFERROR(VLOOKUP(Logs_Registre[[#This Row],[Cell_ID]],Registre_Maintenance[],3,FALSE),"")</f>
        <v>-2.571777</v>
      </c>
      <c r="I252">
        <f>IFERROR(VLOOKUP(Logs_Registre[[#This Row],[Cell_ID]],Registre_Maintenance[],4,FALSE),"")</f>
        <v>12.120642</v>
      </c>
      <c r="J252" t="str">
        <f>IFERROR(VLOOKUP(Logs_Registre[[#This Row],[Cell_ID]],Registre_Maintenance[],5,FALSE),"")</f>
        <v>3G</v>
      </c>
      <c r="K252" t="str">
        <f>IFERROR(VLOOKUP(Logs_Registre[[#This Row],[Cell_ID]],Registre_Maintenance[],6,FALSE),"")</f>
        <v>Huawei</v>
      </c>
    </row>
    <row r="253" spans="1:11" x14ac:dyDescent="0.25">
      <c r="A253" s="1" t="s">
        <v>1308</v>
      </c>
      <c r="B253" s="1" t="s">
        <v>922</v>
      </c>
      <c r="C253" s="2">
        <v>45223.436111111107</v>
      </c>
      <c r="D253" s="3">
        <v>45223.436111111107</v>
      </c>
      <c r="E253">
        <v>26</v>
      </c>
      <c r="F253" s="1" t="s">
        <v>732</v>
      </c>
      <c r="G253" t="str">
        <f>IFERROR(VLOOKUP(Logs_Registre[[#This Row],[Cell_ID]],Registre_Maintenance[],2,FALSE),"")</f>
        <v>Bas-Uele</v>
      </c>
      <c r="H253">
        <f>IFERROR(VLOOKUP(Logs_Registre[[#This Row],[Cell_ID]],Registre_Maintenance[],3,FALSE),"")</f>
        <v>1.5278670000000001</v>
      </c>
      <c r="I253">
        <f>IFERROR(VLOOKUP(Logs_Registre[[#This Row],[Cell_ID]],Registre_Maintenance[],4,FALSE),"")</f>
        <v>13.899388999999999</v>
      </c>
      <c r="J253" t="str">
        <f>IFERROR(VLOOKUP(Logs_Registre[[#This Row],[Cell_ID]],Registre_Maintenance[],5,FALSE),"")</f>
        <v>3G</v>
      </c>
      <c r="K253" t="str">
        <f>IFERROR(VLOOKUP(Logs_Registre[[#This Row],[Cell_ID]],Registre_Maintenance[],6,FALSE),"")</f>
        <v>Huawei</v>
      </c>
    </row>
    <row r="254" spans="1:11" x14ac:dyDescent="0.25">
      <c r="A254" s="1" t="s">
        <v>779</v>
      </c>
      <c r="B254" s="1" t="s">
        <v>805</v>
      </c>
      <c r="C254" s="2">
        <v>45223.418749999997</v>
      </c>
      <c r="D254" s="3">
        <v>45223.418749999997</v>
      </c>
      <c r="E254">
        <v>89</v>
      </c>
      <c r="F254" s="1" t="s">
        <v>732</v>
      </c>
      <c r="G254" t="str">
        <f>IFERROR(VLOOKUP(Logs_Registre[[#This Row],[Cell_ID]],Registre_Maintenance[],2,FALSE),"")</f>
        <v>Haut-Katanga</v>
      </c>
      <c r="H254">
        <f>IFERROR(VLOOKUP(Logs_Registre[[#This Row],[Cell_ID]],Registre_Maintenance[],3,FALSE),"")</f>
        <v>4.4712560000000003</v>
      </c>
      <c r="I254">
        <f>IFERROR(VLOOKUP(Logs_Registre[[#This Row],[Cell_ID]],Registre_Maintenance[],4,FALSE),"")</f>
        <v>27.107028</v>
      </c>
      <c r="J254" t="str">
        <f>IFERROR(VLOOKUP(Logs_Registre[[#This Row],[Cell_ID]],Registre_Maintenance[],5,FALSE),"")</f>
        <v>3G</v>
      </c>
      <c r="K254" t="str">
        <f>IFERROR(VLOOKUP(Logs_Registre[[#This Row],[Cell_ID]],Registre_Maintenance[],6,FALSE),"")</f>
        <v>Ericsson</v>
      </c>
    </row>
    <row r="255" spans="1:11" x14ac:dyDescent="0.25">
      <c r="A255" s="1" t="s">
        <v>1114</v>
      </c>
      <c r="B255" s="1" t="s">
        <v>1046</v>
      </c>
      <c r="C255" s="2">
        <v>45223.400694444441</v>
      </c>
      <c r="D255" s="3">
        <v>45223.400694444441</v>
      </c>
      <c r="E255">
        <v>41</v>
      </c>
      <c r="F255" s="1" t="s">
        <v>737</v>
      </c>
      <c r="G255" t="str">
        <f>IFERROR(VLOOKUP(Logs_Registre[[#This Row],[Cell_ID]],Registre_Maintenance[],2,FALSE),"")</f>
        <v>Mongala</v>
      </c>
      <c r="H255">
        <f>IFERROR(VLOOKUP(Logs_Registre[[#This Row],[Cell_ID]],Registre_Maintenance[],3,FALSE),"")</f>
        <v>-1.231033</v>
      </c>
      <c r="I255">
        <f>IFERROR(VLOOKUP(Logs_Registre[[#This Row],[Cell_ID]],Registre_Maintenance[],4,FALSE),"")</f>
        <v>28.851388</v>
      </c>
      <c r="J255" t="str">
        <f>IFERROR(VLOOKUP(Logs_Registre[[#This Row],[Cell_ID]],Registre_Maintenance[],5,FALSE),"")</f>
        <v>3G</v>
      </c>
      <c r="K255" t="str">
        <f>IFERROR(VLOOKUP(Logs_Registre[[#This Row],[Cell_ID]],Registre_Maintenance[],6,FALSE),"")</f>
        <v>Ericsson</v>
      </c>
    </row>
    <row r="256" spans="1:11" x14ac:dyDescent="0.25">
      <c r="A256" s="1" t="s">
        <v>1261</v>
      </c>
      <c r="B256" s="1" t="s">
        <v>1268</v>
      </c>
      <c r="C256" s="2">
        <v>45223.365277777782</v>
      </c>
      <c r="D256" s="3">
        <v>45223.365277777782</v>
      </c>
      <c r="E256">
        <v>104</v>
      </c>
      <c r="F256" s="1" t="s">
        <v>735</v>
      </c>
      <c r="G256" t="str">
        <f>IFERROR(VLOOKUP(Logs_Registre[[#This Row],[Cell_ID]],Registre_Maintenance[],2,FALSE),"")</f>
        <v/>
      </c>
      <c r="H256" t="str">
        <f>IFERROR(VLOOKUP(Logs_Registre[[#This Row],[Cell_ID]],Registre_Maintenance[],3,FALSE),"")</f>
        <v/>
      </c>
      <c r="I256" t="str">
        <f>IFERROR(VLOOKUP(Logs_Registre[[#This Row],[Cell_ID]],Registre_Maintenance[],4,FALSE),"")</f>
        <v/>
      </c>
      <c r="J256" t="str">
        <f>IFERROR(VLOOKUP(Logs_Registre[[#This Row],[Cell_ID]],Registre_Maintenance[],5,FALSE),"")</f>
        <v/>
      </c>
      <c r="K256" t="str">
        <f>IFERROR(VLOOKUP(Logs_Registre[[#This Row],[Cell_ID]],Registre_Maintenance[],6,FALSE),"")</f>
        <v/>
      </c>
    </row>
    <row r="257" spans="1:11" x14ac:dyDescent="0.25">
      <c r="A257" s="1" t="s">
        <v>1361</v>
      </c>
      <c r="B257" s="1" t="s">
        <v>1380</v>
      </c>
      <c r="C257" s="2">
        <v>45223.3125</v>
      </c>
      <c r="D257" s="3">
        <v>45223.3125</v>
      </c>
      <c r="E257">
        <v>62</v>
      </c>
      <c r="F257" s="1" t="s">
        <v>732</v>
      </c>
      <c r="G257" t="str">
        <f>IFERROR(VLOOKUP(Logs_Registre[[#This Row],[Cell_ID]],Registre_Maintenance[],2,FALSE),"")</f>
        <v/>
      </c>
      <c r="H257" t="str">
        <f>IFERROR(VLOOKUP(Logs_Registre[[#This Row],[Cell_ID]],Registre_Maintenance[],3,FALSE),"")</f>
        <v/>
      </c>
      <c r="I257" t="str">
        <f>IFERROR(VLOOKUP(Logs_Registre[[#This Row],[Cell_ID]],Registre_Maintenance[],4,FALSE),"")</f>
        <v/>
      </c>
      <c r="J257" t="str">
        <f>IFERROR(VLOOKUP(Logs_Registre[[#This Row],[Cell_ID]],Registre_Maintenance[],5,FALSE),"")</f>
        <v/>
      </c>
      <c r="K257" t="str">
        <f>IFERROR(VLOOKUP(Logs_Registre[[#This Row],[Cell_ID]],Registre_Maintenance[],6,FALSE),"")</f>
        <v/>
      </c>
    </row>
    <row r="258" spans="1:11" x14ac:dyDescent="0.25">
      <c r="A258" s="1" t="s">
        <v>1261</v>
      </c>
      <c r="B258" s="1" t="s">
        <v>1169</v>
      </c>
      <c r="C258" s="2">
        <v>45223.293749999997</v>
      </c>
      <c r="D258" s="3">
        <v>45223.293749999997</v>
      </c>
      <c r="E258">
        <v>42</v>
      </c>
      <c r="F258" s="1" t="s">
        <v>737</v>
      </c>
      <c r="G258" t="str">
        <f>IFERROR(VLOOKUP(Logs_Registre[[#This Row],[Cell_ID]],Registre_Maintenance[],2,FALSE),"")</f>
        <v>Haut-Katanga</v>
      </c>
      <c r="H258">
        <f>IFERROR(VLOOKUP(Logs_Registre[[#This Row],[Cell_ID]],Registre_Maintenance[],3,FALSE),"")</f>
        <v>-4.4958720000000003</v>
      </c>
      <c r="I258">
        <f>IFERROR(VLOOKUP(Logs_Registre[[#This Row],[Cell_ID]],Registre_Maintenance[],4,FALSE),"")</f>
        <v>18.514112000000001</v>
      </c>
      <c r="J258" t="str">
        <f>IFERROR(VLOOKUP(Logs_Registre[[#This Row],[Cell_ID]],Registre_Maintenance[],5,FALSE),"")</f>
        <v>4G</v>
      </c>
      <c r="K258" t="str">
        <f>IFERROR(VLOOKUP(Logs_Registre[[#This Row],[Cell_ID]],Registre_Maintenance[],6,FALSE),"")</f>
        <v>Nokia</v>
      </c>
    </row>
    <row r="259" spans="1:11" x14ac:dyDescent="0.25">
      <c r="A259" s="1" t="s">
        <v>1165</v>
      </c>
      <c r="B259" s="1" t="s">
        <v>977</v>
      </c>
      <c r="C259" s="2">
        <v>45223.252083333333</v>
      </c>
      <c r="D259" s="3">
        <v>45223.252083333333</v>
      </c>
      <c r="E259">
        <v>12</v>
      </c>
      <c r="F259" s="1" t="s">
        <v>735</v>
      </c>
      <c r="G259" t="str">
        <f>IFERROR(VLOOKUP(Logs_Registre[[#This Row],[Cell_ID]],Registre_Maintenance[],2,FALSE),"")</f>
        <v>Nord-Kivu</v>
      </c>
      <c r="H259">
        <f>IFERROR(VLOOKUP(Logs_Registre[[#This Row],[Cell_ID]],Registre_Maintenance[],3,FALSE),"")</f>
        <v>-10.846306999999999</v>
      </c>
      <c r="I259">
        <f>IFERROR(VLOOKUP(Logs_Registre[[#This Row],[Cell_ID]],Registre_Maintenance[],4,FALSE),"")</f>
        <v>19.201827999999999</v>
      </c>
      <c r="J259" t="str">
        <f>IFERROR(VLOOKUP(Logs_Registre[[#This Row],[Cell_ID]],Registre_Maintenance[],5,FALSE),"")</f>
        <v>4G</v>
      </c>
      <c r="K259" t="str">
        <f>IFERROR(VLOOKUP(Logs_Registre[[#This Row],[Cell_ID]],Registre_Maintenance[],6,FALSE),"")</f>
        <v>Ericsson</v>
      </c>
    </row>
    <row r="260" spans="1:11" x14ac:dyDescent="0.25">
      <c r="A260" s="1" t="s">
        <v>939</v>
      </c>
      <c r="B260" s="1" t="s">
        <v>949</v>
      </c>
      <c r="C260" s="2">
        <v>45223.18472222222</v>
      </c>
      <c r="D260" s="3">
        <v>45223.18472222222</v>
      </c>
      <c r="E260">
        <v>42</v>
      </c>
      <c r="F260" s="1" t="s">
        <v>735</v>
      </c>
      <c r="G260" t="str">
        <f>IFERROR(VLOOKUP(Logs_Registre[[#This Row],[Cell_ID]],Registre_Maintenance[],2,FALSE),"")</f>
        <v/>
      </c>
      <c r="H260" t="str">
        <f>IFERROR(VLOOKUP(Logs_Registre[[#This Row],[Cell_ID]],Registre_Maintenance[],3,FALSE),"")</f>
        <v/>
      </c>
      <c r="I260" t="str">
        <f>IFERROR(VLOOKUP(Logs_Registre[[#This Row],[Cell_ID]],Registre_Maintenance[],4,FALSE),"")</f>
        <v/>
      </c>
      <c r="J260" t="str">
        <f>IFERROR(VLOOKUP(Logs_Registre[[#This Row],[Cell_ID]],Registre_Maintenance[],5,FALSE),"")</f>
        <v/>
      </c>
      <c r="K260" t="str">
        <f>IFERROR(VLOOKUP(Logs_Registre[[#This Row],[Cell_ID]],Registre_Maintenance[],6,FALSE),"")</f>
        <v/>
      </c>
    </row>
    <row r="261" spans="1:11" x14ac:dyDescent="0.25">
      <c r="A261" s="1" t="s">
        <v>939</v>
      </c>
      <c r="B261" s="1" t="s">
        <v>960</v>
      </c>
      <c r="C261" s="2">
        <v>45223.102083333331</v>
      </c>
      <c r="D261" s="3">
        <v>45223.102083333331</v>
      </c>
      <c r="E261">
        <v>104</v>
      </c>
      <c r="F261" s="1" t="s">
        <v>735</v>
      </c>
      <c r="G261" t="str">
        <f>IFERROR(VLOOKUP(Logs_Registre[[#This Row],[Cell_ID]],Registre_Maintenance[],2,FALSE),"")</f>
        <v/>
      </c>
      <c r="H261" t="str">
        <f>IFERROR(VLOOKUP(Logs_Registre[[#This Row],[Cell_ID]],Registre_Maintenance[],3,FALSE),"")</f>
        <v/>
      </c>
      <c r="I261" t="str">
        <f>IFERROR(VLOOKUP(Logs_Registre[[#This Row],[Cell_ID]],Registre_Maintenance[],4,FALSE),"")</f>
        <v/>
      </c>
      <c r="J261" t="str">
        <f>IFERROR(VLOOKUP(Logs_Registre[[#This Row],[Cell_ID]],Registre_Maintenance[],5,FALSE),"")</f>
        <v/>
      </c>
      <c r="K261" t="str">
        <f>IFERROR(VLOOKUP(Logs_Registre[[#This Row],[Cell_ID]],Registre_Maintenance[],6,FALSE),"")</f>
        <v/>
      </c>
    </row>
    <row r="262" spans="1:11" x14ac:dyDescent="0.25">
      <c r="A262" s="1" t="s">
        <v>1308</v>
      </c>
      <c r="B262" s="1" t="s">
        <v>1310</v>
      </c>
      <c r="C262" s="2">
        <v>45223.030555555553</v>
      </c>
      <c r="D262" s="3">
        <v>45223.030555555553</v>
      </c>
      <c r="E262">
        <v>59</v>
      </c>
      <c r="F262" s="1" t="s">
        <v>732</v>
      </c>
      <c r="G262" t="str">
        <f>IFERROR(VLOOKUP(Logs_Registre[[#This Row],[Cell_ID]],Registre_Maintenance[],2,FALSE),"")</f>
        <v/>
      </c>
      <c r="H262" t="str">
        <f>IFERROR(VLOOKUP(Logs_Registre[[#This Row],[Cell_ID]],Registre_Maintenance[],3,FALSE),"")</f>
        <v/>
      </c>
      <c r="I262" t="str">
        <f>IFERROR(VLOOKUP(Logs_Registre[[#This Row],[Cell_ID]],Registre_Maintenance[],4,FALSE),"")</f>
        <v/>
      </c>
      <c r="J262" t="str">
        <f>IFERROR(VLOOKUP(Logs_Registre[[#This Row],[Cell_ID]],Registre_Maintenance[],5,FALSE),"")</f>
        <v/>
      </c>
      <c r="K262" t="str">
        <f>IFERROR(VLOOKUP(Logs_Registre[[#This Row],[Cell_ID]],Registre_Maintenance[],6,FALSE),"")</f>
        <v/>
      </c>
    </row>
    <row r="263" spans="1:11" x14ac:dyDescent="0.25">
      <c r="A263" s="1" t="s">
        <v>1086</v>
      </c>
      <c r="B263" s="1" t="s">
        <v>946</v>
      </c>
      <c r="C263" s="2">
        <v>45222.944444444453</v>
      </c>
      <c r="D263" s="3">
        <v>45222.944444444453</v>
      </c>
      <c r="E263">
        <v>87</v>
      </c>
      <c r="F263" s="1" t="s">
        <v>735</v>
      </c>
      <c r="G263" t="str">
        <f>IFERROR(VLOOKUP(Logs_Registre[[#This Row],[Cell_ID]],Registre_Maintenance[],2,FALSE),"")</f>
        <v/>
      </c>
      <c r="H263" t="str">
        <f>IFERROR(VLOOKUP(Logs_Registre[[#This Row],[Cell_ID]],Registre_Maintenance[],3,FALSE),"")</f>
        <v/>
      </c>
      <c r="I263" t="str">
        <f>IFERROR(VLOOKUP(Logs_Registre[[#This Row],[Cell_ID]],Registre_Maintenance[],4,FALSE),"")</f>
        <v/>
      </c>
      <c r="J263" t="str">
        <f>IFERROR(VLOOKUP(Logs_Registre[[#This Row],[Cell_ID]],Registre_Maintenance[],5,FALSE),"")</f>
        <v/>
      </c>
      <c r="K263" t="str">
        <f>IFERROR(VLOOKUP(Logs_Registre[[#This Row],[Cell_ID]],Registre_Maintenance[],6,FALSE),"")</f>
        <v/>
      </c>
    </row>
    <row r="264" spans="1:11" x14ac:dyDescent="0.25">
      <c r="A264" s="1" t="s">
        <v>1361</v>
      </c>
      <c r="B264" s="1" t="s">
        <v>1378</v>
      </c>
      <c r="C264" s="2">
        <v>45222.943749999999</v>
      </c>
      <c r="D264" s="3">
        <v>45222.943749999999</v>
      </c>
      <c r="E264">
        <v>114</v>
      </c>
      <c r="F264" s="1" t="s">
        <v>732</v>
      </c>
      <c r="G264" t="str">
        <f>IFERROR(VLOOKUP(Logs_Registre[[#This Row],[Cell_ID]],Registre_Maintenance[],2,FALSE),"")</f>
        <v>Haut-Lomami</v>
      </c>
      <c r="H264">
        <f>IFERROR(VLOOKUP(Logs_Registre[[#This Row],[Cell_ID]],Registre_Maintenance[],3,FALSE),"")</f>
        <v>-9.6407190000000007</v>
      </c>
      <c r="I264">
        <f>IFERROR(VLOOKUP(Logs_Registre[[#This Row],[Cell_ID]],Registre_Maintenance[],4,FALSE),"")</f>
        <v>21.336704999999998</v>
      </c>
      <c r="J264" t="str">
        <f>IFERROR(VLOOKUP(Logs_Registre[[#This Row],[Cell_ID]],Registre_Maintenance[],5,FALSE),"")</f>
        <v>4G</v>
      </c>
      <c r="K264" t="str">
        <f>IFERROR(VLOOKUP(Logs_Registre[[#This Row],[Cell_ID]],Registre_Maintenance[],6,FALSE),"")</f>
        <v>ZTE</v>
      </c>
    </row>
    <row r="265" spans="1:11" x14ac:dyDescent="0.25">
      <c r="A265" s="1" t="s">
        <v>1114</v>
      </c>
      <c r="B265" s="1" t="s">
        <v>1137</v>
      </c>
      <c r="C265" s="2">
        <v>45222.938194444447</v>
      </c>
      <c r="D265" s="3">
        <v>45222.938194444447</v>
      </c>
      <c r="E265">
        <v>36</v>
      </c>
      <c r="F265" s="1" t="s">
        <v>732</v>
      </c>
      <c r="G265" t="str">
        <f>IFERROR(VLOOKUP(Logs_Registre[[#This Row],[Cell_ID]],Registre_Maintenance[],2,FALSE),"")</f>
        <v/>
      </c>
      <c r="H265" t="str">
        <f>IFERROR(VLOOKUP(Logs_Registre[[#This Row],[Cell_ID]],Registre_Maintenance[],3,FALSE),"")</f>
        <v/>
      </c>
      <c r="I265" t="str">
        <f>IFERROR(VLOOKUP(Logs_Registre[[#This Row],[Cell_ID]],Registre_Maintenance[],4,FALSE),"")</f>
        <v/>
      </c>
      <c r="J265" t="str">
        <f>IFERROR(VLOOKUP(Logs_Registre[[#This Row],[Cell_ID]],Registre_Maintenance[],5,FALSE),"")</f>
        <v/>
      </c>
      <c r="K265" t="str">
        <f>IFERROR(VLOOKUP(Logs_Registre[[#This Row],[Cell_ID]],Registre_Maintenance[],6,FALSE),"")</f>
        <v/>
      </c>
    </row>
    <row r="266" spans="1:11" x14ac:dyDescent="0.25">
      <c r="A266" s="1" t="s">
        <v>1308</v>
      </c>
      <c r="B266" s="1" t="s">
        <v>967</v>
      </c>
      <c r="C266" s="2">
        <v>45222.902777777781</v>
      </c>
      <c r="D266" s="3">
        <v>45222.902777777781</v>
      </c>
      <c r="E266">
        <v>31</v>
      </c>
      <c r="F266" s="1" t="s">
        <v>737</v>
      </c>
      <c r="G266" t="str">
        <f>IFERROR(VLOOKUP(Logs_Registre[[#This Row],[Cell_ID]],Registre_Maintenance[],2,FALSE),"")</f>
        <v>Sankuru</v>
      </c>
      <c r="H266">
        <f>IFERROR(VLOOKUP(Logs_Registre[[#This Row],[Cell_ID]],Registre_Maintenance[],3,FALSE),"")</f>
        <v>-7.5969509999999998</v>
      </c>
      <c r="I266">
        <f>IFERROR(VLOOKUP(Logs_Registre[[#This Row],[Cell_ID]],Registre_Maintenance[],4,FALSE),"")</f>
        <v>22.153986</v>
      </c>
      <c r="J266" t="str">
        <f>IFERROR(VLOOKUP(Logs_Registre[[#This Row],[Cell_ID]],Registre_Maintenance[],5,FALSE),"")</f>
        <v>3G</v>
      </c>
      <c r="K266" t="str">
        <f>IFERROR(VLOOKUP(Logs_Registre[[#This Row],[Cell_ID]],Registre_Maintenance[],6,FALSE),"")</f>
        <v>Ericsson</v>
      </c>
    </row>
    <row r="267" spans="1:11" x14ac:dyDescent="0.25">
      <c r="A267" s="1" t="s">
        <v>1330</v>
      </c>
      <c r="B267" s="1" t="s">
        <v>804</v>
      </c>
      <c r="C267" s="2">
        <v>45222.879166666673</v>
      </c>
      <c r="D267" s="3">
        <v>45222.879166666673</v>
      </c>
      <c r="E267">
        <v>103</v>
      </c>
      <c r="F267" s="1" t="s">
        <v>737</v>
      </c>
      <c r="G267" t="str">
        <f>IFERROR(VLOOKUP(Logs_Registre[[#This Row],[Cell_ID]],Registre_Maintenance[],2,FALSE),"")</f>
        <v/>
      </c>
      <c r="H267" t="str">
        <f>IFERROR(VLOOKUP(Logs_Registre[[#This Row],[Cell_ID]],Registre_Maintenance[],3,FALSE),"")</f>
        <v/>
      </c>
      <c r="I267" t="str">
        <f>IFERROR(VLOOKUP(Logs_Registre[[#This Row],[Cell_ID]],Registre_Maintenance[],4,FALSE),"")</f>
        <v/>
      </c>
      <c r="J267" t="str">
        <f>IFERROR(VLOOKUP(Logs_Registre[[#This Row],[Cell_ID]],Registre_Maintenance[],5,FALSE),"")</f>
        <v/>
      </c>
      <c r="K267" t="str">
        <f>IFERROR(VLOOKUP(Logs_Registre[[#This Row],[Cell_ID]],Registre_Maintenance[],6,FALSE),"")</f>
        <v/>
      </c>
    </row>
    <row r="268" spans="1:11" x14ac:dyDescent="0.25">
      <c r="A268" s="1" t="s">
        <v>1114</v>
      </c>
      <c r="B268" s="1" t="s">
        <v>795</v>
      </c>
      <c r="C268" s="2">
        <v>45222.834027777782</v>
      </c>
      <c r="D268" s="3">
        <v>45222.834027777782</v>
      </c>
      <c r="E268">
        <v>109</v>
      </c>
      <c r="F268" s="1" t="s">
        <v>735</v>
      </c>
      <c r="G268" t="str">
        <f>IFERROR(VLOOKUP(Logs_Registre[[#This Row],[Cell_ID]],Registre_Maintenance[],2,FALSE),"")</f>
        <v>Haut-Katanga</v>
      </c>
      <c r="H268">
        <f>IFERROR(VLOOKUP(Logs_Registre[[#This Row],[Cell_ID]],Registre_Maintenance[],3,FALSE),"")</f>
        <v>-2.9417719999999998</v>
      </c>
      <c r="I268">
        <f>IFERROR(VLOOKUP(Logs_Registre[[#This Row],[Cell_ID]],Registre_Maintenance[],4,FALSE),"")</f>
        <v>18.587305000000001</v>
      </c>
      <c r="J268" t="str">
        <f>IFERROR(VLOOKUP(Logs_Registre[[#This Row],[Cell_ID]],Registre_Maintenance[],5,FALSE),"")</f>
        <v>5G</v>
      </c>
      <c r="K268" t="str">
        <f>IFERROR(VLOOKUP(Logs_Registre[[#This Row],[Cell_ID]],Registre_Maintenance[],6,FALSE),"")</f>
        <v>Ericsson</v>
      </c>
    </row>
    <row r="269" spans="1:11" x14ac:dyDescent="0.25">
      <c r="A269" s="1" t="s">
        <v>1261</v>
      </c>
      <c r="B269" s="1" t="s">
        <v>1271</v>
      </c>
      <c r="C269" s="2">
        <v>45222.777777777781</v>
      </c>
      <c r="D269" s="3">
        <v>45222.777777777781</v>
      </c>
      <c r="E269">
        <v>102</v>
      </c>
      <c r="F269" s="1" t="s">
        <v>737</v>
      </c>
      <c r="G269" t="str">
        <f>IFERROR(VLOOKUP(Logs_Registre[[#This Row],[Cell_ID]],Registre_Maintenance[],2,FALSE),"")</f>
        <v>Haut-Lomami</v>
      </c>
      <c r="H269">
        <f>IFERROR(VLOOKUP(Logs_Registre[[#This Row],[Cell_ID]],Registre_Maintenance[],3,FALSE),"")</f>
        <v>-1.3938550000000001</v>
      </c>
      <c r="I269">
        <f>IFERROR(VLOOKUP(Logs_Registre[[#This Row],[Cell_ID]],Registre_Maintenance[],4,FALSE),"")</f>
        <v>15.097554000000001</v>
      </c>
      <c r="J269" t="str">
        <f>IFERROR(VLOOKUP(Logs_Registre[[#This Row],[Cell_ID]],Registre_Maintenance[],5,FALSE),"")</f>
        <v>4G</v>
      </c>
      <c r="K269" t="str">
        <f>IFERROR(VLOOKUP(Logs_Registre[[#This Row],[Cell_ID]],Registre_Maintenance[],6,FALSE),"")</f>
        <v>Huawei</v>
      </c>
    </row>
    <row r="270" spans="1:11" x14ac:dyDescent="0.25">
      <c r="A270" s="1" t="s">
        <v>1138</v>
      </c>
      <c r="B270" s="1" t="s">
        <v>738</v>
      </c>
      <c r="C270" s="2">
        <v>45222.771527777782</v>
      </c>
      <c r="D270" s="3">
        <v>45222.771527777782</v>
      </c>
      <c r="E270">
        <v>53</v>
      </c>
      <c r="F270" s="1" t="s">
        <v>737</v>
      </c>
      <c r="G270" t="str">
        <f>IFERROR(VLOOKUP(Logs_Registre[[#This Row],[Cell_ID]],Registre_Maintenance[],2,FALSE),"")</f>
        <v/>
      </c>
      <c r="H270" t="str">
        <f>IFERROR(VLOOKUP(Logs_Registre[[#This Row],[Cell_ID]],Registre_Maintenance[],3,FALSE),"")</f>
        <v/>
      </c>
      <c r="I270" t="str">
        <f>IFERROR(VLOOKUP(Logs_Registre[[#This Row],[Cell_ID]],Registre_Maintenance[],4,FALSE),"")</f>
        <v/>
      </c>
      <c r="J270" t="str">
        <f>IFERROR(VLOOKUP(Logs_Registre[[#This Row],[Cell_ID]],Registre_Maintenance[],5,FALSE),"")</f>
        <v/>
      </c>
      <c r="K270" t="str">
        <f>IFERROR(VLOOKUP(Logs_Registre[[#This Row],[Cell_ID]],Registre_Maintenance[],6,FALSE),"")</f>
        <v/>
      </c>
    </row>
    <row r="271" spans="1:11" x14ac:dyDescent="0.25">
      <c r="A271" s="1" t="s">
        <v>1114</v>
      </c>
      <c r="B271" s="1" t="s">
        <v>901</v>
      </c>
      <c r="C271" s="2">
        <v>45222.763194444437</v>
      </c>
      <c r="D271" s="3">
        <v>45222.763194444437</v>
      </c>
      <c r="E271">
        <v>91</v>
      </c>
      <c r="F271" s="1" t="s">
        <v>737</v>
      </c>
      <c r="G271" t="str">
        <f>IFERROR(VLOOKUP(Logs_Registre[[#This Row],[Cell_ID]],Registre_Maintenance[],2,FALSE),"")</f>
        <v>Bas-Uele</v>
      </c>
      <c r="H271">
        <f>IFERROR(VLOOKUP(Logs_Registre[[#This Row],[Cell_ID]],Registre_Maintenance[],3,FALSE),"")</f>
        <v>-3.6945459999999999</v>
      </c>
      <c r="I271">
        <f>IFERROR(VLOOKUP(Logs_Registre[[#This Row],[Cell_ID]],Registre_Maintenance[],4,FALSE),"")</f>
        <v>16.809108999999999</v>
      </c>
      <c r="J271" t="str">
        <f>IFERROR(VLOOKUP(Logs_Registre[[#This Row],[Cell_ID]],Registre_Maintenance[],5,FALSE),"")</f>
        <v>5G</v>
      </c>
      <c r="K271" t="str">
        <f>IFERROR(VLOOKUP(Logs_Registre[[#This Row],[Cell_ID]],Registre_Maintenance[],6,FALSE),"")</f>
        <v>ZTE</v>
      </c>
    </row>
    <row r="272" spans="1:11" x14ac:dyDescent="0.25">
      <c r="A272" s="1" t="s">
        <v>1138</v>
      </c>
      <c r="B272" s="1" t="s">
        <v>1149</v>
      </c>
      <c r="C272" s="2">
        <v>45222.748611111107</v>
      </c>
      <c r="D272" s="3">
        <v>45222.748611111107</v>
      </c>
      <c r="E272">
        <v>28</v>
      </c>
      <c r="F272" s="1" t="s">
        <v>735</v>
      </c>
      <c r="G272" t="str">
        <f>IFERROR(VLOOKUP(Logs_Registre[[#This Row],[Cell_ID]],Registre_Maintenance[],2,FALSE),"")</f>
        <v>Haut-Katanga</v>
      </c>
      <c r="H272">
        <f>IFERROR(VLOOKUP(Logs_Registre[[#This Row],[Cell_ID]],Registre_Maintenance[],3,FALSE),"")</f>
        <v>-11.468578000000001</v>
      </c>
      <c r="I272">
        <f>IFERROR(VLOOKUP(Logs_Registre[[#This Row],[Cell_ID]],Registre_Maintenance[],4,FALSE),"")</f>
        <v>16.914501999999999</v>
      </c>
      <c r="J272" t="str">
        <f>IFERROR(VLOOKUP(Logs_Registre[[#This Row],[Cell_ID]],Registre_Maintenance[],5,FALSE),"")</f>
        <v>4G</v>
      </c>
      <c r="K272" t="str">
        <f>IFERROR(VLOOKUP(Logs_Registre[[#This Row],[Cell_ID]],Registre_Maintenance[],6,FALSE),"")</f>
        <v>Ericsson</v>
      </c>
    </row>
    <row r="273" spans="1:11" x14ac:dyDescent="0.25">
      <c r="A273" s="1" t="s">
        <v>939</v>
      </c>
      <c r="B273" s="1" t="s">
        <v>956</v>
      </c>
      <c r="C273" s="2">
        <v>45222.663194444453</v>
      </c>
      <c r="D273" s="3">
        <v>45222.663194444453</v>
      </c>
      <c r="E273">
        <v>6</v>
      </c>
      <c r="F273" s="1" t="s">
        <v>737</v>
      </c>
      <c r="G273" t="str">
        <f>IFERROR(VLOOKUP(Logs_Registre[[#This Row],[Cell_ID]],Registre_Maintenance[],2,FALSE),"")</f>
        <v>Kongo-Central</v>
      </c>
      <c r="H273">
        <f>IFERROR(VLOOKUP(Logs_Registre[[#This Row],[Cell_ID]],Registre_Maintenance[],3,FALSE),"")</f>
        <v>2.975352</v>
      </c>
      <c r="I273">
        <f>IFERROR(VLOOKUP(Logs_Registre[[#This Row],[Cell_ID]],Registre_Maintenance[],4,FALSE),"")</f>
        <v>22.535886000000001</v>
      </c>
      <c r="J273" t="str">
        <f>IFERROR(VLOOKUP(Logs_Registre[[#This Row],[Cell_ID]],Registre_Maintenance[],5,FALSE),"")</f>
        <v>4G</v>
      </c>
      <c r="K273" t="str">
        <f>IFERROR(VLOOKUP(Logs_Registre[[#This Row],[Cell_ID]],Registre_Maintenance[],6,FALSE),"")</f>
        <v>Huawei</v>
      </c>
    </row>
    <row r="274" spans="1:11" x14ac:dyDescent="0.25">
      <c r="A274" s="1" t="s">
        <v>1059</v>
      </c>
      <c r="B274" s="1" t="s">
        <v>1078</v>
      </c>
      <c r="C274" s="2">
        <v>45222.652777777781</v>
      </c>
      <c r="D274" s="3">
        <v>45222.652777777781</v>
      </c>
      <c r="E274">
        <v>46</v>
      </c>
      <c r="F274" s="1" t="s">
        <v>737</v>
      </c>
      <c r="G274" t="str">
        <f>IFERROR(VLOOKUP(Logs_Registre[[#This Row],[Cell_ID]],Registre_Maintenance[],2,FALSE),"")</f>
        <v>Lomami</v>
      </c>
      <c r="H274">
        <f>IFERROR(VLOOKUP(Logs_Registre[[#This Row],[Cell_ID]],Registre_Maintenance[],3,FALSE),"")</f>
        <v>-11.266565999999999</v>
      </c>
      <c r="I274">
        <f>IFERROR(VLOOKUP(Logs_Registre[[#This Row],[Cell_ID]],Registre_Maintenance[],4,FALSE),"")</f>
        <v>26.245055000000001</v>
      </c>
      <c r="J274" t="str">
        <f>IFERROR(VLOOKUP(Logs_Registre[[#This Row],[Cell_ID]],Registre_Maintenance[],5,FALSE),"")</f>
        <v>3G</v>
      </c>
      <c r="K274" t="str">
        <f>IFERROR(VLOOKUP(Logs_Registre[[#This Row],[Cell_ID]],Registre_Maintenance[],6,FALSE),"")</f>
        <v>Ericsson</v>
      </c>
    </row>
    <row r="275" spans="1:11" x14ac:dyDescent="0.25">
      <c r="A275" s="1" t="s">
        <v>779</v>
      </c>
      <c r="B275" s="1" t="s">
        <v>801</v>
      </c>
      <c r="C275" s="2">
        <v>45222.631249999999</v>
      </c>
      <c r="D275" s="3">
        <v>45222.631249999999</v>
      </c>
      <c r="E275">
        <v>90</v>
      </c>
      <c r="F275" s="1" t="s">
        <v>732</v>
      </c>
      <c r="G275" t="str">
        <f>IFERROR(VLOOKUP(Logs_Registre[[#This Row],[Cell_ID]],Registre_Maintenance[],2,FALSE),"")</f>
        <v/>
      </c>
      <c r="H275" t="str">
        <f>IFERROR(VLOOKUP(Logs_Registre[[#This Row],[Cell_ID]],Registre_Maintenance[],3,FALSE),"")</f>
        <v/>
      </c>
      <c r="I275" t="str">
        <f>IFERROR(VLOOKUP(Logs_Registre[[#This Row],[Cell_ID]],Registre_Maintenance[],4,FALSE),"")</f>
        <v/>
      </c>
      <c r="J275" t="str">
        <f>IFERROR(VLOOKUP(Logs_Registre[[#This Row],[Cell_ID]],Registre_Maintenance[],5,FALSE),"")</f>
        <v/>
      </c>
      <c r="K275" t="str">
        <f>IFERROR(VLOOKUP(Logs_Registre[[#This Row],[Cell_ID]],Registre_Maintenance[],6,FALSE),"")</f>
        <v/>
      </c>
    </row>
    <row r="276" spans="1:11" x14ac:dyDescent="0.25">
      <c r="A276" s="1" t="s">
        <v>1024</v>
      </c>
      <c r="B276" s="1" t="s">
        <v>1036</v>
      </c>
      <c r="C276" s="2">
        <v>45222.602777777778</v>
      </c>
      <c r="D276" s="3">
        <v>45222.602777777778</v>
      </c>
      <c r="E276">
        <v>53</v>
      </c>
      <c r="F276" s="1" t="s">
        <v>735</v>
      </c>
      <c r="G276" t="str">
        <f>IFERROR(VLOOKUP(Logs_Registre[[#This Row],[Cell_ID]],Registre_Maintenance[],2,FALSE),"")</f>
        <v/>
      </c>
      <c r="H276" t="str">
        <f>IFERROR(VLOOKUP(Logs_Registre[[#This Row],[Cell_ID]],Registre_Maintenance[],3,FALSE),"")</f>
        <v/>
      </c>
      <c r="I276" t="str">
        <f>IFERROR(VLOOKUP(Logs_Registre[[#This Row],[Cell_ID]],Registre_Maintenance[],4,FALSE),"")</f>
        <v/>
      </c>
      <c r="J276" t="str">
        <f>IFERROR(VLOOKUP(Logs_Registre[[#This Row],[Cell_ID]],Registre_Maintenance[],5,FALSE),"")</f>
        <v/>
      </c>
      <c r="K276" t="str">
        <f>IFERROR(VLOOKUP(Logs_Registre[[#This Row],[Cell_ID]],Registre_Maintenance[],6,FALSE),"")</f>
        <v/>
      </c>
    </row>
    <row r="277" spans="1:11" x14ac:dyDescent="0.25">
      <c r="A277" s="1" t="s">
        <v>1219</v>
      </c>
      <c r="B277" s="1" t="s">
        <v>927</v>
      </c>
      <c r="C277" s="2">
        <v>45222.597222222219</v>
      </c>
      <c r="D277" s="3">
        <v>45222.597222222219</v>
      </c>
      <c r="E277">
        <v>22</v>
      </c>
      <c r="F277" s="1" t="s">
        <v>735</v>
      </c>
      <c r="G277" t="str">
        <f>IFERROR(VLOOKUP(Logs_Registre[[#This Row],[Cell_ID]],Registre_Maintenance[],2,FALSE),"")</f>
        <v>Nord-Kivu</v>
      </c>
      <c r="H277">
        <f>IFERROR(VLOOKUP(Logs_Registre[[#This Row],[Cell_ID]],Registre_Maintenance[],3,FALSE),"")</f>
        <v>-1.8555980000000001</v>
      </c>
      <c r="I277">
        <f>IFERROR(VLOOKUP(Logs_Registre[[#This Row],[Cell_ID]],Registre_Maintenance[],4,FALSE),"")</f>
        <v>30.421918000000002</v>
      </c>
      <c r="J277" t="str">
        <f>IFERROR(VLOOKUP(Logs_Registre[[#This Row],[Cell_ID]],Registre_Maintenance[],5,FALSE),"")</f>
        <v>3G</v>
      </c>
      <c r="K277" t="str">
        <f>IFERROR(VLOOKUP(Logs_Registre[[#This Row],[Cell_ID]],Registre_Maintenance[],6,FALSE),"")</f>
        <v>ZTE</v>
      </c>
    </row>
    <row r="278" spans="1:11" x14ac:dyDescent="0.25">
      <c r="A278" s="1" t="s">
        <v>1059</v>
      </c>
      <c r="B278" s="1" t="s">
        <v>1080</v>
      </c>
      <c r="C278" s="2">
        <v>45222.584722222222</v>
      </c>
      <c r="D278" s="3">
        <v>45222.584722222222</v>
      </c>
      <c r="E278">
        <v>15</v>
      </c>
      <c r="F278" s="1" t="s">
        <v>737</v>
      </c>
      <c r="G278" t="str">
        <f>IFERROR(VLOOKUP(Logs_Registre[[#This Row],[Cell_ID]],Registre_Maintenance[],2,FALSE),"")</f>
        <v>Equateur</v>
      </c>
      <c r="H278">
        <f>IFERROR(VLOOKUP(Logs_Registre[[#This Row],[Cell_ID]],Registre_Maintenance[],3,FALSE),"")</f>
        <v>-9.1215879999999991</v>
      </c>
      <c r="I278">
        <f>IFERROR(VLOOKUP(Logs_Registre[[#This Row],[Cell_ID]],Registre_Maintenance[],4,FALSE),"")</f>
        <v>16.457916999999998</v>
      </c>
      <c r="J278" t="str">
        <f>IFERROR(VLOOKUP(Logs_Registre[[#This Row],[Cell_ID]],Registre_Maintenance[],5,FALSE),"")</f>
        <v>4G</v>
      </c>
      <c r="K278" t="str">
        <f>IFERROR(VLOOKUP(Logs_Registre[[#This Row],[Cell_ID]],Registre_Maintenance[],6,FALSE),"")</f>
        <v>Nokia</v>
      </c>
    </row>
    <row r="279" spans="1:11" x14ac:dyDescent="0.25">
      <c r="A279" s="1" t="s">
        <v>1165</v>
      </c>
      <c r="B279" s="1" t="s">
        <v>1168</v>
      </c>
      <c r="C279" s="2">
        <v>45222.55972222222</v>
      </c>
      <c r="D279" s="3">
        <v>45222.55972222222</v>
      </c>
      <c r="E279">
        <v>26</v>
      </c>
      <c r="F279" s="1" t="s">
        <v>737</v>
      </c>
      <c r="G279" t="str">
        <f>IFERROR(VLOOKUP(Logs_Registre[[#This Row],[Cell_ID]],Registre_Maintenance[],2,FALSE),"")</f>
        <v/>
      </c>
      <c r="H279" t="str">
        <f>IFERROR(VLOOKUP(Logs_Registre[[#This Row],[Cell_ID]],Registre_Maintenance[],3,FALSE),"")</f>
        <v/>
      </c>
      <c r="I279" t="str">
        <f>IFERROR(VLOOKUP(Logs_Registre[[#This Row],[Cell_ID]],Registre_Maintenance[],4,FALSE),"")</f>
        <v/>
      </c>
      <c r="J279" t="str">
        <f>IFERROR(VLOOKUP(Logs_Registre[[#This Row],[Cell_ID]],Registre_Maintenance[],5,FALSE),"")</f>
        <v/>
      </c>
      <c r="K279" t="str">
        <f>IFERROR(VLOOKUP(Logs_Registre[[#This Row],[Cell_ID]],Registre_Maintenance[],6,FALSE),"")</f>
        <v/>
      </c>
    </row>
    <row r="280" spans="1:11" x14ac:dyDescent="0.25">
      <c r="A280" s="1" t="s">
        <v>939</v>
      </c>
      <c r="B280" s="1" t="s">
        <v>953</v>
      </c>
      <c r="C280" s="2">
        <v>45222.52847222222</v>
      </c>
      <c r="D280" s="3">
        <v>45222.52847222222</v>
      </c>
      <c r="E280">
        <v>111</v>
      </c>
      <c r="F280" s="1" t="s">
        <v>732</v>
      </c>
      <c r="G280" t="str">
        <f>IFERROR(VLOOKUP(Logs_Registre[[#This Row],[Cell_ID]],Registre_Maintenance[],2,FALSE),"")</f>
        <v/>
      </c>
      <c r="H280" t="str">
        <f>IFERROR(VLOOKUP(Logs_Registre[[#This Row],[Cell_ID]],Registre_Maintenance[],3,FALSE),"")</f>
        <v/>
      </c>
      <c r="I280" t="str">
        <f>IFERROR(VLOOKUP(Logs_Registre[[#This Row],[Cell_ID]],Registre_Maintenance[],4,FALSE),"")</f>
        <v/>
      </c>
      <c r="J280" t="str">
        <f>IFERROR(VLOOKUP(Logs_Registre[[#This Row],[Cell_ID]],Registre_Maintenance[],5,FALSE),"")</f>
        <v/>
      </c>
      <c r="K280" t="str">
        <f>IFERROR(VLOOKUP(Logs_Registre[[#This Row],[Cell_ID]],Registre_Maintenance[],6,FALSE),"")</f>
        <v/>
      </c>
    </row>
    <row r="281" spans="1:11" x14ac:dyDescent="0.25">
      <c r="A281" s="1" t="s">
        <v>939</v>
      </c>
      <c r="B281" s="1" t="s">
        <v>944</v>
      </c>
      <c r="C281" s="2">
        <v>45222.51666666667</v>
      </c>
      <c r="D281" s="3">
        <v>45222.51666666667</v>
      </c>
      <c r="E281">
        <v>66</v>
      </c>
      <c r="F281" s="1" t="s">
        <v>732</v>
      </c>
      <c r="G281" t="str">
        <f>IFERROR(VLOOKUP(Logs_Registre[[#This Row],[Cell_ID]],Registre_Maintenance[],2,FALSE),"")</f>
        <v/>
      </c>
      <c r="H281" t="str">
        <f>IFERROR(VLOOKUP(Logs_Registre[[#This Row],[Cell_ID]],Registre_Maintenance[],3,FALSE),"")</f>
        <v/>
      </c>
      <c r="I281" t="str">
        <f>IFERROR(VLOOKUP(Logs_Registre[[#This Row],[Cell_ID]],Registre_Maintenance[],4,FALSE),"")</f>
        <v/>
      </c>
      <c r="J281" t="str">
        <f>IFERROR(VLOOKUP(Logs_Registre[[#This Row],[Cell_ID]],Registre_Maintenance[],5,FALSE),"")</f>
        <v/>
      </c>
      <c r="K281" t="str">
        <f>IFERROR(VLOOKUP(Logs_Registre[[#This Row],[Cell_ID]],Registre_Maintenance[],6,FALSE),"")</f>
        <v/>
      </c>
    </row>
    <row r="282" spans="1:11" x14ac:dyDescent="0.25">
      <c r="A282" s="1" t="s">
        <v>902</v>
      </c>
      <c r="B282" s="1" t="s">
        <v>934</v>
      </c>
      <c r="C282" s="2">
        <v>45222.511805555558</v>
      </c>
      <c r="D282" s="3">
        <v>45222.511805555558</v>
      </c>
      <c r="E282">
        <v>56</v>
      </c>
      <c r="F282" s="1" t="s">
        <v>732</v>
      </c>
      <c r="G282" t="str">
        <f>IFERROR(VLOOKUP(Logs_Registre[[#This Row],[Cell_ID]],Registre_Maintenance[],2,FALSE),"")</f>
        <v/>
      </c>
      <c r="H282" t="str">
        <f>IFERROR(VLOOKUP(Logs_Registre[[#This Row],[Cell_ID]],Registre_Maintenance[],3,FALSE),"")</f>
        <v/>
      </c>
      <c r="I282" t="str">
        <f>IFERROR(VLOOKUP(Logs_Registre[[#This Row],[Cell_ID]],Registre_Maintenance[],4,FALSE),"")</f>
        <v/>
      </c>
      <c r="J282" t="str">
        <f>IFERROR(VLOOKUP(Logs_Registre[[#This Row],[Cell_ID]],Registre_Maintenance[],5,FALSE),"")</f>
        <v/>
      </c>
      <c r="K282" t="str">
        <f>IFERROR(VLOOKUP(Logs_Registre[[#This Row],[Cell_ID]],Registre_Maintenance[],6,FALSE),"")</f>
        <v/>
      </c>
    </row>
    <row r="283" spans="1:11" x14ac:dyDescent="0.25">
      <c r="A283" s="1" t="s">
        <v>1330</v>
      </c>
      <c r="B283" s="1" t="s">
        <v>1333</v>
      </c>
      <c r="C283" s="2">
        <v>45222.501388888893</v>
      </c>
      <c r="D283" s="3">
        <v>45222.501388888893</v>
      </c>
      <c r="E283">
        <v>39</v>
      </c>
      <c r="F283" s="1" t="s">
        <v>732</v>
      </c>
      <c r="G283" t="str">
        <f>IFERROR(VLOOKUP(Logs_Registre[[#This Row],[Cell_ID]],Registre_Maintenance[],2,FALSE),"")</f>
        <v/>
      </c>
      <c r="H283" t="str">
        <f>IFERROR(VLOOKUP(Logs_Registre[[#This Row],[Cell_ID]],Registre_Maintenance[],3,FALSE),"")</f>
        <v/>
      </c>
      <c r="I283" t="str">
        <f>IFERROR(VLOOKUP(Logs_Registre[[#This Row],[Cell_ID]],Registre_Maintenance[],4,FALSE),"")</f>
        <v/>
      </c>
      <c r="J283" t="str">
        <f>IFERROR(VLOOKUP(Logs_Registre[[#This Row],[Cell_ID]],Registre_Maintenance[],5,FALSE),"")</f>
        <v/>
      </c>
      <c r="K283" t="str">
        <f>IFERROR(VLOOKUP(Logs_Registre[[#This Row],[Cell_ID]],Registre_Maintenance[],6,FALSE),"")</f>
        <v/>
      </c>
    </row>
    <row r="284" spans="1:11" x14ac:dyDescent="0.25">
      <c r="A284" s="1" t="s">
        <v>1288</v>
      </c>
      <c r="B284" s="1" t="s">
        <v>1305</v>
      </c>
      <c r="C284" s="2">
        <v>45222.479166666657</v>
      </c>
      <c r="D284" s="3">
        <v>45222.479166666657</v>
      </c>
      <c r="E284">
        <v>112</v>
      </c>
      <c r="F284" s="1" t="s">
        <v>735</v>
      </c>
      <c r="G284" t="str">
        <f>IFERROR(VLOOKUP(Logs_Registre[[#This Row],[Cell_ID]],Registre_Maintenance[],2,FALSE),"")</f>
        <v>Haut-Uele</v>
      </c>
      <c r="H284">
        <f>IFERROR(VLOOKUP(Logs_Registre[[#This Row],[Cell_ID]],Registre_Maintenance[],3,FALSE),"")</f>
        <v>-8.8118569999999998</v>
      </c>
      <c r="I284">
        <f>IFERROR(VLOOKUP(Logs_Registre[[#This Row],[Cell_ID]],Registre_Maintenance[],4,FALSE),"")</f>
        <v>14.465711000000001</v>
      </c>
      <c r="J284" t="str">
        <f>IFERROR(VLOOKUP(Logs_Registre[[#This Row],[Cell_ID]],Registre_Maintenance[],5,FALSE),"")</f>
        <v>5G</v>
      </c>
      <c r="K284" t="str">
        <f>IFERROR(VLOOKUP(Logs_Registre[[#This Row],[Cell_ID]],Registre_Maintenance[],6,FALSE),"")</f>
        <v>Nokia</v>
      </c>
    </row>
    <row r="285" spans="1:11" x14ac:dyDescent="0.25">
      <c r="A285" s="1" t="s">
        <v>1241</v>
      </c>
      <c r="B285" s="1" t="s">
        <v>759</v>
      </c>
      <c r="C285" s="2">
        <v>45222.478472222218</v>
      </c>
      <c r="D285" s="3">
        <v>45222.478472222218</v>
      </c>
      <c r="E285">
        <v>72</v>
      </c>
      <c r="F285" s="1" t="s">
        <v>735</v>
      </c>
      <c r="G285" t="str">
        <f>IFERROR(VLOOKUP(Logs_Registre[[#This Row],[Cell_ID]],Registre_Maintenance[],2,FALSE),"")</f>
        <v/>
      </c>
      <c r="H285" t="str">
        <f>IFERROR(VLOOKUP(Logs_Registre[[#This Row],[Cell_ID]],Registre_Maintenance[],3,FALSE),"")</f>
        <v/>
      </c>
      <c r="I285" t="str">
        <f>IFERROR(VLOOKUP(Logs_Registre[[#This Row],[Cell_ID]],Registre_Maintenance[],4,FALSE),"")</f>
        <v/>
      </c>
      <c r="J285" t="str">
        <f>IFERROR(VLOOKUP(Logs_Registre[[#This Row],[Cell_ID]],Registre_Maintenance[],5,FALSE),"")</f>
        <v/>
      </c>
      <c r="K285" t="str">
        <f>IFERROR(VLOOKUP(Logs_Registre[[#This Row],[Cell_ID]],Registre_Maintenance[],6,FALSE),"")</f>
        <v/>
      </c>
    </row>
    <row r="286" spans="1:11" x14ac:dyDescent="0.25">
      <c r="A286" s="1" t="s">
        <v>978</v>
      </c>
      <c r="B286" s="1" t="s">
        <v>985</v>
      </c>
      <c r="C286" s="2">
        <v>45222.467361111107</v>
      </c>
      <c r="D286" s="3">
        <v>45222.467361111107</v>
      </c>
      <c r="E286">
        <v>104</v>
      </c>
      <c r="F286" s="1" t="s">
        <v>737</v>
      </c>
      <c r="G286" t="str">
        <f>IFERROR(VLOOKUP(Logs_Registre[[#This Row],[Cell_ID]],Registre_Maintenance[],2,FALSE),"")</f>
        <v/>
      </c>
      <c r="H286" t="str">
        <f>IFERROR(VLOOKUP(Logs_Registre[[#This Row],[Cell_ID]],Registre_Maintenance[],3,FALSE),"")</f>
        <v/>
      </c>
      <c r="I286" t="str">
        <f>IFERROR(VLOOKUP(Logs_Registre[[#This Row],[Cell_ID]],Registre_Maintenance[],4,FALSE),"")</f>
        <v/>
      </c>
      <c r="J286" t="str">
        <f>IFERROR(VLOOKUP(Logs_Registre[[#This Row],[Cell_ID]],Registre_Maintenance[],5,FALSE),"")</f>
        <v/>
      </c>
      <c r="K286" t="str">
        <f>IFERROR(VLOOKUP(Logs_Registre[[#This Row],[Cell_ID]],Registre_Maintenance[],6,FALSE),"")</f>
        <v/>
      </c>
    </row>
    <row r="287" spans="1:11" x14ac:dyDescent="0.25">
      <c r="A287" s="1" t="s">
        <v>779</v>
      </c>
      <c r="B287" s="1" t="s">
        <v>817</v>
      </c>
      <c r="C287" s="2">
        <v>45222.427083333343</v>
      </c>
      <c r="D287" s="3">
        <v>45222.427083333343</v>
      </c>
      <c r="E287">
        <v>82</v>
      </c>
      <c r="F287" s="1" t="s">
        <v>732</v>
      </c>
      <c r="G287" t="str">
        <f>IFERROR(VLOOKUP(Logs_Registre[[#This Row],[Cell_ID]],Registre_Maintenance[],2,FALSE),"")</f>
        <v>Bas-Uele</v>
      </c>
      <c r="H287">
        <f>IFERROR(VLOOKUP(Logs_Registre[[#This Row],[Cell_ID]],Registre_Maintenance[],3,FALSE),"")</f>
        <v>-4.4697000000000001E-2</v>
      </c>
      <c r="I287">
        <f>IFERROR(VLOOKUP(Logs_Registre[[#This Row],[Cell_ID]],Registre_Maintenance[],4,FALSE),"")</f>
        <v>22.943373000000001</v>
      </c>
      <c r="J287" t="str">
        <f>IFERROR(VLOOKUP(Logs_Registre[[#This Row],[Cell_ID]],Registre_Maintenance[],5,FALSE),"")</f>
        <v>3G</v>
      </c>
      <c r="K287" t="str">
        <f>IFERROR(VLOOKUP(Logs_Registre[[#This Row],[Cell_ID]],Registre_Maintenance[],6,FALSE),"")</f>
        <v>Huawei</v>
      </c>
    </row>
    <row r="288" spans="1:11" x14ac:dyDescent="0.25">
      <c r="A288" s="1" t="s">
        <v>730</v>
      </c>
      <c r="B288" s="1" t="s">
        <v>775</v>
      </c>
      <c r="C288" s="2">
        <v>45222.425694444442</v>
      </c>
      <c r="D288" s="3">
        <v>45222.425694444442</v>
      </c>
      <c r="E288">
        <v>48</v>
      </c>
      <c r="F288" s="1" t="s">
        <v>732</v>
      </c>
      <c r="G288" t="str">
        <f>IFERROR(VLOOKUP(Logs_Registre[[#This Row],[Cell_ID]],Registre_Maintenance[],2,FALSE),"")</f>
        <v/>
      </c>
      <c r="H288" t="str">
        <f>IFERROR(VLOOKUP(Logs_Registre[[#This Row],[Cell_ID]],Registre_Maintenance[],3,FALSE),"")</f>
        <v/>
      </c>
      <c r="I288" t="str">
        <f>IFERROR(VLOOKUP(Logs_Registre[[#This Row],[Cell_ID]],Registre_Maintenance[],4,FALSE),"")</f>
        <v/>
      </c>
      <c r="J288" t="str">
        <f>IFERROR(VLOOKUP(Logs_Registre[[#This Row],[Cell_ID]],Registre_Maintenance[],5,FALSE),"")</f>
        <v/>
      </c>
      <c r="K288" t="str">
        <f>IFERROR(VLOOKUP(Logs_Registre[[#This Row],[Cell_ID]],Registre_Maintenance[],6,FALSE),"")</f>
        <v/>
      </c>
    </row>
    <row r="289" spans="1:11" x14ac:dyDescent="0.25">
      <c r="A289" s="1" t="s">
        <v>999</v>
      </c>
      <c r="B289" s="1" t="s">
        <v>1009</v>
      </c>
      <c r="C289" s="2">
        <v>45222.415277777778</v>
      </c>
      <c r="D289" s="3">
        <v>45222.415277777778</v>
      </c>
      <c r="E289">
        <v>73</v>
      </c>
      <c r="F289" s="1" t="s">
        <v>732</v>
      </c>
      <c r="G289" t="str">
        <f>IFERROR(VLOOKUP(Logs_Registre[[#This Row],[Cell_ID]],Registre_Maintenance[],2,FALSE),"")</f>
        <v>Nord-Ubangi</v>
      </c>
      <c r="H289">
        <f>IFERROR(VLOOKUP(Logs_Registre[[#This Row],[Cell_ID]],Registre_Maintenance[],3,FALSE),"")</f>
        <v>-4.8128659999999996</v>
      </c>
      <c r="I289">
        <f>IFERROR(VLOOKUP(Logs_Registre[[#This Row],[Cell_ID]],Registre_Maintenance[],4,FALSE),"")</f>
        <v>18.559304999999998</v>
      </c>
      <c r="J289" t="str">
        <f>IFERROR(VLOOKUP(Logs_Registre[[#This Row],[Cell_ID]],Registre_Maintenance[],5,FALSE),"")</f>
        <v>5G</v>
      </c>
      <c r="K289" t="str">
        <f>IFERROR(VLOOKUP(Logs_Registre[[#This Row],[Cell_ID]],Registre_Maintenance[],6,FALSE),"")</f>
        <v>ZTE</v>
      </c>
    </row>
    <row r="290" spans="1:11" x14ac:dyDescent="0.25">
      <c r="A290" s="1" t="s">
        <v>861</v>
      </c>
      <c r="B290" s="1" t="s">
        <v>882</v>
      </c>
      <c r="C290" s="2">
        <v>45222.367361111108</v>
      </c>
      <c r="D290" s="3">
        <v>45222.367361111108</v>
      </c>
      <c r="E290">
        <v>117</v>
      </c>
      <c r="F290" s="1" t="s">
        <v>735</v>
      </c>
      <c r="G290" t="str">
        <f>IFERROR(VLOOKUP(Logs_Registre[[#This Row],[Cell_ID]],Registre_Maintenance[],2,FALSE),"")</f>
        <v/>
      </c>
      <c r="H290" t="str">
        <f>IFERROR(VLOOKUP(Logs_Registre[[#This Row],[Cell_ID]],Registre_Maintenance[],3,FALSE),"")</f>
        <v/>
      </c>
      <c r="I290" t="str">
        <f>IFERROR(VLOOKUP(Logs_Registre[[#This Row],[Cell_ID]],Registre_Maintenance[],4,FALSE),"")</f>
        <v/>
      </c>
      <c r="J290" t="str">
        <f>IFERROR(VLOOKUP(Logs_Registre[[#This Row],[Cell_ID]],Registre_Maintenance[],5,FALSE),"")</f>
        <v/>
      </c>
      <c r="K290" t="str">
        <f>IFERROR(VLOOKUP(Logs_Registre[[#This Row],[Cell_ID]],Registre_Maintenance[],6,FALSE),"")</f>
        <v/>
      </c>
    </row>
    <row r="291" spans="1:11" x14ac:dyDescent="0.25">
      <c r="A291" s="1" t="s">
        <v>939</v>
      </c>
      <c r="B291" s="1" t="s">
        <v>977</v>
      </c>
      <c r="C291" s="2">
        <v>45222.353472222218</v>
      </c>
      <c r="D291" s="3">
        <v>45222.353472222218</v>
      </c>
      <c r="E291">
        <v>101</v>
      </c>
      <c r="F291" s="1" t="s">
        <v>735</v>
      </c>
      <c r="G291" t="str">
        <f>IFERROR(VLOOKUP(Logs_Registre[[#This Row],[Cell_ID]],Registre_Maintenance[],2,FALSE),"")</f>
        <v>Nord-Kivu</v>
      </c>
      <c r="H291">
        <f>IFERROR(VLOOKUP(Logs_Registre[[#This Row],[Cell_ID]],Registre_Maintenance[],3,FALSE),"")</f>
        <v>-10.846306999999999</v>
      </c>
      <c r="I291">
        <f>IFERROR(VLOOKUP(Logs_Registre[[#This Row],[Cell_ID]],Registre_Maintenance[],4,FALSE),"")</f>
        <v>19.201827999999999</v>
      </c>
      <c r="J291" t="str">
        <f>IFERROR(VLOOKUP(Logs_Registre[[#This Row],[Cell_ID]],Registre_Maintenance[],5,FALSE),"")</f>
        <v>4G</v>
      </c>
      <c r="K291" t="str">
        <f>IFERROR(VLOOKUP(Logs_Registre[[#This Row],[Cell_ID]],Registre_Maintenance[],6,FALSE),"")</f>
        <v>Ericsson</v>
      </c>
    </row>
    <row r="292" spans="1:11" x14ac:dyDescent="0.25">
      <c r="A292" s="1" t="s">
        <v>1219</v>
      </c>
      <c r="B292" s="1" t="s">
        <v>1041</v>
      </c>
      <c r="C292" s="2">
        <v>45222.188888888893</v>
      </c>
      <c r="D292" s="3">
        <v>45222.188888888893</v>
      </c>
      <c r="E292">
        <v>33</v>
      </c>
      <c r="F292" s="1" t="s">
        <v>732</v>
      </c>
      <c r="G292" t="str">
        <f>IFERROR(VLOOKUP(Logs_Registre[[#This Row],[Cell_ID]],Registre_Maintenance[],2,FALSE),"")</f>
        <v>Mongala</v>
      </c>
      <c r="H292">
        <f>IFERROR(VLOOKUP(Logs_Registre[[#This Row],[Cell_ID]],Registre_Maintenance[],3,FALSE),"")</f>
        <v>-5.3762689999999997</v>
      </c>
      <c r="I292">
        <f>IFERROR(VLOOKUP(Logs_Registre[[#This Row],[Cell_ID]],Registre_Maintenance[],4,FALSE),"")</f>
        <v>28.189575999999999</v>
      </c>
      <c r="J292" t="str">
        <f>IFERROR(VLOOKUP(Logs_Registre[[#This Row],[Cell_ID]],Registre_Maintenance[],5,FALSE),"")</f>
        <v>5G</v>
      </c>
      <c r="K292" t="str">
        <f>IFERROR(VLOOKUP(Logs_Registre[[#This Row],[Cell_ID]],Registre_Maintenance[],6,FALSE),"")</f>
        <v>Huawei</v>
      </c>
    </row>
    <row r="293" spans="1:11" x14ac:dyDescent="0.25">
      <c r="A293" s="1" t="s">
        <v>1059</v>
      </c>
      <c r="B293" s="1" t="s">
        <v>1064</v>
      </c>
      <c r="C293" s="2">
        <v>45222.179166666669</v>
      </c>
      <c r="D293" s="3">
        <v>45222.179166666669</v>
      </c>
      <c r="E293">
        <v>28</v>
      </c>
      <c r="F293" s="1" t="s">
        <v>735</v>
      </c>
      <c r="G293" t="str">
        <f>IFERROR(VLOOKUP(Logs_Registre[[#This Row],[Cell_ID]],Registre_Maintenance[],2,FALSE),"")</f>
        <v>Kinshasa</v>
      </c>
      <c r="H293">
        <f>IFERROR(VLOOKUP(Logs_Registre[[#This Row],[Cell_ID]],Registre_Maintenance[],3,FALSE),"")</f>
        <v>-0.90854400000000002</v>
      </c>
      <c r="I293">
        <f>IFERROR(VLOOKUP(Logs_Registre[[#This Row],[Cell_ID]],Registre_Maintenance[],4,FALSE),"")</f>
        <v>17.154896999999998</v>
      </c>
      <c r="J293" t="str">
        <f>IFERROR(VLOOKUP(Logs_Registre[[#This Row],[Cell_ID]],Registre_Maintenance[],5,FALSE),"")</f>
        <v>3G</v>
      </c>
      <c r="K293" t="str">
        <f>IFERROR(VLOOKUP(Logs_Registre[[#This Row],[Cell_ID]],Registre_Maintenance[],6,FALSE),"")</f>
        <v>Huawei</v>
      </c>
    </row>
    <row r="294" spans="1:11" x14ac:dyDescent="0.25">
      <c r="A294" s="1" t="s">
        <v>1219</v>
      </c>
      <c r="B294" s="1" t="s">
        <v>1233</v>
      </c>
      <c r="C294" s="2">
        <v>45222.10833333333</v>
      </c>
      <c r="D294" s="3">
        <v>45222.10833333333</v>
      </c>
      <c r="E294">
        <v>88</v>
      </c>
      <c r="F294" s="1" t="s">
        <v>737</v>
      </c>
      <c r="G294" t="str">
        <f>IFERROR(VLOOKUP(Logs_Registre[[#This Row],[Cell_ID]],Registre_Maintenance[],2,FALSE),"")</f>
        <v/>
      </c>
      <c r="H294" t="str">
        <f>IFERROR(VLOOKUP(Logs_Registre[[#This Row],[Cell_ID]],Registre_Maintenance[],3,FALSE),"")</f>
        <v/>
      </c>
      <c r="I294" t="str">
        <f>IFERROR(VLOOKUP(Logs_Registre[[#This Row],[Cell_ID]],Registre_Maintenance[],4,FALSE),"")</f>
        <v/>
      </c>
      <c r="J294" t="str">
        <f>IFERROR(VLOOKUP(Logs_Registre[[#This Row],[Cell_ID]],Registre_Maintenance[],5,FALSE),"")</f>
        <v/>
      </c>
      <c r="K294" t="str">
        <f>IFERROR(VLOOKUP(Logs_Registre[[#This Row],[Cell_ID]],Registre_Maintenance[],6,FALSE),"")</f>
        <v/>
      </c>
    </row>
    <row r="295" spans="1:11" x14ac:dyDescent="0.25">
      <c r="A295" s="1" t="s">
        <v>1086</v>
      </c>
      <c r="B295" s="1" t="s">
        <v>845</v>
      </c>
      <c r="C295" s="2">
        <v>45222.107638888891</v>
      </c>
      <c r="D295" s="3">
        <v>45222.107638888891</v>
      </c>
      <c r="E295">
        <v>85</v>
      </c>
      <c r="F295" s="1" t="s">
        <v>732</v>
      </c>
      <c r="G295" t="str">
        <f>IFERROR(VLOOKUP(Logs_Registre[[#This Row],[Cell_ID]],Registre_Maintenance[],2,FALSE),"")</f>
        <v/>
      </c>
      <c r="H295" t="str">
        <f>IFERROR(VLOOKUP(Logs_Registre[[#This Row],[Cell_ID]],Registre_Maintenance[],3,FALSE),"")</f>
        <v/>
      </c>
      <c r="I295" t="str">
        <f>IFERROR(VLOOKUP(Logs_Registre[[#This Row],[Cell_ID]],Registre_Maintenance[],4,FALSE),"")</f>
        <v/>
      </c>
      <c r="J295" t="str">
        <f>IFERROR(VLOOKUP(Logs_Registre[[#This Row],[Cell_ID]],Registre_Maintenance[],5,FALSE),"")</f>
        <v/>
      </c>
      <c r="K295" t="str">
        <f>IFERROR(VLOOKUP(Logs_Registre[[#This Row],[Cell_ID]],Registre_Maintenance[],6,FALSE),"")</f>
        <v/>
      </c>
    </row>
    <row r="296" spans="1:11" x14ac:dyDescent="0.25">
      <c r="A296" s="1" t="s">
        <v>730</v>
      </c>
      <c r="B296" s="1" t="s">
        <v>736</v>
      </c>
      <c r="C296" s="2">
        <v>45221.997916666667</v>
      </c>
      <c r="D296" s="3">
        <v>45221.997916666667</v>
      </c>
      <c r="E296">
        <v>79</v>
      </c>
      <c r="F296" s="1" t="s">
        <v>737</v>
      </c>
      <c r="G296" t="str">
        <f>IFERROR(VLOOKUP(Logs_Registre[[#This Row],[Cell_ID]],Registre_Maintenance[],2,FALSE),"")</f>
        <v/>
      </c>
      <c r="H296" t="str">
        <f>IFERROR(VLOOKUP(Logs_Registre[[#This Row],[Cell_ID]],Registre_Maintenance[],3,FALSE),"")</f>
        <v/>
      </c>
      <c r="I296" t="str">
        <f>IFERROR(VLOOKUP(Logs_Registre[[#This Row],[Cell_ID]],Registre_Maintenance[],4,FALSE),"")</f>
        <v/>
      </c>
      <c r="J296" t="str">
        <f>IFERROR(VLOOKUP(Logs_Registre[[#This Row],[Cell_ID]],Registre_Maintenance[],5,FALSE),"")</f>
        <v/>
      </c>
      <c r="K296" t="str">
        <f>IFERROR(VLOOKUP(Logs_Registre[[#This Row],[Cell_ID]],Registre_Maintenance[],6,FALSE),"")</f>
        <v/>
      </c>
    </row>
    <row r="297" spans="1:11" x14ac:dyDescent="0.25">
      <c r="A297" s="1" t="s">
        <v>823</v>
      </c>
      <c r="B297" s="1" t="s">
        <v>845</v>
      </c>
      <c r="C297" s="2">
        <v>45221.997916666667</v>
      </c>
      <c r="D297" s="3">
        <v>45221.997916666667</v>
      </c>
      <c r="E297">
        <v>59</v>
      </c>
      <c r="F297" s="1" t="s">
        <v>732</v>
      </c>
      <c r="G297" t="str">
        <f>IFERROR(VLOOKUP(Logs_Registre[[#This Row],[Cell_ID]],Registre_Maintenance[],2,FALSE),"")</f>
        <v/>
      </c>
      <c r="H297" t="str">
        <f>IFERROR(VLOOKUP(Logs_Registre[[#This Row],[Cell_ID]],Registre_Maintenance[],3,FALSE),"")</f>
        <v/>
      </c>
      <c r="I297" t="str">
        <f>IFERROR(VLOOKUP(Logs_Registre[[#This Row],[Cell_ID]],Registre_Maintenance[],4,FALSE),"")</f>
        <v/>
      </c>
      <c r="J297" t="str">
        <f>IFERROR(VLOOKUP(Logs_Registre[[#This Row],[Cell_ID]],Registre_Maintenance[],5,FALSE),"")</f>
        <v/>
      </c>
      <c r="K297" t="str">
        <f>IFERROR(VLOOKUP(Logs_Registre[[#This Row],[Cell_ID]],Registre_Maintenance[],6,FALSE),"")</f>
        <v/>
      </c>
    </row>
    <row r="298" spans="1:11" x14ac:dyDescent="0.25">
      <c r="A298" s="1" t="s">
        <v>978</v>
      </c>
      <c r="B298" s="1" t="s">
        <v>980</v>
      </c>
      <c r="C298" s="2">
        <v>45221.988888888889</v>
      </c>
      <c r="D298" s="3">
        <v>45221.988888888889</v>
      </c>
      <c r="E298">
        <v>72</v>
      </c>
      <c r="F298" s="1" t="s">
        <v>735</v>
      </c>
      <c r="G298" t="str">
        <f>IFERROR(VLOOKUP(Logs_Registre[[#This Row],[Cell_ID]],Registre_Maintenance[],2,FALSE),"")</f>
        <v/>
      </c>
      <c r="H298" t="str">
        <f>IFERROR(VLOOKUP(Logs_Registre[[#This Row],[Cell_ID]],Registre_Maintenance[],3,FALSE),"")</f>
        <v/>
      </c>
      <c r="I298" t="str">
        <f>IFERROR(VLOOKUP(Logs_Registre[[#This Row],[Cell_ID]],Registre_Maintenance[],4,FALSE),"")</f>
        <v/>
      </c>
      <c r="J298" t="str">
        <f>IFERROR(VLOOKUP(Logs_Registre[[#This Row],[Cell_ID]],Registre_Maintenance[],5,FALSE),"")</f>
        <v/>
      </c>
      <c r="K298" t="str">
        <f>IFERROR(VLOOKUP(Logs_Registre[[#This Row],[Cell_ID]],Registre_Maintenance[],6,FALSE),"")</f>
        <v/>
      </c>
    </row>
    <row r="299" spans="1:11" x14ac:dyDescent="0.25">
      <c r="A299" s="1" t="s">
        <v>1261</v>
      </c>
      <c r="B299" s="1" t="s">
        <v>1265</v>
      </c>
      <c r="C299" s="2">
        <v>45221.96597222222</v>
      </c>
      <c r="D299" s="3">
        <v>45221.96597222222</v>
      </c>
      <c r="E299">
        <v>84</v>
      </c>
      <c r="F299" s="1" t="s">
        <v>737</v>
      </c>
      <c r="G299" t="str">
        <f>IFERROR(VLOOKUP(Logs_Registre[[#This Row],[Cell_ID]],Registre_Maintenance[],2,FALSE),"")</f>
        <v/>
      </c>
      <c r="H299" t="str">
        <f>IFERROR(VLOOKUP(Logs_Registre[[#This Row],[Cell_ID]],Registre_Maintenance[],3,FALSE),"")</f>
        <v/>
      </c>
      <c r="I299" t="str">
        <f>IFERROR(VLOOKUP(Logs_Registre[[#This Row],[Cell_ID]],Registre_Maintenance[],4,FALSE),"")</f>
        <v/>
      </c>
      <c r="J299" t="str">
        <f>IFERROR(VLOOKUP(Logs_Registre[[#This Row],[Cell_ID]],Registre_Maintenance[],5,FALSE),"")</f>
        <v/>
      </c>
      <c r="K299" t="str">
        <f>IFERROR(VLOOKUP(Logs_Registre[[#This Row],[Cell_ID]],Registre_Maintenance[],6,FALSE),"")</f>
        <v/>
      </c>
    </row>
    <row r="300" spans="1:11" x14ac:dyDescent="0.25">
      <c r="A300" s="1" t="s">
        <v>1241</v>
      </c>
      <c r="B300" s="1" t="s">
        <v>1243</v>
      </c>
      <c r="C300" s="2">
        <v>45221.931944444441</v>
      </c>
      <c r="D300" s="3">
        <v>45221.931944444441</v>
      </c>
      <c r="E300">
        <v>26</v>
      </c>
      <c r="F300" s="1" t="s">
        <v>732</v>
      </c>
      <c r="G300" t="str">
        <f>IFERROR(VLOOKUP(Logs_Registre[[#This Row],[Cell_ID]],Registre_Maintenance[],2,FALSE),"")</f>
        <v/>
      </c>
      <c r="H300" t="str">
        <f>IFERROR(VLOOKUP(Logs_Registre[[#This Row],[Cell_ID]],Registre_Maintenance[],3,FALSE),"")</f>
        <v/>
      </c>
      <c r="I300" t="str">
        <f>IFERROR(VLOOKUP(Logs_Registre[[#This Row],[Cell_ID]],Registre_Maintenance[],4,FALSE),"")</f>
        <v/>
      </c>
      <c r="J300" t="str">
        <f>IFERROR(VLOOKUP(Logs_Registre[[#This Row],[Cell_ID]],Registre_Maintenance[],5,FALSE),"")</f>
        <v/>
      </c>
      <c r="K300" t="str">
        <f>IFERROR(VLOOKUP(Logs_Registre[[#This Row],[Cell_ID]],Registre_Maintenance[],6,FALSE),"")</f>
        <v/>
      </c>
    </row>
    <row r="301" spans="1:11" x14ac:dyDescent="0.25">
      <c r="A301" s="1" t="s">
        <v>999</v>
      </c>
      <c r="B301" s="1" t="s">
        <v>772</v>
      </c>
      <c r="C301" s="2">
        <v>45221.928472222222</v>
      </c>
      <c r="D301" s="3">
        <v>45221.928472222222</v>
      </c>
      <c r="E301">
        <v>21</v>
      </c>
      <c r="F301" s="1" t="s">
        <v>732</v>
      </c>
      <c r="G301" t="str">
        <f>IFERROR(VLOOKUP(Logs_Registre[[#This Row],[Cell_ID]],Registre_Maintenance[],2,FALSE),"")</f>
        <v/>
      </c>
      <c r="H301" t="str">
        <f>IFERROR(VLOOKUP(Logs_Registre[[#This Row],[Cell_ID]],Registre_Maintenance[],3,FALSE),"")</f>
        <v/>
      </c>
      <c r="I301" t="str">
        <f>IFERROR(VLOOKUP(Logs_Registre[[#This Row],[Cell_ID]],Registre_Maintenance[],4,FALSE),"")</f>
        <v/>
      </c>
      <c r="J301" t="str">
        <f>IFERROR(VLOOKUP(Logs_Registre[[#This Row],[Cell_ID]],Registre_Maintenance[],5,FALSE),"")</f>
        <v/>
      </c>
      <c r="K301" t="str">
        <f>IFERROR(VLOOKUP(Logs_Registre[[#This Row],[Cell_ID]],Registre_Maintenance[],6,FALSE),"")</f>
        <v/>
      </c>
    </row>
    <row r="302" spans="1:11" x14ac:dyDescent="0.25">
      <c r="A302" s="1" t="s">
        <v>861</v>
      </c>
      <c r="B302" s="1" t="s">
        <v>863</v>
      </c>
      <c r="C302" s="2">
        <v>45221.910416666673</v>
      </c>
      <c r="D302" s="3">
        <v>45221.910416666673</v>
      </c>
      <c r="E302">
        <v>60</v>
      </c>
      <c r="F302" s="1" t="s">
        <v>735</v>
      </c>
      <c r="G302" t="str">
        <f>IFERROR(VLOOKUP(Logs_Registre[[#This Row],[Cell_ID]],Registre_Maintenance[],2,FALSE),"")</f>
        <v>Kasai-Central</v>
      </c>
      <c r="H302">
        <f>IFERROR(VLOOKUP(Logs_Registre[[#This Row],[Cell_ID]],Registre_Maintenance[],3,FALSE),"")</f>
        <v>-10.414493</v>
      </c>
      <c r="I302">
        <f>IFERROR(VLOOKUP(Logs_Registre[[#This Row],[Cell_ID]],Registre_Maintenance[],4,FALSE),"")</f>
        <v>12.333356999999999</v>
      </c>
      <c r="J302" t="str">
        <f>IFERROR(VLOOKUP(Logs_Registre[[#This Row],[Cell_ID]],Registre_Maintenance[],5,FALSE),"")</f>
        <v>3G</v>
      </c>
      <c r="K302" t="str">
        <f>IFERROR(VLOOKUP(Logs_Registre[[#This Row],[Cell_ID]],Registre_Maintenance[],6,FALSE),"")</f>
        <v>Ericsson</v>
      </c>
    </row>
    <row r="303" spans="1:11" x14ac:dyDescent="0.25">
      <c r="A303" s="1" t="s">
        <v>779</v>
      </c>
      <c r="B303" s="1" t="s">
        <v>785</v>
      </c>
      <c r="C303" s="2">
        <v>45221.861805555563</v>
      </c>
      <c r="D303" s="3">
        <v>45221.861805555563</v>
      </c>
      <c r="E303">
        <v>21</v>
      </c>
      <c r="F303" s="1" t="s">
        <v>735</v>
      </c>
      <c r="G303" t="str">
        <f>IFERROR(VLOOKUP(Logs_Registre[[#This Row],[Cell_ID]],Registre_Maintenance[],2,FALSE),"")</f>
        <v>Tanganyika</v>
      </c>
      <c r="H303">
        <f>IFERROR(VLOOKUP(Logs_Registre[[#This Row],[Cell_ID]],Registre_Maintenance[],3,FALSE),"")</f>
        <v>-1.864393</v>
      </c>
      <c r="I303">
        <f>IFERROR(VLOOKUP(Logs_Registre[[#This Row],[Cell_ID]],Registre_Maintenance[],4,FALSE),"")</f>
        <v>21.453434000000001</v>
      </c>
      <c r="J303" t="str">
        <f>IFERROR(VLOOKUP(Logs_Registre[[#This Row],[Cell_ID]],Registre_Maintenance[],5,FALSE),"")</f>
        <v>5G</v>
      </c>
      <c r="K303" t="str">
        <f>IFERROR(VLOOKUP(Logs_Registre[[#This Row],[Cell_ID]],Registre_Maintenance[],6,FALSE),"")</f>
        <v>Ericsson</v>
      </c>
    </row>
    <row r="304" spans="1:11" x14ac:dyDescent="0.25">
      <c r="A304" s="1" t="s">
        <v>1288</v>
      </c>
      <c r="B304" s="1" t="s">
        <v>1294</v>
      </c>
      <c r="C304" s="2">
        <v>45221.861805555563</v>
      </c>
      <c r="D304" s="3">
        <v>45221.861805555563</v>
      </c>
      <c r="E304">
        <v>65</v>
      </c>
      <c r="F304" s="1" t="s">
        <v>732</v>
      </c>
      <c r="G304" t="str">
        <f>IFERROR(VLOOKUP(Logs_Registre[[#This Row],[Cell_ID]],Registre_Maintenance[],2,FALSE),"")</f>
        <v>Tanganyika</v>
      </c>
      <c r="H304">
        <f>IFERROR(VLOOKUP(Logs_Registre[[#This Row],[Cell_ID]],Registre_Maintenance[],3,FALSE),"")</f>
        <v>-3.9148719999999999</v>
      </c>
      <c r="I304">
        <f>IFERROR(VLOOKUP(Logs_Registre[[#This Row],[Cell_ID]],Registre_Maintenance[],4,FALSE),"")</f>
        <v>12.260933</v>
      </c>
      <c r="J304" t="str">
        <f>IFERROR(VLOOKUP(Logs_Registre[[#This Row],[Cell_ID]],Registre_Maintenance[],5,FALSE),"")</f>
        <v>4G</v>
      </c>
      <c r="K304" t="str">
        <f>IFERROR(VLOOKUP(Logs_Registre[[#This Row],[Cell_ID]],Registre_Maintenance[],6,FALSE),"")</f>
        <v>Ericsson</v>
      </c>
    </row>
    <row r="305" spans="1:11" x14ac:dyDescent="0.25">
      <c r="A305" s="1" t="s">
        <v>999</v>
      </c>
      <c r="B305" s="1" t="s">
        <v>1006</v>
      </c>
      <c r="C305" s="2">
        <v>45221.857638888891</v>
      </c>
      <c r="D305" s="3">
        <v>45221.857638888891</v>
      </c>
      <c r="E305">
        <v>60</v>
      </c>
      <c r="F305" s="1" t="s">
        <v>737</v>
      </c>
      <c r="G305" t="str">
        <f>IFERROR(VLOOKUP(Logs_Registre[[#This Row],[Cell_ID]],Registre_Maintenance[],2,FALSE),"")</f>
        <v/>
      </c>
      <c r="H305" t="str">
        <f>IFERROR(VLOOKUP(Logs_Registre[[#This Row],[Cell_ID]],Registre_Maintenance[],3,FALSE),"")</f>
        <v/>
      </c>
      <c r="I305" t="str">
        <f>IFERROR(VLOOKUP(Logs_Registre[[#This Row],[Cell_ID]],Registre_Maintenance[],4,FALSE),"")</f>
        <v/>
      </c>
      <c r="J305" t="str">
        <f>IFERROR(VLOOKUP(Logs_Registre[[#This Row],[Cell_ID]],Registre_Maintenance[],5,FALSE),"")</f>
        <v/>
      </c>
      <c r="K305" t="str">
        <f>IFERROR(VLOOKUP(Logs_Registre[[#This Row],[Cell_ID]],Registre_Maintenance[],6,FALSE),"")</f>
        <v/>
      </c>
    </row>
    <row r="306" spans="1:11" x14ac:dyDescent="0.25">
      <c r="A306" s="1" t="s">
        <v>779</v>
      </c>
      <c r="B306" s="1" t="s">
        <v>819</v>
      </c>
      <c r="C306" s="2">
        <v>45221.84652777778</v>
      </c>
      <c r="D306" s="3">
        <v>45221.84652777778</v>
      </c>
      <c r="E306">
        <v>96</v>
      </c>
      <c r="F306" s="1" t="s">
        <v>737</v>
      </c>
      <c r="G306" t="str">
        <f>IFERROR(VLOOKUP(Logs_Registre[[#This Row],[Cell_ID]],Registre_Maintenance[],2,FALSE),"")</f>
        <v>Sud-Kivu</v>
      </c>
      <c r="H306">
        <f>IFERROR(VLOOKUP(Logs_Registre[[#This Row],[Cell_ID]],Registre_Maintenance[],3,FALSE),"")</f>
        <v>-5.2526849999999996</v>
      </c>
      <c r="I306">
        <f>IFERROR(VLOOKUP(Logs_Registre[[#This Row],[Cell_ID]],Registre_Maintenance[],4,FALSE),"")</f>
        <v>12.374528</v>
      </c>
      <c r="J306" t="str">
        <f>IFERROR(VLOOKUP(Logs_Registre[[#This Row],[Cell_ID]],Registre_Maintenance[],5,FALSE),"")</f>
        <v>3G</v>
      </c>
      <c r="K306" t="str">
        <f>IFERROR(VLOOKUP(Logs_Registre[[#This Row],[Cell_ID]],Registre_Maintenance[],6,FALSE),"")</f>
        <v>Nokia</v>
      </c>
    </row>
    <row r="307" spans="1:11" x14ac:dyDescent="0.25">
      <c r="A307" s="1" t="s">
        <v>939</v>
      </c>
      <c r="B307" s="1" t="s">
        <v>945</v>
      </c>
      <c r="C307" s="2">
        <v>45221.839583333327</v>
      </c>
      <c r="D307" s="3">
        <v>45221.839583333327</v>
      </c>
      <c r="E307">
        <v>18</v>
      </c>
      <c r="F307" s="1" t="s">
        <v>732</v>
      </c>
      <c r="G307" t="str">
        <f>IFERROR(VLOOKUP(Logs_Registre[[#This Row],[Cell_ID]],Registre_Maintenance[],2,FALSE),"")</f>
        <v/>
      </c>
      <c r="H307" t="str">
        <f>IFERROR(VLOOKUP(Logs_Registre[[#This Row],[Cell_ID]],Registre_Maintenance[],3,FALSE),"")</f>
        <v/>
      </c>
      <c r="I307" t="str">
        <f>IFERROR(VLOOKUP(Logs_Registre[[#This Row],[Cell_ID]],Registre_Maintenance[],4,FALSE),"")</f>
        <v/>
      </c>
      <c r="J307" t="str">
        <f>IFERROR(VLOOKUP(Logs_Registre[[#This Row],[Cell_ID]],Registre_Maintenance[],5,FALSE),"")</f>
        <v/>
      </c>
      <c r="K307" t="str">
        <f>IFERROR(VLOOKUP(Logs_Registre[[#This Row],[Cell_ID]],Registre_Maintenance[],6,FALSE),"")</f>
        <v/>
      </c>
    </row>
    <row r="308" spans="1:11" x14ac:dyDescent="0.25">
      <c r="A308" s="1" t="s">
        <v>730</v>
      </c>
      <c r="B308" s="1" t="s">
        <v>765</v>
      </c>
      <c r="C308" s="2">
        <v>45221.836111111108</v>
      </c>
      <c r="D308" s="3">
        <v>45221.836111111108</v>
      </c>
      <c r="E308">
        <v>6</v>
      </c>
      <c r="F308" s="1" t="s">
        <v>737</v>
      </c>
      <c r="G308" t="str">
        <f>IFERROR(VLOOKUP(Logs_Registre[[#This Row],[Cell_ID]],Registre_Maintenance[],2,FALSE),"")</f>
        <v>Kasai</v>
      </c>
      <c r="H308">
        <f>IFERROR(VLOOKUP(Logs_Registre[[#This Row],[Cell_ID]],Registre_Maintenance[],3,FALSE),"")</f>
        <v>-4.9789079999999997</v>
      </c>
      <c r="I308">
        <f>IFERROR(VLOOKUP(Logs_Registre[[#This Row],[Cell_ID]],Registre_Maintenance[],4,FALSE),"")</f>
        <v>28.506295000000001</v>
      </c>
      <c r="J308" t="str">
        <f>IFERROR(VLOOKUP(Logs_Registre[[#This Row],[Cell_ID]],Registre_Maintenance[],5,FALSE),"")</f>
        <v>4G</v>
      </c>
      <c r="K308" t="str">
        <f>IFERROR(VLOOKUP(Logs_Registre[[#This Row],[Cell_ID]],Registre_Maintenance[],6,FALSE),"")</f>
        <v>Huawei</v>
      </c>
    </row>
    <row r="309" spans="1:11" x14ac:dyDescent="0.25">
      <c r="A309" s="1" t="s">
        <v>1219</v>
      </c>
      <c r="B309" s="1" t="s">
        <v>1143</v>
      </c>
      <c r="C309" s="2">
        <v>45221.780555555553</v>
      </c>
      <c r="D309" s="3">
        <v>45221.780555555553</v>
      </c>
      <c r="E309">
        <v>67</v>
      </c>
      <c r="F309" s="1" t="s">
        <v>732</v>
      </c>
      <c r="G309" t="str">
        <f>IFERROR(VLOOKUP(Logs_Registre[[#This Row],[Cell_ID]],Registre_Maintenance[],2,FALSE),"")</f>
        <v>Tshuapa</v>
      </c>
      <c r="H309">
        <f>IFERROR(VLOOKUP(Logs_Registre[[#This Row],[Cell_ID]],Registre_Maintenance[],3,FALSE),"")</f>
        <v>-7.789663</v>
      </c>
      <c r="I309">
        <f>IFERROR(VLOOKUP(Logs_Registre[[#This Row],[Cell_ID]],Registre_Maintenance[],4,FALSE),"")</f>
        <v>26.529098000000001</v>
      </c>
      <c r="J309" t="str">
        <f>IFERROR(VLOOKUP(Logs_Registre[[#This Row],[Cell_ID]],Registre_Maintenance[],5,FALSE),"")</f>
        <v>5G</v>
      </c>
      <c r="K309" t="str">
        <f>IFERROR(VLOOKUP(Logs_Registre[[#This Row],[Cell_ID]],Registre_Maintenance[],6,FALSE),"")</f>
        <v>Nokia</v>
      </c>
    </row>
    <row r="310" spans="1:11" x14ac:dyDescent="0.25">
      <c r="A310" s="1" t="s">
        <v>779</v>
      </c>
      <c r="B310" s="1" t="s">
        <v>814</v>
      </c>
      <c r="C310" s="2">
        <v>45221.775000000001</v>
      </c>
      <c r="D310" s="3">
        <v>45221.775000000001</v>
      </c>
      <c r="E310">
        <v>24</v>
      </c>
      <c r="F310" s="1" t="s">
        <v>732</v>
      </c>
      <c r="G310" t="str">
        <f>IFERROR(VLOOKUP(Logs_Registre[[#This Row],[Cell_ID]],Registre_Maintenance[],2,FALSE),"")</f>
        <v>Mongala</v>
      </c>
      <c r="H310">
        <f>IFERROR(VLOOKUP(Logs_Registre[[#This Row],[Cell_ID]],Registre_Maintenance[],3,FALSE),"")</f>
        <v>-11.514188000000001</v>
      </c>
      <c r="I310">
        <f>IFERROR(VLOOKUP(Logs_Registre[[#This Row],[Cell_ID]],Registre_Maintenance[],4,FALSE),"")</f>
        <v>15.971181</v>
      </c>
      <c r="J310" t="str">
        <f>IFERROR(VLOOKUP(Logs_Registre[[#This Row],[Cell_ID]],Registre_Maintenance[],5,FALSE),"")</f>
        <v>5G</v>
      </c>
      <c r="K310" t="str">
        <f>IFERROR(VLOOKUP(Logs_Registre[[#This Row],[Cell_ID]],Registre_Maintenance[],6,FALSE),"")</f>
        <v>Ericsson</v>
      </c>
    </row>
    <row r="311" spans="1:11" x14ac:dyDescent="0.25">
      <c r="A311" s="1" t="s">
        <v>1382</v>
      </c>
      <c r="B311" s="1" t="s">
        <v>909</v>
      </c>
      <c r="C311" s="2">
        <v>45221.772222222222</v>
      </c>
      <c r="D311" s="3">
        <v>45221.772222222222</v>
      </c>
      <c r="E311">
        <v>107</v>
      </c>
      <c r="F311" s="1" t="s">
        <v>732</v>
      </c>
      <c r="G311" t="str">
        <f>IFERROR(VLOOKUP(Logs_Registre[[#This Row],[Cell_ID]],Registre_Maintenance[],2,FALSE),"")</f>
        <v>Kasai-Central</v>
      </c>
      <c r="H311">
        <f>IFERROR(VLOOKUP(Logs_Registre[[#This Row],[Cell_ID]],Registre_Maintenance[],3,FALSE),"")</f>
        <v>-4.4451280000000004</v>
      </c>
      <c r="I311">
        <f>IFERROR(VLOOKUP(Logs_Registre[[#This Row],[Cell_ID]],Registre_Maintenance[],4,FALSE),"")</f>
        <v>16.536944999999999</v>
      </c>
      <c r="J311" t="str">
        <f>IFERROR(VLOOKUP(Logs_Registre[[#This Row],[Cell_ID]],Registre_Maintenance[],5,FALSE),"")</f>
        <v>4G</v>
      </c>
      <c r="K311" t="str">
        <f>IFERROR(VLOOKUP(Logs_Registre[[#This Row],[Cell_ID]],Registre_Maintenance[],6,FALSE),"")</f>
        <v>Ericsson</v>
      </c>
    </row>
    <row r="312" spans="1:11" x14ac:dyDescent="0.25">
      <c r="A312" s="1" t="s">
        <v>939</v>
      </c>
      <c r="B312" s="1" t="s">
        <v>955</v>
      </c>
      <c r="C312" s="2">
        <v>45221.724999999999</v>
      </c>
      <c r="D312" s="3">
        <v>45221.724999999999</v>
      </c>
      <c r="E312">
        <v>55</v>
      </c>
      <c r="F312" s="1" t="s">
        <v>735</v>
      </c>
      <c r="G312" t="str">
        <f>IFERROR(VLOOKUP(Logs_Registre[[#This Row],[Cell_ID]],Registre_Maintenance[],2,FALSE),"")</f>
        <v>Kasai-Oriental</v>
      </c>
      <c r="H312">
        <f>IFERROR(VLOOKUP(Logs_Registre[[#This Row],[Cell_ID]],Registre_Maintenance[],3,FALSE),"")</f>
        <v>-1.3976519999999999</v>
      </c>
      <c r="I312">
        <f>IFERROR(VLOOKUP(Logs_Registre[[#This Row],[Cell_ID]],Registre_Maintenance[],4,FALSE),"")</f>
        <v>14.098819000000001</v>
      </c>
      <c r="J312" t="str">
        <f>IFERROR(VLOOKUP(Logs_Registre[[#This Row],[Cell_ID]],Registre_Maintenance[],5,FALSE),"")</f>
        <v>3G</v>
      </c>
      <c r="K312" t="str">
        <f>IFERROR(VLOOKUP(Logs_Registre[[#This Row],[Cell_ID]],Registre_Maintenance[],6,FALSE),"")</f>
        <v>Ericsson</v>
      </c>
    </row>
    <row r="313" spans="1:11" x14ac:dyDescent="0.25">
      <c r="A313" s="1" t="s">
        <v>1165</v>
      </c>
      <c r="B313" s="1" t="s">
        <v>762</v>
      </c>
      <c r="C313" s="2">
        <v>45221.717361111107</v>
      </c>
      <c r="D313" s="3">
        <v>45221.717361111107</v>
      </c>
      <c r="E313">
        <v>14</v>
      </c>
      <c r="F313" s="1" t="s">
        <v>732</v>
      </c>
      <c r="G313" t="str">
        <f>IFERROR(VLOOKUP(Logs_Registre[[#This Row],[Cell_ID]],Registre_Maintenance[],2,FALSE),"")</f>
        <v>Tanganyika</v>
      </c>
      <c r="H313">
        <f>IFERROR(VLOOKUP(Logs_Registre[[#This Row],[Cell_ID]],Registre_Maintenance[],3,FALSE),"")</f>
        <v>-2.4662510000000002</v>
      </c>
      <c r="I313">
        <f>IFERROR(VLOOKUP(Logs_Registre[[#This Row],[Cell_ID]],Registre_Maintenance[],4,FALSE),"")</f>
        <v>18.007998000000001</v>
      </c>
      <c r="J313" t="str">
        <f>IFERROR(VLOOKUP(Logs_Registre[[#This Row],[Cell_ID]],Registre_Maintenance[],5,FALSE),"")</f>
        <v>5G</v>
      </c>
      <c r="K313" t="str">
        <f>IFERROR(VLOOKUP(Logs_Registre[[#This Row],[Cell_ID]],Registre_Maintenance[],6,FALSE),"")</f>
        <v>Ericsson</v>
      </c>
    </row>
    <row r="314" spans="1:11" x14ac:dyDescent="0.25">
      <c r="A314" s="1" t="s">
        <v>1219</v>
      </c>
      <c r="B314" s="1" t="s">
        <v>1236</v>
      </c>
      <c r="C314" s="2">
        <v>45221.647916666669</v>
      </c>
      <c r="D314" s="3">
        <v>45221.647916666669</v>
      </c>
      <c r="E314">
        <v>67</v>
      </c>
      <c r="F314" s="1" t="s">
        <v>732</v>
      </c>
      <c r="G314" t="str">
        <f>IFERROR(VLOOKUP(Logs_Registre[[#This Row],[Cell_ID]],Registre_Maintenance[],2,FALSE),"")</f>
        <v>Haut-Uele</v>
      </c>
      <c r="H314">
        <f>IFERROR(VLOOKUP(Logs_Registre[[#This Row],[Cell_ID]],Registre_Maintenance[],3,FALSE),"")</f>
        <v>-11.924048000000001</v>
      </c>
      <c r="I314">
        <f>IFERROR(VLOOKUP(Logs_Registre[[#This Row],[Cell_ID]],Registre_Maintenance[],4,FALSE),"")</f>
        <v>24.177174999999998</v>
      </c>
      <c r="J314" t="str">
        <f>IFERROR(VLOOKUP(Logs_Registre[[#This Row],[Cell_ID]],Registre_Maintenance[],5,FALSE),"")</f>
        <v>3G</v>
      </c>
      <c r="K314" t="str">
        <f>IFERROR(VLOOKUP(Logs_Registre[[#This Row],[Cell_ID]],Registre_Maintenance[],6,FALSE),"")</f>
        <v>Nokia</v>
      </c>
    </row>
    <row r="315" spans="1:11" x14ac:dyDescent="0.25">
      <c r="A315" s="1" t="s">
        <v>1241</v>
      </c>
      <c r="B315" s="1" t="s">
        <v>1256</v>
      </c>
      <c r="C315" s="2">
        <v>45221.583333333343</v>
      </c>
      <c r="D315" s="3">
        <v>45221.583333333343</v>
      </c>
      <c r="E315">
        <v>106</v>
      </c>
      <c r="F315" s="1" t="s">
        <v>737</v>
      </c>
      <c r="G315" t="str">
        <f>IFERROR(VLOOKUP(Logs_Registre[[#This Row],[Cell_ID]],Registre_Maintenance[],2,FALSE),"")</f>
        <v/>
      </c>
      <c r="H315" t="str">
        <f>IFERROR(VLOOKUP(Logs_Registre[[#This Row],[Cell_ID]],Registre_Maintenance[],3,FALSE),"")</f>
        <v/>
      </c>
      <c r="I315" t="str">
        <f>IFERROR(VLOOKUP(Logs_Registre[[#This Row],[Cell_ID]],Registre_Maintenance[],4,FALSE),"")</f>
        <v/>
      </c>
      <c r="J315" t="str">
        <f>IFERROR(VLOOKUP(Logs_Registre[[#This Row],[Cell_ID]],Registre_Maintenance[],5,FALSE),"")</f>
        <v/>
      </c>
      <c r="K315" t="str">
        <f>IFERROR(VLOOKUP(Logs_Registre[[#This Row],[Cell_ID]],Registre_Maintenance[],6,FALSE),"")</f>
        <v/>
      </c>
    </row>
    <row r="316" spans="1:11" x14ac:dyDescent="0.25">
      <c r="A316" s="1" t="s">
        <v>1404</v>
      </c>
      <c r="B316" s="1" t="s">
        <v>937</v>
      </c>
      <c r="C316" s="2">
        <v>45221.578472222223</v>
      </c>
      <c r="D316" s="3">
        <v>45221.578472222223</v>
      </c>
      <c r="E316">
        <v>76</v>
      </c>
      <c r="F316" s="1" t="s">
        <v>737</v>
      </c>
      <c r="G316" t="str">
        <f>IFERROR(VLOOKUP(Logs_Registre[[#This Row],[Cell_ID]],Registre_Maintenance[],2,FALSE),"")</f>
        <v/>
      </c>
      <c r="H316" t="str">
        <f>IFERROR(VLOOKUP(Logs_Registre[[#This Row],[Cell_ID]],Registre_Maintenance[],3,FALSE),"")</f>
        <v/>
      </c>
      <c r="I316" t="str">
        <f>IFERROR(VLOOKUP(Logs_Registre[[#This Row],[Cell_ID]],Registre_Maintenance[],4,FALSE),"")</f>
        <v/>
      </c>
      <c r="J316" t="str">
        <f>IFERROR(VLOOKUP(Logs_Registre[[#This Row],[Cell_ID]],Registre_Maintenance[],5,FALSE),"")</f>
        <v/>
      </c>
      <c r="K316" t="str">
        <f>IFERROR(VLOOKUP(Logs_Registre[[#This Row],[Cell_ID]],Registre_Maintenance[],6,FALSE),"")</f>
        <v/>
      </c>
    </row>
    <row r="317" spans="1:11" x14ac:dyDescent="0.25">
      <c r="A317" s="1" t="s">
        <v>1165</v>
      </c>
      <c r="B317" s="1" t="s">
        <v>1166</v>
      </c>
      <c r="C317" s="2">
        <v>45221.565972222219</v>
      </c>
      <c r="D317" s="3">
        <v>45221.565972222219</v>
      </c>
      <c r="E317">
        <v>87</v>
      </c>
      <c r="F317" s="1" t="s">
        <v>735</v>
      </c>
      <c r="G317" t="str">
        <f>IFERROR(VLOOKUP(Logs_Registre[[#This Row],[Cell_ID]],Registre_Maintenance[],2,FALSE),"")</f>
        <v>Tshopo</v>
      </c>
      <c r="H317">
        <f>IFERROR(VLOOKUP(Logs_Registre[[#This Row],[Cell_ID]],Registre_Maintenance[],3,FALSE),"")</f>
        <v>4.7777349999999998</v>
      </c>
      <c r="I317">
        <f>IFERROR(VLOOKUP(Logs_Registre[[#This Row],[Cell_ID]],Registre_Maintenance[],4,FALSE),"")</f>
        <v>16.392204</v>
      </c>
      <c r="J317" t="str">
        <f>IFERROR(VLOOKUP(Logs_Registre[[#This Row],[Cell_ID]],Registre_Maintenance[],5,FALSE),"")</f>
        <v>5G</v>
      </c>
      <c r="K317" t="str">
        <f>IFERROR(VLOOKUP(Logs_Registre[[#This Row],[Cell_ID]],Registre_Maintenance[],6,FALSE),"")</f>
        <v>ZTE</v>
      </c>
    </row>
    <row r="318" spans="1:11" x14ac:dyDescent="0.25">
      <c r="A318" s="1" t="s">
        <v>1219</v>
      </c>
      <c r="B318" s="1" t="s">
        <v>1232</v>
      </c>
      <c r="C318" s="2">
        <v>45221.559027777781</v>
      </c>
      <c r="D318" s="3">
        <v>45221.559027777781</v>
      </c>
      <c r="E318">
        <v>22</v>
      </c>
      <c r="F318" s="1" t="s">
        <v>732</v>
      </c>
      <c r="G318" t="str">
        <f>IFERROR(VLOOKUP(Logs_Registre[[#This Row],[Cell_ID]],Registre_Maintenance[],2,FALSE),"")</f>
        <v>Kwango</v>
      </c>
      <c r="H318">
        <f>IFERROR(VLOOKUP(Logs_Registre[[#This Row],[Cell_ID]],Registre_Maintenance[],3,FALSE),"")</f>
        <v>0.65288900000000005</v>
      </c>
      <c r="I318">
        <f>IFERROR(VLOOKUP(Logs_Registre[[#This Row],[Cell_ID]],Registre_Maintenance[],4,FALSE),"")</f>
        <v>24.243953999999999</v>
      </c>
      <c r="J318" t="str">
        <f>IFERROR(VLOOKUP(Logs_Registre[[#This Row],[Cell_ID]],Registre_Maintenance[],5,FALSE),"")</f>
        <v>5G</v>
      </c>
      <c r="K318" t="str">
        <f>IFERROR(VLOOKUP(Logs_Registre[[#This Row],[Cell_ID]],Registre_Maintenance[],6,FALSE),"")</f>
        <v>Ericsson</v>
      </c>
    </row>
    <row r="319" spans="1:11" x14ac:dyDescent="0.25">
      <c r="A319" s="1" t="s">
        <v>823</v>
      </c>
      <c r="B319" s="1" t="s">
        <v>841</v>
      </c>
      <c r="C319" s="2">
        <v>45221.555555555547</v>
      </c>
      <c r="D319" s="3">
        <v>45221.555555555547</v>
      </c>
      <c r="E319">
        <v>103</v>
      </c>
      <c r="F319" s="1" t="s">
        <v>735</v>
      </c>
      <c r="G319" t="str">
        <f>IFERROR(VLOOKUP(Logs_Registre[[#This Row],[Cell_ID]],Registre_Maintenance[],2,FALSE),"")</f>
        <v/>
      </c>
      <c r="H319" t="str">
        <f>IFERROR(VLOOKUP(Logs_Registre[[#This Row],[Cell_ID]],Registre_Maintenance[],3,FALSE),"")</f>
        <v/>
      </c>
      <c r="I319" t="str">
        <f>IFERROR(VLOOKUP(Logs_Registre[[#This Row],[Cell_ID]],Registre_Maintenance[],4,FALSE),"")</f>
        <v/>
      </c>
      <c r="J319" t="str">
        <f>IFERROR(VLOOKUP(Logs_Registre[[#This Row],[Cell_ID]],Registre_Maintenance[],5,FALSE),"")</f>
        <v/>
      </c>
      <c r="K319" t="str">
        <f>IFERROR(VLOOKUP(Logs_Registre[[#This Row],[Cell_ID]],Registre_Maintenance[],6,FALSE),"")</f>
        <v/>
      </c>
    </row>
    <row r="320" spans="1:11" x14ac:dyDescent="0.25">
      <c r="A320" s="1" t="s">
        <v>1288</v>
      </c>
      <c r="B320" s="1" t="s">
        <v>1299</v>
      </c>
      <c r="C320" s="2">
        <v>45221.549305555563</v>
      </c>
      <c r="D320" s="3">
        <v>45221.549305555563</v>
      </c>
      <c r="E320">
        <v>39</v>
      </c>
      <c r="F320" s="1" t="s">
        <v>735</v>
      </c>
      <c r="G320" t="str">
        <f>IFERROR(VLOOKUP(Logs_Registre[[#This Row],[Cell_ID]],Registre_Maintenance[],2,FALSE),"")</f>
        <v/>
      </c>
      <c r="H320" t="str">
        <f>IFERROR(VLOOKUP(Logs_Registre[[#This Row],[Cell_ID]],Registre_Maintenance[],3,FALSE),"")</f>
        <v/>
      </c>
      <c r="I320" t="str">
        <f>IFERROR(VLOOKUP(Logs_Registre[[#This Row],[Cell_ID]],Registre_Maintenance[],4,FALSE),"")</f>
        <v/>
      </c>
      <c r="J320" t="str">
        <f>IFERROR(VLOOKUP(Logs_Registre[[#This Row],[Cell_ID]],Registre_Maintenance[],5,FALSE),"")</f>
        <v/>
      </c>
      <c r="K320" t="str">
        <f>IFERROR(VLOOKUP(Logs_Registre[[#This Row],[Cell_ID]],Registre_Maintenance[],6,FALSE),"")</f>
        <v/>
      </c>
    </row>
    <row r="321" spans="1:11" x14ac:dyDescent="0.25">
      <c r="A321" s="1" t="s">
        <v>861</v>
      </c>
      <c r="B321" s="1" t="s">
        <v>888</v>
      </c>
      <c r="C321" s="2">
        <v>45221.517361111109</v>
      </c>
      <c r="D321" s="3">
        <v>45221.517361111109</v>
      </c>
      <c r="E321">
        <v>83</v>
      </c>
      <c r="F321" s="1" t="s">
        <v>737</v>
      </c>
      <c r="G321" t="str">
        <f>IFERROR(VLOOKUP(Logs_Registre[[#This Row],[Cell_ID]],Registre_Maintenance[],2,FALSE),"")</f>
        <v/>
      </c>
      <c r="H321" t="str">
        <f>IFERROR(VLOOKUP(Logs_Registre[[#This Row],[Cell_ID]],Registre_Maintenance[],3,FALSE),"")</f>
        <v/>
      </c>
      <c r="I321" t="str">
        <f>IFERROR(VLOOKUP(Logs_Registre[[#This Row],[Cell_ID]],Registre_Maintenance[],4,FALSE),"")</f>
        <v/>
      </c>
      <c r="J321" t="str">
        <f>IFERROR(VLOOKUP(Logs_Registre[[#This Row],[Cell_ID]],Registre_Maintenance[],5,FALSE),"")</f>
        <v/>
      </c>
      <c r="K321" t="str">
        <f>IFERROR(VLOOKUP(Logs_Registre[[#This Row],[Cell_ID]],Registre_Maintenance[],6,FALSE),"")</f>
        <v/>
      </c>
    </row>
    <row r="322" spans="1:11" x14ac:dyDescent="0.25">
      <c r="A322" s="1" t="s">
        <v>1024</v>
      </c>
      <c r="B322" s="1" t="s">
        <v>1046</v>
      </c>
      <c r="C322" s="2">
        <v>45221.505555555559</v>
      </c>
      <c r="D322" s="3">
        <v>45221.505555555559</v>
      </c>
      <c r="E322">
        <v>51</v>
      </c>
      <c r="F322" s="1" t="s">
        <v>732</v>
      </c>
      <c r="G322" t="str">
        <f>IFERROR(VLOOKUP(Logs_Registre[[#This Row],[Cell_ID]],Registre_Maintenance[],2,FALSE),"")</f>
        <v>Mongala</v>
      </c>
      <c r="H322">
        <f>IFERROR(VLOOKUP(Logs_Registre[[#This Row],[Cell_ID]],Registre_Maintenance[],3,FALSE),"")</f>
        <v>-1.231033</v>
      </c>
      <c r="I322">
        <f>IFERROR(VLOOKUP(Logs_Registre[[#This Row],[Cell_ID]],Registre_Maintenance[],4,FALSE),"")</f>
        <v>28.851388</v>
      </c>
      <c r="J322" t="str">
        <f>IFERROR(VLOOKUP(Logs_Registre[[#This Row],[Cell_ID]],Registre_Maintenance[],5,FALSE),"")</f>
        <v>3G</v>
      </c>
      <c r="K322" t="str">
        <f>IFERROR(VLOOKUP(Logs_Registre[[#This Row],[Cell_ID]],Registre_Maintenance[],6,FALSE),"")</f>
        <v>Ericsson</v>
      </c>
    </row>
    <row r="323" spans="1:11" x14ac:dyDescent="0.25">
      <c r="A323" s="1" t="s">
        <v>999</v>
      </c>
      <c r="B323" s="1" t="s">
        <v>1011</v>
      </c>
      <c r="C323" s="2">
        <v>45221.50277777778</v>
      </c>
      <c r="D323" s="3">
        <v>45221.50277777778</v>
      </c>
      <c r="E323">
        <v>69</v>
      </c>
      <c r="F323" s="1" t="s">
        <v>732</v>
      </c>
      <c r="G323" t="str">
        <f>IFERROR(VLOOKUP(Logs_Registre[[#This Row],[Cell_ID]],Registre_Maintenance[],2,FALSE),"")</f>
        <v/>
      </c>
      <c r="H323" t="str">
        <f>IFERROR(VLOOKUP(Logs_Registre[[#This Row],[Cell_ID]],Registre_Maintenance[],3,FALSE),"")</f>
        <v/>
      </c>
      <c r="I323" t="str">
        <f>IFERROR(VLOOKUP(Logs_Registre[[#This Row],[Cell_ID]],Registre_Maintenance[],4,FALSE),"")</f>
        <v/>
      </c>
      <c r="J323" t="str">
        <f>IFERROR(VLOOKUP(Logs_Registre[[#This Row],[Cell_ID]],Registre_Maintenance[],5,FALSE),"")</f>
        <v/>
      </c>
      <c r="K323" t="str">
        <f>IFERROR(VLOOKUP(Logs_Registre[[#This Row],[Cell_ID]],Registre_Maintenance[],6,FALSE),"")</f>
        <v/>
      </c>
    </row>
    <row r="324" spans="1:11" x14ac:dyDescent="0.25">
      <c r="A324" s="1" t="s">
        <v>1382</v>
      </c>
      <c r="B324" s="1" t="s">
        <v>1393</v>
      </c>
      <c r="C324" s="2">
        <v>45221.498611111107</v>
      </c>
      <c r="D324" s="3">
        <v>45221.498611111107</v>
      </c>
      <c r="E324">
        <v>116</v>
      </c>
      <c r="F324" s="1" t="s">
        <v>735</v>
      </c>
      <c r="G324" t="str">
        <f>IFERROR(VLOOKUP(Logs_Registre[[#This Row],[Cell_ID]],Registre_Maintenance[],2,FALSE),"")</f>
        <v/>
      </c>
      <c r="H324" t="str">
        <f>IFERROR(VLOOKUP(Logs_Registre[[#This Row],[Cell_ID]],Registre_Maintenance[],3,FALSE),"")</f>
        <v/>
      </c>
      <c r="I324" t="str">
        <f>IFERROR(VLOOKUP(Logs_Registre[[#This Row],[Cell_ID]],Registre_Maintenance[],4,FALSE),"")</f>
        <v/>
      </c>
      <c r="J324" t="str">
        <f>IFERROR(VLOOKUP(Logs_Registre[[#This Row],[Cell_ID]],Registre_Maintenance[],5,FALSE),"")</f>
        <v/>
      </c>
      <c r="K324" t="str">
        <f>IFERROR(VLOOKUP(Logs_Registre[[#This Row],[Cell_ID]],Registre_Maintenance[],6,FALSE),"")</f>
        <v/>
      </c>
    </row>
    <row r="325" spans="1:11" x14ac:dyDescent="0.25">
      <c r="A325" s="1" t="s">
        <v>978</v>
      </c>
      <c r="B325" s="1" t="s">
        <v>987</v>
      </c>
      <c r="C325" s="2">
        <v>45221.481944444437</v>
      </c>
      <c r="D325" s="3">
        <v>45221.481944444437</v>
      </c>
      <c r="E325">
        <v>80</v>
      </c>
      <c r="F325" s="1" t="s">
        <v>737</v>
      </c>
      <c r="G325" t="str">
        <f>IFERROR(VLOOKUP(Logs_Registre[[#This Row],[Cell_ID]],Registre_Maintenance[],2,FALSE),"")</f>
        <v/>
      </c>
      <c r="H325" t="str">
        <f>IFERROR(VLOOKUP(Logs_Registre[[#This Row],[Cell_ID]],Registre_Maintenance[],3,FALSE),"")</f>
        <v/>
      </c>
      <c r="I325" t="str">
        <f>IFERROR(VLOOKUP(Logs_Registre[[#This Row],[Cell_ID]],Registre_Maintenance[],4,FALSE),"")</f>
        <v/>
      </c>
      <c r="J325" t="str">
        <f>IFERROR(VLOOKUP(Logs_Registre[[#This Row],[Cell_ID]],Registre_Maintenance[],5,FALSE),"")</f>
        <v/>
      </c>
      <c r="K325" t="str">
        <f>IFERROR(VLOOKUP(Logs_Registre[[#This Row],[Cell_ID]],Registre_Maintenance[],6,FALSE),"")</f>
        <v/>
      </c>
    </row>
    <row r="326" spans="1:11" x14ac:dyDescent="0.25">
      <c r="A326" s="1" t="s">
        <v>1308</v>
      </c>
      <c r="B326" s="1" t="s">
        <v>1327</v>
      </c>
      <c r="C326" s="2">
        <v>45221.388194444437</v>
      </c>
      <c r="D326" s="3">
        <v>45221.388194444437</v>
      </c>
      <c r="E326">
        <v>64</v>
      </c>
      <c r="F326" s="1" t="s">
        <v>735</v>
      </c>
      <c r="G326" t="str">
        <f>IFERROR(VLOOKUP(Logs_Registre[[#This Row],[Cell_ID]],Registre_Maintenance[],2,FALSE),"")</f>
        <v>Tshopo</v>
      </c>
      <c r="H326">
        <f>IFERROR(VLOOKUP(Logs_Registre[[#This Row],[Cell_ID]],Registre_Maintenance[],3,FALSE),"")</f>
        <v>-12.070842000000001</v>
      </c>
      <c r="I326">
        <f>IFERROR(VLOOKUP(Logs_Registre[[#This Row],[Cell_ID]],Registre_Maintenance[],4,FALSE),"")</f>
        <v>14.757847</v>
      </c>
      <c r="J326" t="str">
        <f>IFERROR(VLOOKUP(Logs_Registre[[#This Row],[Cell_ID]],Registre_Maintenance[],5,FALSE),"")</f>
        <v>4G</v>
      </c>
      <c r="K326" t="str">
        <f>IFERROR(VLOOKUP(Logs_Registre[[#This Row],[Cell_ID]],Registre_Maintenance[],6,FALSE),"")</f>
        <v>ZTE</v>
      </c>
    </row>
    <row r="327" spans="1:11" x14ac:dyDescent="0.25">
      <c r="A327" s="1" t="s">
        <v>939</v>
      </c>
      <c r="B327" s="1" t="s">
        <v>959</v>
      </c>
      <c r="C327" s="2">
        <v>45221.384722222218</v>
      </c>
      <c r="D327" s="3">
        <v>45221.384722222218</v>
      </c>
      <c r="E327">
        <v>92</v>
      </c>
      <c r="F327" s="1" t="s">
        <v>735</v>
      </c>
      <c r="G327" t="str">
        <f>IFERROR(VLOOKUP(Logs_Registre[[#This Row],[Cell_ID]],Registre_Maintenance[],2,FALSE),"")</f>
        <v/>
      </c>
      <c r="H327" t="str">
        <f>IFERROR(VLOOKUP(Logs_Registre[[#This Row],[Cell_ID]],Registre_Maintenance[],3,FALSE),"")</f>
        <v/>
      </c>
      <c r="I327" t="str">
        <f>IFERROR(VLOOKUP(Logs_Registre[[#This Row],[Cell_ID]],Registre_Maintenance[],4,FALSE),"")</f>
        <v/>
      </c>
      <c r="J327" t="str">
        <f>IFERROR(VLOOKUP(Logs_Registre[[#This Row],[Cell_ID]],Registre_Maintenance[],5,FALSE),"")</f>
        <v/>
      </c>
      <c r="K327" t="str">
        <f>IFERROR(VLOOKUP(Logs_Registre[[#This Row],[Cell_ID]],Registre_Maintenance[],6,FALSE),"")</f>
        <v/>
      </c>
    </row>
    <row r="328" spans="1:11" x14ac:dyDescent="0.25">
      <c r="A328" s="1" t="s">
        <v>999</v>
      </c>
      <c r="B328" s="1" t="s">
        <v>1022</v>
      </c>
      <c r="C328" s="2">
        <v>45221.376388888893</v>
      </c>
      <c r="D328" s="3">
        <v>45221.376388888893</v>
      </c>
      <c r="E328">
        <v>59</v>
      </c>
      <c r="F328" s="1" t="s">
        <v>737</v>
      </c>
      <c r="G328" t="str">
        <f>IFERROR(VLOOKUP(Logs_Registre[[#This Row],[Cell_ID]],Registre_Maintenance[],2,FALSE),"")</f>
        <v>Maniema</v>
      </c>
      <c r="H328">
        <f>IFERROR(VLOOKUP(Logs_Registre[[#This Row],[Cell_ID]],Registre_Maintenance[],3,FALSE),"")</f>
        <v>-8.4824669999999998</v>
      </c>
      <c r="I328">
        <f>IFERROR(VLOOKUP(Logs_Registre[[#This Row],[Cell_ID]],Registre_Maintenance[],4,FALSE),"")</f>
        <v>21.897777999999999</v>
      </c>
      <c r="J328" t="str">
        <f>IFERROR(VLOOKUP(Logs_Registre[[#This Row],[Cell_ID]],Registre_Maintenance[],5,FALSE),"")</f>
        <v>5G</v>
      </c>
      <c r="K328" t="str">
        <f>IFERROR(VLOOKUP(Logs_Registre[[#This Row],[Cell_ID]],Registre_Maintenance[],6,FALSE),"")</f>
        <v>Ericsson</v>
      </c>
    </row>
    <row r="329" spans="1:11" x14ac:dyDescent="0.25">
      <c r="A329" s="1" t="s">
        <v>1382</v>
      </c>
      <c r="B329" s="1" t="s">
        <v>1250</v>
      </c>
      <c r="C329" s="2">
        <v>45221.339583333327</v>
      </c>
      <c r="D329" s="3">
        <v>45221.339583333327</v>
      </c>
      <c r="E329">
        <v>97</v>
      </c>
      <c r="F329" s="1" t="s">
        <v>735</v>
      </c>
      <c r="G329" t="str">
        <f>IFERROR(VLOOKUP(Logs_Registre[[#This Row],[Cell_ID]],Registre_Maintenance[],2,FALSE),"")</f>
        <v/>
      </c>
      <c r="H329" t="str">
        <f>IFERROR(VLOOKUP(Logs_Registre[[#This Row],[Cell_ID]],Registre_Maintenance[],3,FALSE),"")</f>
        <v/>
      </c>
      <c r="I329" t="str">
        <f>IFERROR(VLOOKUP(Logs_Registre[[#This Row],[Cell_ID]],Registre_Maintenance[],4,FALSE),"")</f>
        <v/>
      </c>
      <c r="J329" t="str">
        <f>IFERROR(VLOOKUP(Logs_Registre[[#This Row],[Cell_ID]],Registre_Maintenance[],5,FALSE),"")</f>
        <v/>
      </c>
      <c r="K329" t="str">
        <f>IFERROR(VLOOKUP(Logs_Registre[[#This Row],[Cell_ID]],Registre_Maintenance[],6,FALSE),"")</f>
        <v/>
      </c>
    </row>
    <row r="330" spans="1:11" x14ac:dyDescent="0.25">
      <c r="A330" s="1" t="s">
        <v>939</v>
      </c>
      <c r="B330" s="1" t="s">
        <v>970</v>
      </c>
      <c r="C330" s="2">
        <v>45221.313194444447</v>
      </c>
      <c r="D330" s="3">
        <v>45221.313194444447</v>
      </c>
      <c r="E330">
        <v>34</v>
      </c>
      <c r="F330" s="1" t="s">
        <v>735</v>
      </c>
      <c r="G330" t="str">
        <f>IFERROR(VLOOKUP(Logs_Registre[[#This Row],[Cell_ID]],Registre_Maintenance[],2,FALSE),"")</f>
        <v>Kasai</v>
      </c>
      <c r="H330">
        <f>IFERROR(VLOOKUP(Logs_Registre[[#This Row],[Cell_ID]],Registre_Maintenance[],3,FALSE),"")</f>
        <v>-10.165072</v>
      </c>
      <c r="I330">
        <f>IFERROR(VLOOKUP(Logs_Registre[[#This Row],[Cell_ID]],Registre_Maintenance[],4,FALSE),"")</f>
        <v>29.428024000000001</v>
      </c>
      <c r="J330" t="str">
        <f>IFERROR(VLOOKUP(Logs_Registre[[#This Row],[Cell_ID]],Registre_Maintenance[],5,FALSE),"")</f>
        <v>5G</v>
      </c>
      <c r="K330" t="str">
        <f>IFERROR(VLOOKUP(Logs_Registre[[#This Row],[Cell_ID]],Registre_Maintenance[],6,FALSE),"")</f>
        <v>Huawei</v>
      </c>
    </row>
    <row r="331" spans="1:11" x14ac:dyDescent="0.25">
      <c r="A331" s="1" t="s">
        <v>1138</v>
      </c>
      <c r="B331" s="1" t="s">
        <v>1151</v>
      </c>
      <c r="C331" s="2">
        <v>45221.283333333333</v>
      </c>
      <c r="D331" s="3">
        <v>45221.283333333333</v>
      </c>
      <c r="E331">
        <v>22</v>
      </c>
      <c r="F331" s="1" t="s">
        <v>732</v>
      </c>
      <c r="G331" t="str">
        <f>IFERROR(VLOOKUP(Logs_Registre[[#This Row],[Cell_ID]],Registre_Maintenance[],2,FALSE),"")</f>
        <v>Kinshasa</v>
      </c>
      <c r="H331">
        <f>IFERROR(VLOOKUP(Logs_Registre[[#This Row],[Cell_ID]],Registre_Maintenance[],3,FALSE),"")</f>
        <v>-2.6665070000000002</v>
      </c>
      <c r="I331">
        <f>IFERROR(VLOOKUP(Logs_Registre[[#This Row],[Cell_ID]],Registre_Maintenance[],4,FALSE),"")</f>
        <v>18.623692999999999</v>
      </c>
      <c r="J331" t="str">
        <f>IFERROR(VLOOKUP(Logs_Registre[[#This Row],[Cell_ID]],Registre_Maintenance[],5,FALSE),"")</f>
        <v>3G</v>
      </c>
      <c r="K331" t="str">
        <f>IFERROR(VLOOKUP(Logs_Registre[[#This Row],[Cell_ID]],Registre_Maintenance[],6,FALSE),"")</f>
        <v>ZTE</v>
      </c>
    </row>
    <row r="332" spans="1:11" x14ac:dyDescent="0.25">
      <c r="A332" s="1" t="s">
        <v>978</v>
      </c>
      <c r="B332" s="1" t="s">
        <v>991</v>
      </c>
      <c r="C332" s="2">
        <v>45221.27847222222</v>
      </c>
      <c r="D332" s="3">
        <v>45221.27847222222</v>
      </c>
      <c r="E332">
        <v>83</v>
      </c>
      <c r="F332" s="1" t="s">
        <v>737</v>
      </c>
      <c r="G332" t="str">
        <f>IFERROR(VLOOKUP(Logs_Registre[[#This Row],[Cell_ID]],Registre_Maintenance[],2,FALSE),"")</f>
        <v>Tshuapa</v>
      </c>
      <c r="H332">
        <f>IFERROR(VLOOKUP(Logs_Registre[[#This Row],[Cell_ID]],Registre_Maintenance[],3,FALSE),"")</f>
        <v>-12.292039000000001</v>
      </c>
      <c r="I332">
        <f>IFERROR(VLOOKUP(Logs_Registre[[#This Row],[Cell_ID]],Registre_Maintenance[],4,FALSE),"")</f>
        <v>27.538202999999999</v>
      </c>
      <c r="J332" t="str">
        <f>IFERROR(VLOOKUP(Logs_Registre[[#This Row],[Cell_ID]],Registre_Maintenance[],5,FALSE),"")</f>
        <v>3G</v>
      </c>
      <c r="K332" t="str">
        <f>IFERROR(VLOOKUP(Logs_Registre[[#This Row],[Cell_ID]],Registre_Maintenance[],6,FALSE),"")</f>
        <v>Huawei</v>
      </c>
    </row>
    <row r="333" spans="1:11" x14ac:dyDescent="0.25">
      <c r="A333" s="1" t="s">
        <v>902</v>
      </c>
      <c r="B333" s="1" t="s">
        <v>927</v>
      </c>
      <c r="C333" s="2">
        <v>45221.268750000003</v>
      </c>
      <c r="D333" s="3">
        <v>45221.268750000003</v>
      </c>
      <c r="E333">
        <v>18</v>
      </c>
      <c r="F333" s="1" t="s">
        <v>735</v>
      </c>
      <c r="G333" t="str">
        <f>IFERROR(VLOOKUP(Logs_Registre[[#This Row],[Cell_ID]],Registre_Maintenance[],2,FALSE),"")</f>
        <v>Nord-Kivu</v>
      </c>
      <c r="H333">
        <f>IFERROR(VLOOKUP(Logs_Registre[[#This Row],[Cell_ID]],Registre_Maintenance[],3,FALSE),"")</f>
        <v>-1.8555980000000001</v>
      </c>
      <c r="I333">
        <f>IFERROR(VLOOKUP(Logs_Registre[[#This Row],[Cell_ID]],Registre_Maintenance[],4,FALSE),"")</f>
        <v>30.421918000000002</v>
      </c>
      <c r="J333" t="str">
        <f>IFERROR(VLOOKUP(Logs_Registre[[#This Row],[Cell_ID]],Registre_Maintenance[],5,FALSE),"")</f>
        <v>3G</v>
      </c>
      <c r="K333" t="str">
        <f>IFERROR(VLOOKUP(Logs_Registre[[#This Row],[Cell_ID]],Registre_Maintenance[],6,FALSE),"")</f>
        <v>ZTE</v>
      </c>
    </row>
    <row r="334" spans="1:11" x14ac:dyDescent="0.25">
      <c r="A334" s="1" t="s">
        <v>823</v>
      </c>
      <c r="B334" s="1" t="s">
        <v>835</v>
      </c>
      <c r="C334" s="2">
        <v>45221.265972222223</v>
      </c>
      <c r="D334" s="3">
        <v>45221.265972222223</v>
      </c>
      <c r="E334">
        <v>88</v>
      </c>
      <c r="F334" s="1" t="s">
        <v>735</v>
      </c>
      <c r="G334" t="str">
        <f>IFERROR(VLOOKUP(Logs_Registre[[#This Row],[Cell_ID]],Registre_Maintenance[],2,FALSE),"")</f>
        <v>Kinshasa</v>
      </c>
      <c r="H334">
        <f>IFERROR(VLOOKUP(Logs_Registre[[#This Row],[Cell_ID]],Registre_Maintenance[],3,FALSE),"")</f>
        <v>-1.339734</v>
      </c>
      <c r="I334">
        <f>IFERROR(VLOOKUP(Logs_Registre[[#This Row],[Cell_ID]],Registre_Maintenance[],4,FALSE),"")</f>
        <v>15.243098</v>
      </c>
      <c r="J334" t="str">
        <f>IFERROR(VLOOKUP(Logs_Registre[[#This Row],[Cell_ID]],Registre_Maintenance[],5,FALSE),"")</f>
        <v>3G</v>
      </c>
      <c r="K334" t="str">
        <f>IFERROR(VLOOKUP(Logs_Registre[[#This Row],[Cell_ID]],Registre_Maintenance[],6,FALSE),"")</f>
        <v>Nokia</v>
      </c>
    </row>
    <row r="335" spans="1:11" x14ac:dyDescent="0.25">
      <c r="A335" s="1" t="s">
        <v>1382</v>
      </c>
      <c r="B335" s="1" t="s">
        <v>994</v>
      </c>
      <c r="C335" s="2">
        <v>45221.197916666657</v>
      </c>
      <c r="D335" s="3">
        <v>45221.197916666657</v>
      </c>
      <c r="E335">
        <v>61</v>
      </c>
      <c r="F335" s="1" t="s">
        <v>737</v>
      </c>
      <c r="G335" t="str">
        <f>IFERROR(VLOOKUP(Logs_Registre[[#This Row],[Cell_ID]],Registre_Maintenance[],2,FALSE),"")</f>
        <v>Kwango</v>
      </c>
      <c r="H335">
        <f>IFERROR(VLOOKUP(Logs_Registre[[#This Row],[Cell_ID]],Registre_Maintenance[],3,FALSE),"")</f>
        <v>-7.5129409999999996</v>
      </c>
      <c r="I335">
        <f>IFERROR(VLOOKUP(Logs_Registre[[#This Row],[Cell_ID]],Registre_Maintenance[],4,FALSE),"")</f>
        <v>18.701522000000001</v>
      </c>
      <c r="J335" t="str">
        <f>IFERROR(VLOOKUP(Logs_Registre[[#This Row],[Cell_ID]],Registre_Maintenance[],5,FALSE),"")</f>
        <v>4G</v>
      </c>
      <c r="K335" t="str">
        <f>IFERROR(VLOOKUP(Logs_Registre[[#This Row],[Cell_ID]],Registre_Maintenance[],6,FALSE),"")</f>
        <v>Nokia</v>
      </c>
    </row>
    <row r="336" spans="1:11" x14ac:dyDescent="0.25">
      <c r="A336" s="1" t="s">
        <v>1219</v>
      </c>
      <c r="B336" s="1" t="s">
        <v>740</v>
      </c>
      <c r="C336" s="2">
        <v>45221.180555555547</v>
      </c>
      <c r="D336" s="3">
        <v>45221.180555555547</v>
      </c>
      <c r="E336">
        <v>8</v>
      </c>
      <c r="F336" s="1" t="s">
        <v>732</v>
      </c>
      <c r="G336" t="str">
        <f>IFERROR(VLOOKUP(Logs_Registre[[#This Row],[Cell_ID]],Registre_Maintenance[],2,FALSE),"")</f>
        <v>Kasai-Central</v>
      </c>
      <c r="H336">
        <f>IFERROR(VLOOKUP(Logs_Registre[[#This Row],[Cell_ID]],Registre_Maintenance[],3,FALSE),"")</f>
        <v>-1.648264</v>
      </c>
      <c r="I336">
        <f>IFERROR(VLOOKUP(Logs_Registre[[#This Row],[Cell_ID]],Registre_Maintenance[],4,FALSE),"")</f>
        <v>28.866143999999998</v>
      </c>
      <c r="J336" t="str">
        <f>IFERROR(VLOOKUP(Logs_Registre[[#This Row],[Cell_ID]],Registre_Maintenance[],5,FALSE),"")</f>
        <v>5G</v>
      </c>
      <c r="K336" t="str">
        <f>IFERROR(VLOOKUP(Logs_Registre[[#This Row],[Cell_ID]],Registre_Maintenance[],6,FALSE),"")</f>
        <v>Ericsson</v>
      </c>
    </row>
    <row r="337" spans="1:11" x14ac:dyDescent="0.25">
      <c r="A337" s="1" t="s">
        <v>1404</v>
      </c>
      <c r="B337" s="1" t="s">
        <v>847</v>
      </c>
      <c r="C337" s="2">
        <v>45221.167361111111</v>
      </c>
      <c r="D337" s="3">
        <v>45221.167361111111</v>
      </c>
      <c r="E337">
        <v>78</v>
      </c>
      <c r="F337" s="1" t="s">
        <v>735</v>
      </c>
      <c r="G337" t="str">
        <f>IFERROR(VLOOKUP(Logs_Registre[[#This Row],[Cell_ID]],Registre_Maintenance[],2,FALSE),"")</f>
        <v>Kwilu</v>
      </c>
      <c r="H337">
        <f>IFERROR(VLOOKUP(Logs_Registre[[#This Row],[Cell_ID]],Registre_Maintenance[],3,FALSE),"")</f>
        <v>2.4741019999999998</v>
      </c>
      <c r="I337">
        <f>IFERROR(VLOOKUP(Logs_Registre[[#This Row],[Cell_ID]],Registre_Maintenance[],4,FALSE),"")</f>
        <v>29.297391000000001</v>
      </c>
      <c r="J337" t="str">
        <f>IFERROR(VLOOKUP(Logs_Registre[[#This Row],[Cell_ID]],Registre_Maintenance[],5,FALSE),"")</f>
        <v>4G</v>
      </c>
      <c r="K337" t="str">
        <f>IFERROR(VLOOKUP(Logs_Registre[[#This Row],[Cell_ID]],Registre_Maintenance[],6,FALSE),"")</f>
        <v>Ericsson</v>
      </c>
    </row>
    <row r="338" spans="1:11" x14ac:dyDescent="0.25">
      <c r="A338" s="1" t="s">
        <v>999</v>
      </c>
      <c r="B338" s="1" t="s">
        <v>938</v>
      </c>
      <c r="C338" s="2">
        <v>45221.143055555563</v>
      </c>
      <c r="D338" s="3">
        <v>45221.143055555563</v>
      </c>
      <c r="E338">
        <v>43</v>
      </c>
      <c r="F338" s="1" t="s">
        <v>732</v>
      </c>
      <c r="G338" t="str">
        <f>IFERROR(VLOOKUP(Logs_Registre[[#This Row],[Cell_ID]],Registre_Maintenance[],2,FALSE),"")</f>
        <v/>
      </c>
      <c r="H338" t="str">
        <f>IFERROR(VLOOKUP(Logs_Registre[[#This Row],[Cell_ID]],Registre_Maintenance[],3,FALSE),"")</f>
        <v/>
      </c>
      <c r="I338" t="str">
        <f>IFERROR(VLOOKUP(Logs_Registre[[#This Row],[Cell_ID]],Registre_Maintenance[],4,FALSE),"")</f>
        <v/>
      </c>
      <c r="J338" t="str">
        <f>IFERROR(VLOOKUP(Logs_Registre[[#This Row],[Cell_ID]],Registre_Maintenance[],5,FALSE),"")</f>
        <v/>
      </c>
      <c r="K338" t="str">
        <f>IFERROR(VLOOKUP(Logs_Registre[[#This Row],[Cell_ID]],Registre_Maintenance[],6,FALSE),"")</f>
        <v/>
      </c>
    </row>
    <row r="339" spans="1:11" x14ac:dyDescent="0.25">
      <c r="A339" s="1" t="s">
        <v>1059</v>
      </c>
      <c r="B339" s="1" t="s">
        <v>752</v>
      </c>
      <c r="C339" s="2">
        <v>45221.106249999997</v>
      </c>
      <c r="D339" s="3">
        <v>45221.106249999997</v>
      </c>
      <c r="E339">
        <v>52</v>
      </c>
      <c r="F339" s="1" t="s">
        <v>737</v>
      </c>
      <c r="G339" t="str">
        <f>IFERROR(VLOOKUP(Logs_Registre[[#This Row],[Cell_ID]],Registre_Maintenance[],2,FALSE),"")</f>
        <v/>
      </c>
      <c r="H339" t="str">
        <f>IFERROR(VLOOKUP(Logs_Registre[[#This Row],[Cell_ID]],Registre_Maintenance[],3,FALSE),"")</f>
        <v/>
      </c>
      <c r="I339" t="str">
        <f>IFERROR(VLOOKUP(Logs_Registre[[#This Row],[Cell_ID]],Registre_Maintenance[],4,FALSE),"")</f>
        <v/>
      </c>
      <c r="J339" t="str">
        <f>IFERROR(VLOOKUP(Logs_Registre[[#This Row],[Cell_ID]],Registre_Maintenance[],5,FALSE),"")</f>
        <v/>
      </c>
      <c r="K339" t="str">
        <f>IFERROR(VLOOKUP(Logs_Registre[[#This Row],[Cell_ID]],Registre_Maintenance[],6,FALSE),"")</f>
        <v/>
      </c>
    </row>
    <row r="340" spans="1:11" x14ac:dyDescent="0.25">
      <c r="A340" s="1" t="s">
        <v>823</v>
      </c>
      <c r="B340" s="1" t="s">
        <v>853</v>
      </c>
      <c r="C340" s="2">
        <v>45221.095833333333</v>
      </c>
      <c r="D340" s="3">
        <v>45221.095833333333</v>
      </c>
      <c r="E340">
        <v>113</v>
      </c>
      <c r="F340" s="1" t="s">
        <v>737</v>
      </c>
      <c r="G340" t="str">
        <f>IFERROR(VLOOKUP(Logs_Registre[[#This Row],[Cell_ID]],Registre_Maintenance[],2,FALSE),"")</f>
        <v/>
      </c>
      <c r="H340" t="str">
        <f>IFERROR(VLOOKUP(Logs_Registre[[#This Row],[Cell_ID]],Registre_Maintenance[],3,FALSE),"")</f>
        <v/>
      </c>
      <c r="I340" t="str">
        <f>IFERROR(VLOOKUP(Logs_Registre[[#This Row],[Cell_ID]],Registre_Maintenance[],4,FALSE),"")</f>
        <v/>
      </c>
      <c r="J340" t="str">
        <f>IFERROR(VLOOKUP(Logs_Registre[[#This Row],[Cell_ID]],Registre_Maintenance[],5,FALSE),"")</f>
        <v/>
      </c>
      <c r="K340" t="str">
        <f>IFERROR(VLOOKUP(Logs_Registre[[#This Row],[Cell_ID]],Registre_Maintenance[],6,FALSE),"")</f>
        <v/>
      </c>
    </row>
    <row r="341" spans="1:11" x14ac:dyDescent="0.25">
      <c r="A341" s="1" t="s">
        <v>1261</v>
      </c>
      <c r="B341" s="1" t="s">
        <v>1066</v>
      </c>
      <c r="C341" s="2">
        <v>45221.049305555563</v>
      </c>
      <c r="D341" s="3">
        <v>45221.049305555563</v>
      </c>
      <c r="E341">
        <v>53</v>
      </c>
      <c r="F341" s="1" t="s">
        <v>735</v>
      </c>
      <c r="G341" t="str">
        <f>IFERROR(VLOOKUP(Logs_Registre[[#This Row],[Cell_ID]],Registre_Maintenance[],2,FALSE),"")</f>
        <v>Lualaba</v>
      </c>
      <c r="H341">
        <f>IFERROR(VLOOKUP(Logs_Registre[[#This Row],[Cell_ID]],Registre_Maintenance[],3,FALSE),"")</f>
        <v>1.286548</v>
      </c>
      <c r="I341">
        <f>IFERROR(VLOOKUP(Logs_Registre[[#This Row],[Cell_ID]],Registre_Maintenance[],4,FALSE),"")</f>
        <v>29.823702999999998</v>
      </c>
      <c r="J341" t="str">
        <f>IFERROR(VLOOKUP(Logs_Registre[[#This Row],[Cell_ID]],Registre_Maintenance[],5,FALSE),"")</f>
        <v>4G</v>
      </c>
      <c r="K341" t="str">
        <f>IFERROR(VLOOKUP(Logs_Registre[[#This Row],[Cell_ID]],Registre_Maintenance[],6,FALSE),"")</f>
        <v>ZTE</v>
      </c>
    </row>
    <row r="342" spans="1:11" x14ac:dyDescent="0.25">
      <c r="A342" s="1" t="s">
        <v>939</v>
      </c>
      <c r="B342" s="1" t="s">
        <v>973</v>
      </c>
      <c r="C342" s="2">
        <v>45221.039583333331</v>
      </c>
      <c r="D342" s="3">
        <v>45221.039583333331</v>
      </c>
      <c r="E342">
        <v>33</v>
      </c>
      <c r="F342" s="1" t="s">
        <v>735</v>
      </c>
      <c r="G342" t="str">
        <f>IFERROR(VLOOKUP(Logs_Registre[[#This Row],[Cell_ID]],Registre_Maintenance[],2,FALSE),"")</f>
        <v/>
      </c>
      <c r="H342" t="str">
        <f>IFERROR(VLOOKUP(Logs_Registre[[#This Row],[Cell_ID]],Registre_Maintenance[],3,FALSE),"")</f>
        <v/>
      </c>
      <c r="I342" t="str">
        <f>IFERROR(VLOOKUP(Logs_Registre[[#This Row],[Cell_ID]],Registre_Maintenance[],4,FALSE),"")</f>
        <v/>
      </c>
      <c r="J342" t="str">
        <f>IFERROR(VLOOKUP(Logs_Registre[[#This Row],[Cell_ID]],Registre_Maintenance[],5,FALSE),"")</f>
        <v/>
      </c>
      <c r="K342" t="str">
        <f>IFERROR(VLOOKUP(Logs_Registre[[#This Row],[Cell_ID]],Registre_Maintenance[],6,FALSE),"")</f>
        <v/>
      </c>
    </row>
    <row r="343" spans="1:11" x14ac:dyDescent="0.25">
      <c r="A343" s="1" t="s">
        <v>1345</v>
      </c>
      <c r="B343" s="1" t="s">
        <v>836</v>
      </c>
      <c r="C343" s="2">
        <v>45220.96875</v>
      </c>
      <c r="D343" s="3">
        <v>45220.96875</v>
      </c>
      <c r="E343">
        <v>103</v>
      </c>
      <c r="F343" s="1" t="s">
        <v>732</v>
      </c>
      <c r="G343" t="str">
        <f>IFERROR(VLOOKUP(Logs_Registre[[#This Row],[Cell_ID]],Registre_Maintenance[],2,FALSE),"")</f>
        <v/>
      </c>
      <c r="H343" t="str">
        <f>IFERROR(VLOOKUP(Logs_Registre[[#This Row],[Cell_ID]],Registre_Maintenance[],3,FALSE),"")</f>
        <v/>
      </c>
      <c r="I343" t="str">
        <f>IFERROR(VLOOKUP(Logs_Registre[[#This Row],[Cell_ID]],Registre_Maintenance[],4,FALSE),"")</f>
        <v/>
      </c>
      <c r="J343" t="str">
        <f>IFERROR(VLOOKUP(Logs_Registre[[#This Row],[Cell_ID]],Registre_Maintenance[],5,FALSE),"")</f>
        <v/>
      </c>
      <c r="K343" t="str">
        <f>IFERROR(VLOOKUP(Logs_Registre[[#This Row],[Cell_ID]],Registre_Maintenance[],6,FALSE),"")</f>
        <v/>
      </c>
    </row>
    <row r="344" spans="1:11" x14ac:dyDescent="0.25">
      <c r="A344" s="1" t="s">
        <v>730</v>
      </c>
      <c r="B344" s="1" t="s">
        <v>743</v>
      </c>
      <c r="C344" s="2">
        <v>45220.94027777778</v>
      </c>
      <c r="D344" s="3">
        <v>45220.94027777778</v>
      </c>
      <c r="E344">
        <v>33</v>
      </c>
      <c r="F344" s="1" t="s">
        <v>737</v>
      </c>
      <c r="G344" t="str">
        <f>IFERROR(VLOOKUP(Logs_Registre[[#This Row],[Cell_ID]],Registre_Maintenance[],2,FALSE),"")</f>
        <v/>
      </c>
      <c r="H344" t="str">
        <f>IFERROR(VLOOKUP(Logs_Registre[[#This Row],[Cell_ID]],Registre_Maintenance[],3,FALSE),"")</f>
        <v/>
      </c>
      <c r="I344" t="str">
        <f>IFERROR(VLOOKUP(Logs_Registre[[#This Row],[Cell_ID]],Registre_Maintenance[],4,FALSE),"")</f>
        <v/>
      </c>
      <c r="J344" t="str">
        <f>IFERROR(VLOOKUP(Logs_Registre[[#This Row],[Cell_ID]],Registre_Maintenance[],5,FALSE),"")</f>
        <v/>
      </c>
      <c r="K344" t="str">
        <f>IFERROR(VLOOKUP(Logs_Registre[[#This Row],[Cell_ID]],Registre_Maintenance[],6,FALSE),"")</f>
        <v/>
      </c>
    </row>
    <row r="345" spans="1:11" x14ac:dyDescent="0.25">
      <c r="A345" s="1" t="s">
        <v>1114</v>
      </c>
      <c r="B345" s="1" t="s">
        <v>1035</v>
      </c>
      <c r="C345" s="2">
        <v>45220.927777777782</v>
      </c>
      <c r="D345" s="3">
        <v>45220.927777777782</v>
      </c>
      <c r="E345">
        <v>22</v>
      </c>
      <c r="F345" s="1" t="s">
        <v>735</v>
      </c>
      <c r="G345" t="str">
        <f>IFERROR(VLOOKUP(Logs_Registre[[#This Row],[Cell_ID]],Registre_Maintenance[],2,FALSE),"")</f>
        <v/>
      </c>
      <c r="H345" t="str">
        <f>IFERROR(VLOOKUP(Logs_Registre[[#This Row],[Cell_ID]],Registre_Maintenance[],3,FALSE),"")</f>
        <v/>
      </c>
      <c r="I345" t="str">
        <f>IFERROR(VLOOKUP(Logs_Registre[[#This Row],[Cell_ID]],Registre_Maintenance[],4,FALSE),"")</f>
        <v/>
      </c>
      <c r="J345" t="str">
        <f>IFERROR(VLOOKUP(Logs_Registre[[#This Row],[Cell_ID]],Registre_Maintenance[],5,FALSE),"")</f>
        <v/>
      </c>
      <c r="K345" t="str">
        <f>IFERROR(VLOOKUP(Logs_Registre[[#This Row],[Cell_ID]],Registre_Maintenance[],6,FALSE),"")</f>
        <v/>
      </c>
    </row>
    <row r="346" spans="1:11" x14ac:dyDescent="0.25">
      <c r="A346" s="1" t="s">
        <v>1024</v>
      </c>
      <c r="B346" s="1" t="s">
        <v>1053</v>
      </c>
      <c r="C346" s="2">
        <v>45220.893750000003</v>
      </c>
      <c r="D346" s="3">
        <v>45220.893750000003</v>
      </c>
      <c r="E346">
        <v>101</v>
      </c>
      <c r="F346" s="1" t="s">
        <v>737</v>
      </c>
      <c r="G346" t="str">
        <f>IFERROR(VLOOKUP(Logs_Registre[[#This Row],[Cell_ID]],Registre_Maintenance[],2,FALSE),"")</f>
        <v>Bas-Uele</v>
      </c>
      <c r="H346">
        <f>IFERROR(VLOOKUP(Logs_Registre[[#This Row],[Cell_ID]],Registre_Maintenance[],3,FALSE),"")</f>
        <v>-2.2876210000000001</v>
      </c>
      <c r="I346">
        <f>IFERROR(VLOOKUP(Logs_Registre[[#This Row],[Cell_ID]],Registre_Maintenance[],4,FALSE),"")</f>
        <v>27.582545</v>
      </c>
      <c r="J346" t="str">
        <f>IFERROR(VLOOKUP(Logs_Registre[[#This Row],[Cell_ID]],Registre_Maintenance[],5,FALSE),"")</f>
        <v>4G</v>
      </c>
      <c r="K346" t="str">
        <f>IFERROR(VLOOKUP(Logs_Registre[[#This Row],[Cell_ID]],Registre_Maintenance[],6,FALSE),"")</f>
        <v>Huawei</v>
      </c>
    </row>
    <row r="347" spans="1:11" x14ac:dyDescent="0.25">
      <c r="A347" s="1" t="s">
        <v>902</v>
      </c>
      <c r="B347" s="1" t="s">
        <v>907</v>
      </c>
      <c r="C347" s="2">
        <v>45220.877083333333</v>
      </c>
      <c r="D347" s="3">
        <v>45220.877083333333</v>
      </c>
      <c r="E347">
        <v>78</v>
      </c>
      <c r="F347" s="1" t="s">
        <v>732</v>
      </c>
      <c r="G347" t="str">
        <f>IFERROR(VLOOKUP(Logs_Registre[[#This Row],[Cell_ID]],Registre_Maintenance[],2,FALSE),"")</f>
        <v/>
      </c>
      <c r="H347" t="str">
        <f>IFERROR(VLOOKUP(Logs_Registre[[#This Row],[Cell_ID]],Registre_Maintenance[],3,FALSE),"")</f>
        <v/>
      </c>
      <c r="I347" t="str">
        <f>IFERROR(VLOOKUP(Logs_Registre[[#This Row],[Cell_ID]],Registre_Maintenance[],4,FALSE),"")</f>
        <v/>
      </c>
      <c r="J347" t="str">
        <f>IFERROR(VLOOKUP(Logs_Registre[[#This Row],[Cell_ID]],Registre_Maintenance[],5,FALSE),"")</f>
        <v/>
      </c>
      <c r="K347" t="str">
        <f>IFERROR(VLOOKUP(Logs_Registre[[#This Row],[Cell_ID]],Registre_Maintenance[],6,FALSE),"")</f>
        <v/>
      </c>
    </row>
    <row r="348" spans="1:11" x14ac:dyDescent="0.25">
      <c r="A348" s="1" t="s">
        <v>1024</v>
      </c>
      <c r="B348" s="1" t="s">
        <v>1003</v>
      </c>
      <c r="C348" s="2">
        <v>45220.847916666673</v>
      </c>
      <c r="D348" s="3">
        <v>45220.847916666673</v>
      </c>
      <c r="E348">
        <v>103</v>
      </c>
      <c r="F348" s="1" t="s">
        <v>732</v>
      </c>
      <c r="G348" t="str">
        <f>IFERROR(VLOOKUP(Logs_Registre[[#This Row],[Cell_ID]],Registre_Maintenance[],2,FALSE),"")</f>
        <v/>
      </c>
      <c r="H348" t="str">
        <f>IFERROR(VLOOKUP(Logs_Registre[[#This Row],[Cell_ID]],Registre_Maintenance[],3,FALSE),"")</f>
        <v/>
      </c>
      <c r="I348" t="str">
        <f>IFERROR(VLOOKUP(Logs_Registre[[#This Row],[Cell_ID]],Registre_Maintenance[],4,FALSE),"")</f>
        <v/>
      </c>
      <c r="J348" t="str">
        <f>IFERROR(VLOOKUP(Logs_Registre[[#This Row],[Cell_ID]],Registre_Maintenance[],5,FALSE),"")</f>
        <v/>
      </c>
      <c r="K348" t="str">
        <f>IFERROR(VLOOKUP(Logs_Registre[[#This Row],[Cell_ID]],Registre_Maintenance[],6,FALSE),"")</f>
        <v/>
      </c>
    </row>
    <row r="349" spans="1:11" x14ac:dyDescent="0.25">
      <c r="A349" s="1" t="s">
        <v>730</v>
      </c>
      <c r="B349" s="1" t="s">
        <v>756</v>
      </c>
      <c r="C349" s="2">
        <v>45220.830555555563</v>
      </c>
      <c r="D349" s="3">
        <v>45220.830555555563</v>
      </c>
      <c r="E349">
        <v>59</v>
      </c>
      <c r="F349" s="1" t="s">
        <v>737</v>
      </c>
      <c r="G349" t="str">
        <f>IFERROR(VLOOKUP(Logs_Registre[[#This Row],[Cell_ID]],Registre_Maintenance[],2,FALSE),"")</f>
        <v/>
      </c>
      <c r="H349" t="str">
        <f>IFERROR(VLOOKUP(Logs_Registre[[#This Row],[Cell_ID]],Registre_Maintenance[],3,FALSE),"")</f>
        <v/>
      </c>
      <c r="I349" t="str">
        <f>IFERROR(VLOOKUP(Logs_Registre[[#This Row],[Cell_ID]],Registre_Maintenance[],4,FALSE),"")</f>
        <v/>
      </c>
      <c r="J349" t="str">
        <f>IFERROR(VLOOKUP(Logs_Registre[[#This Row],[Cell_ID]],Registre_Maintenance[],5,FALSE),"")</f>
        <v/>
      </c>
      <c r="K349" t="str">
        <f>IFERROR(VLOOKUP(Logs_Registre[[#This Row],[Cell_ID]],Registre_Maintenance[],6,FALSE),"")</f>
        <v/>
      </c>
    </row>
    <row r="350" spans="1:11" x14ac:dyDescent="0.25">
      <c r="A350" s="1" t="s">
        <v>1059</v>
      </c>
      <c r="B350" s="1" t="s">
        <v>1061</v>
      </c>
      <c r="C350" s="2">
        <v>45220.811805555553</v>
      </c>
      <c r="D350" s="3">
        <v>45220.811805555553</v>
      </c>
      <c r="E350">
        <v>100</v>
      </c>
      <c r="F350" s="1" t="s">
        <v>737</v>
      </c>
      <c r="G350" t="str">
        <f>IFERROR(VLOOKUP(Logs_Registre[[#This Row],[Cell_ID]],Registre_Maintenance[],2,FALSE),"")</f>
        <v>Kwilu</v>
      </c>
      <c r="H350">
        <f>IFERROR(VLOOKUP(Logs_Registre[[#This Row],[Cell_ID]],Registre_Maintenance[],3,FALSE),"")</f>
        <v>-0.98830399999999996</v>
      </c>
      <c r="I350">
        <f>IFERROR(VLOOKUP(Logs_Registre[[#This Row],[Cell_ID]],Registre_Maintenance[],4,FALSE),"")</f>
        <v>28.099966999999999</v>
      </c>
      <c r="J350" t="str">
        <f>IFERROR(VLOOKUP(Logs_Registre[[#This Row],[Cell_ID]],Registre_Maintenance[],5,FALSE),"")</f>
        <v>3G</v>
      </c>
      <c r="K350" t="str">
        <f>IFERROR(VLOOKUP(Logs_Registre[[#This Row],[Cell_ID]],Registre_Maintenance[],6,FALSE),"")</f>
        <v>Huawei</v>
      </c>
    </row>
    <row r="351" spans="1:11" x14ac:dyDescent="0.25">
      <c r="A351" s="1" t="s">
        <v>978</v>
      </c>
      <c r="B351" s="1" t="s">
        <v>838</v>
      </c>
      <c r="C351" s="2">
        <v>45220.792361111111</v>
      </c>
      <c r="D351" s="3">
        <v>45220.792361111111</v>
      </c>
      <c r="E351">
        <v>10</v>
      </c>
      <c r="F351" s="1" t="s">
        <v>737</v>
      </c>
      <c r="G351" t="str">
        <f>IFERROR(VLOOKUP(Logs_Registre[[#This Row],[Cell_ID]],Registre_Maintenance[],2,FALSE),"")</f>
        <v/>
      </c>
      <c r="H351" t="str">
        <f>IFERROR(VLOOKUP(Logs_Registre[[#This Row],[Cell_ID]],Registre_Maintenance[],3,FALSE),"")</f>
        <v/>
      </c>
      <c r="I351" t="str">
        <f>IFERROR(VLOOKUP(Logs_Registre[[#This Row],[Cell_ID]],Registre_Maintenance[],4,FALSE),"")</f>
        <v/>
      </c>
      <c r="J351" t="str">
        <f>IFERROR(VLOOKUP(Logs_Registre[[#This Row],[Cell_ID]],Registre_Maintenance[],5,FALSE),"")</f>
        <v/>
      </c>
      <c r="K351" t="str">
        <f>IFERROR(VLOOKUP(Logs_Registre[[#This Row],[Cell_ID]],Registre_Maintenance[],6,FALSE),"")</f>
        <v/>
      </c>
    </row>
    <row r="352" spans="1:11" x14ac:dyDescent="0.25">
      <c r="A352" s="1" t="s">
        <v>1308</v>
      </c>
      <c r="B352" s="1" t="s">
        <v>872</v>
      </c>
      <c r="C352" s="2">
        <v>45220.754166666673</v>
      </c>
      <c r="D352" s="3">
        <v>45220.754166666673</v>
      </c>
      <c r="E352">
        <v>85</v>
      </c>
      <c r="F352" s="1" t="s">
        <v>732</v>
      </c>
      <c r="G352" t="str">
        <f>IFERROR(VLOOKUP(Logs_Registre[[#This Row],[Cell_ID]],Registre_Maintenance[],2,FALSE),"")</f>
        <v>Lualaba</v>
      </c>
      <c r="H352">
        <f>IFERROR(VLOOKUP(Logs_Registre[[#This Row],[Cell_ID]],Registre_Maintenance[],3,FALSE),"")</f>
        <v>-9.7803979999999999</v>
      </c>
      <c r="I352">
        <f>IFERROR(VLOOKUP(Logs_Registre[[#This Row],[Cell_ID]],Registre_Maintenance[],4,FALSE),"")</f>
        <v>17.686595000000001</v>
      </c>
      <c r="J352" t="str">
        <f>IFERROR(VLOOKUP(Logs_Registre[[#This Row],[Cell_ID]],Registre_Maintenance[],5,FALSE),"")</f>
        <v>4G</v>
      </c>
      <c r="K352" t="str">
        <f>IFERROR(VLOOKUP(Logs_Registre[[#This Row],[Cell_ID]],Registre_Maintenance[],6,FALSE),"")</f>
        <v>Ericsson</v>
      </c>
    </row>
    <row r="353" spans="1:11" x14ac:dyDescent="0.25">
      <c r="A353" s="1" t="s">
        <v>1288</v>
      </c>
      <c r="B353" s="1" t="s">
        <v>1119</v>
      </c>
      <c r="C353" s="2">
        <v>45220.743055555547</v>
      </c>
      <c r="D353" s="3">
        <v>45220.743055555547</v>
      </c>
      <c r="E353">
        <v>54</v>
      </c>
      <c r="F353" s="1" t="s">
        <v>735</v>
      </c>
      <c r="G353" t="str">
        <f>IFERROR(VLOOKUP(Logs_Registre[[#This Row],[Cell_ID]],Registre_Maintenance[],2,FALSE),"")</f>
        <v/>
      </c>
      <c r="H353" t="str">
        <f>IFERROR(VLOOKUP(Logs_Registre[[#This Row],[Cell_ID]],Registre_Maintenance[],3,FALSE),"")</f>
        <v/>
      </c>
      <c r="I353" t="str">
        <f>IFERROR(VLOOKUP(Logs_Registre[[#This Row],[Cell_ID]],Registre_Maintenance[],4,FALSE),"")</f>
        <v/>
      </c>
      <c r="J353" t="str">
        <f>IFERROR(VLOOKUP(Logs_Registre[[#This Row],[Cell_ID]],Registre_Maintenance[],5,FALSE),"")</f>
        <v/>
      </c>
      <c r="K353" t="str">
        <f>IFERROR(VLOOKUP(Logs_Registre[[#This Row],[Cell_ID]],Registre_Maintenance[],6,FALSE),"")</f>
        <v/>
      </c>
    </row>
    <row r="354" spans="1:11" x14ac:dyDescent="0.25">
      <c r="A354" s="1" t="s">
        <v>1382</v>
      </c>
      <c r="B354" s="1" t="s">
        <v>852</v>
      </c>
      <c r="C354" s="2">
        <v>45220.724999999999</v>
      </c>
      <c r="D354" s="3">
        <v>45220.724999999999</v>
      </c>
      <c r="E354">
        <v>28</v>
      </c>
      <c r="F354" s="1" t="s">
        <v>737</v>
      </c>
      <c r="G354" t="str">
        <f>IFERROR(VLOOKUP(Logs_Registre[[#This Row],[Cell_ID]],Registre_Maintenance[],2,FALSE),"")</f>
        <v>Tanganyika</v>
      </c>
      <c r="H354">
        <f>IFERROR(VLOOKUP(Logs_Registre[[#This Row],[Cell_ID]],Registre_Maintenance[],3,FALSE),"")</f>
        <v>-9.002459</v>
      </c>
      <c r="I354">
        <f>IFERROR(VLOOKUP(Logs_Registre[[#This Row],[Cell_ID]],Registre_Maintenance[],4,FALSE),"")</f>
        <v>25.182109000000001</v>
      </c>
      <c r="J354" t="str">
        <f>IFERROR(VLOOKUP(Logs_Registre[[#This Row],[Cell_ID]],Registre_Maintenance[],5,FALSE),"")</f>
        <v>5G</v>
      </c>
      <c r="K354" t="str">
        <f>IFERROR(VLOOKUP(Logs_Registre[[#This Row],[Cell_ID]],Registre_Maintenance[],6,FALSE),"")</f>
        <v>Huawei</v>
      </c>
    </row>
    <row r="355" spans="1:11" x14ac:dyDescent="0.25">
      <c r="A355" s="1" t="s">
        <v>1288</v>
      </c>
      <c r="B355" s="1" t="s">
        <v>1303</v>
      </c>
      <c r="C355" s="2">
        <v>45220.677083333343</v>
      </c>
      <c r="D355" s="3">
        <v>45220.677083333343</v>
      </c>
      <c r="E355">
        <v>107</v>
      </c>
      <c r="F355" s="1" t="s">
        <v>737</v>
      </c>
      <c r="G355" t="str">
        <f>IFERROR(VLOOKUP(Logs_Registre[[#This Row],[Cell_ID]],Registre_Maintenance[],2,FALSE),"")</f>
        <v>Tshopo</v>
      </c>
      <c r="H355">
        <f>IFERROR(VLOOKUP(Logs_Registre[[#This Row],[Cell_ID]],Registre_Maintenance[],3,FALSE),"")</f>
        <v>-6.4670189999999996</v>
      </c>
      <c r="I355">
        <f>IFERROR(VLOOKUP(Logs_Registre[[#This Row],[Cell_ID]],Registre_Maintenance[],4,FALSE),"")</f>
        <v>29.487309</v>
      </c>
      <c r="J355" t="str">
        <f>IFERROR(VLOOKUP(Logs_Registre[[#This Row],[Cell_ID]],Registre_Maintenance[],5,FALSE),"")</f>
        <v>4G</v>
      </c>
      <c r="K355" t="str">
        <f>IFERROR(VLOOKUP(Logs_Registre[[#This Row],[Cell_ID]],Registre_Maintenance[],6,FALSE),"")</f>
        <v>ZTE</v>
      </c>
    </row>
    <row r="356" spans="1:11" x14ac:dyDescent="0.25">
      <c r="A356" s="1" t="s">
        <v>1193</v>
      </c>
      <c r="B356" s="1" t="s">
        <v>903</v>
      </c>
      <c r="C356" s="2">
        <v>45220.651388888888</v>
      </c>
      <c r="D356" s="3">
        <v>45220.651388888888</v>
      </c>
      <c r="E356">
        <v>36</v>
      </c>
      <c r="F356" s="1" t="s">
        <v>732</v>
      </c>
      <c r="G356" t="str">
        <f>IFERROR(VLOOKUP(Logs_Registre[[#This Row],[Cell_ID]],Registre_Maintenance[],2,FALSE),"")</f>
        <v/>
      </c>
      <c r="H356" t="str">
        <f>IFERROR(VLOOKUP(Logs_Registre[[#This Row],[Cell_ID]],Registre_Maintenance[],3,FALSE),"")</f>
        <v/>
      </c>
      <c r="I356" t="str">
        <f>IFERROR(VLOOKUP(Logs_Registre[[#This Row],[Cell_ID]],Registre_Maintenance[],4,FALSE),"")</f>
        <v/>
      </c>
      <c r="J356" t="str">
        <f>IFERROR(VLOOKUP(Logs_Registre[[#This Row],[Cell_ID]],Registre_Maintenance[],5,FALSE),"")</f>
        <v/>
      </c>
      <c r="K356" t="str">
        <f>IFERROR(VLOOKUP(Logs_Registre[[#This Row],[Cell_ID]],Registre_Maintenance[],6,FALSE),"")</f>
        <v/>
      </c>
    </row>
    <row r="357" spans="1:11" x14ac:dyDescent="0.25">
      <c r="A357" s="1" t="s">
        <v>730</v>
      </c>
      <c r="B357" s="1" t="s">
        <v>776</v>
      </c>
      <c r="C357" s="2">
        <v>45220.642361111109</v>
      </c>
      <c r="D357" s="3">
        <v>45220.642361111109</v>
      </c>
      <c r="E357">
        <v>19</v>
      </c>
      <c r="F357" s="1" t="s">
        <v>732</v>
      </c>
      <c r="G357" t="str">
        <f>IFERROR(VLOOKUP(Logs_Registre[[#This Row],[Cell_ID]],Registre_Maintenance[],2,FALSE),"")</f>
        <v/>
      </c>
      <c r="H357" t="str">
        <f>IFERROR(VLOOKUP(Logs_Registre[[#This Row],[Cell_ID]],Registre_Maintenance[],3,FALSE),"")</f>
        <v/>
      </c>
      <c r="I357" t="str">
        <f>IFERROR(VLOOKUP(Logs_Registre[[#This Row],[Cell_ID]],Registre_Maintenance[],4,FALSE),"")</f>
        <v/>
      </c>
      <c r="J357" t="str">
        <f>IFERROR(VLOOKUP(Logs_Registre[[#This Row],[Cell_ID]],Registre_Maintenance[],5,FALSE),"")</f>
        <v/>
      </c>
      <c r="K357" t="str">
        <f>IFERROR(VLOOKUP(Logs_Registre[[#This Row],[Cell_ID]],Registre_Maintenance[],6,FALSE),"")</f>
        <v/>
      </c>
    </row>
    <row r="358" spans="1:11" x14ac:dyDescent="0.25">
      <c r="A358" s="1" t="s">
        <v>1288</v>
      </c>
      <c r="B358" s="1" t="s">
        <v>1283</v>
      </c>
      <c r="C358" s="2">
        <v>45220.618750000001</v>
      </c>
      <c r="D358" s="3">
        <v>45220.618750000001</v>
      </c>
      <c r="E358">
        <v>79</v>
      </c>
      <c r="F358" s="1" t="s">
        <v>732</v>
      </c>
      <c r="G358" t="str">
        <f>IFERROR(VLOOKUP(Logs_Registre[[#This Row],[Cell_ID]],Registre_Maintenance[],2,FALSE),"")</f>
        <v>Sud-Kivu</v>
      </c>
      <c r="H358">
        <f>IFERROR(VLOOKUP(Logs_Registre[[#This Row],[Cell_ID]],Registre_Maintenance[],3,FALSE),"")</f>
        <v>-1.4700059999999999</v>
      </c>
      <c r="I358">
        <f>IFERROR(VLOOKUP(Logs_Registre[[#This Row],[Cell_ID]],Registre_Maintenance[],4,FALSE),"")</f>
        <v>18.680958</v>
      </c>
      <c r="J358" t="str">
        <f>IFERROR(VLOOKUP(Logs_Registre[[#This Row],[Cell_ID]],Registre_Maintenance[],5,FALSE),"")</f>
        <v>3G</v>
      </c>
      <c r="K358" t="str">
        <f>IFERROR(VLOOKUP(Logs_Registre[[#This Row],[Cell_ID]],Registre_Maintenance[],6,FALSE),"")</f>
        <v>Huawei</v>
      </c>
    </row>
    <row r="359" spans="1:11" x14ac:dyDescent="0.25">
      <c r="A359" s="1" t="s">
        <v>1241</v>
      </c>
      <c r="B359" s="1" t="s">
        <v>1249</v>
      </c>
      <c r="C359" s="2">
        <v>45220.584027777782</v>
      </c>
      <c r="D359" s="3">
        <v>45220.584027777782</v>
      </c>
      <c r="E359">
        <v>92</v>
      </c>
      <c r="F359" s="1" t="s">
        <v>737</v>
      </c>
      <c r="G359" t="str">
        <f>IFERROR(VLOOKUP(Logs_Registre[[#This Row],[Cell_ID]],Registre_Maintenance[],2,FALSE),"")</f>
        <v>Nord-Ubangi</v>
      </c>
      <c r="H359">
        <f>IFERROR(VLOOKUP(Logs_Registre[[#This Row],[Cell_ID]],Registre_Maintenance[],3,FALSE),"")</f>
        <v>-11.588665000000001</v>
      </c>
      <c r="I359">
        <f>IFERROR(VLOOKUP(Logs_Registre[[#This Row],[Cell_ID]],Registre_Maintenance[],4,FALSE),"")</f>
        <v>15.241552</v>
      </c>
      <c r="J359" t="str">
        <f>IFERROR(VLOOKUP(Logs_Registre[[#This Row],[Cell_ID]],Registre_Maintenance[],5,FALSE),"")</f>
        <v>4G</v>
      </c>
      <c r="K359" t="str">
        <f>IFERROR(VLOOKUP(Logs_Registre[[#This Row],[Cell_ID]],Registre_Maintenance[],6,FALSE),"")</f>
        <v>Nokia</v>
      </c>
    </row>
    <row r="360" spans="1:11" x14ac:dyDescent="0.25">
      <c r="A360" s="1" t="s">
        <v>1261</v>
      </c>
      <c r="B360" s="1" t="s">
        <v>1282</v>
      </c>
      <c r="C360" s="2">
        <v>45220.551388888889</v>
      </c>
      <c r="D360" s="3">
        <v>45220.551388888889</v>
      </c>
      <c r="E360">
        <v>6</v>
      </c>
      <c r="F360" s="1" t="s">
        <v>732</v>
      </c>
      <c r="G360" t="str">
        <f>IFERROR(VLOOKUP(Logs_Registre[[#This Row],[Cell_ID]],Registre_Maintenance[],2,FALSE),"")</f>
        <v/>
      </c>
      <c r="H360" t="str">
        <f>IFERROR(VLOOKUP(Logs_Registre[[#This Row],[Cell_ID]],Registre_Maintenance[],3,FALSE),"")</f>
        <v/>
      </c>
      <c r="I360" t="str">
        <f>IFERROR(VLOOKUP(Logs_Registre[[#This Row],[Cell_ID]],Registre_Maintenance[],4,FALSE),"")</f>
        <v/>
      </c>
      <c r="J360" t="str">
        <f>IFERROR(VLOOKUP(Logs_Registre[[#This Row],[Cell_ID]],Registre_Maintenance[],5,FALSE),"")</f>
        <v/>
      </c>
      <c r="K360" t="str">
        <f>IFERROR(VLOOKUP(Logs_Registre[[#This Row],[Cell_ID]],Registre_Maintenance[],6,FALSE),"")</f>
        <v/>
      </c>
    </row>
    <row r="361" spans="1:11" x14ac:dyDescent="0.25">
      <c r="A361" s="1" t="s">
        <v>1059</v>
      </c>
      <c r="B361" s="1" t="s">
        <v>1070</v>
      </c>
      <c r="C361" s="2">
        <v>45220.515972222223</v>
      </c>
      <c r="D361" s="3">
        <v>45220.515972222223</v>
      </c>
      <c r="E361">
        <v>15</v>
      </c>
      <c r="F361" s="1" t="s">
        <v>737</v>
      </c>
      <c r="G361" t="str">
        <f>IFERROR(VLOOKUP(Logs_Registre[[#This Row],[Cell_ID]],Registre_Maintenance[],2,FALSE),"")</f>
        <v/>
      </c>
      <c r="H361" t="str">
        <f>IFERROR(VLOOKUP(Logs_Registre[[#This Row],[Cell_ID]],Registre_Maintenance[],3,FALSE),"")</f>
        <v/>
      </c>
      <c r="I361" t="str">
        <f>IFERROR(VLOOKUP(Logs_Registre[[#This Row],[Cell_ID]],Registre_Maintenance[],4,FALSE),"")</f>
        <v/>
      </c>
      <c r="J361" t="str">
        <f>IFERROR(VLOOKUP(Logs_Registre[[#This Row],[Cell_ID]],Registre_Maintenance[],5,FALSE),"")</f>
        <v/>
      </c>
      <c r="K361" t="str">
        <f>IFERROR(VLOOKUP(Logs_Registre[[#This Row],[Cell_ID]],Registre_Maintenance[],6,FALSE),"")</f>
        <v/>
      </c>
    </row>
    <row r="362" spans="1:11" x14ac:dyDescent="0.25">
      <c r="A362" s="1" t="s">
        <v>1361</v>
      </c>
      <c r="B362" s="1" t="s">
        <v>1180</v>
      </c>
      <c r="C362" s="2">
        <v>45220.506249999999</v>
      </c>
      <c r="D362" s="3">
        <v>45220.506249999999</v>
      </c>
      <c r="E362">
        <v>20</v>
      </c>
      <c r="F362" s="1" t="s">
        <v>732</v>
      </c>
      <c r="G362" t="str">
        <f>IFERROR(VLOOKUP(Logs_Registre[[#This Row],[Cell_ID]],Registre_Maintenance[],2,FALSE),"")</f>
        <v/>
      </c>
      <c r="H362" t="str">
        <f>IFERROR(VLOOKUP(Logs_Registre[[#This Row],[Cell_ID]],Registre_Maintenance[],3,FALSE),"")</f>
        <v/>
      </c>
      <c r="I362" t="str">
        <f>IFERROR(VLOOKUP(Logs_Registre[[#This Row],[Cell_ID]],Registre_Maintenance[],4,FALSE),"")</f>
        <v/>
      </c>
      <c r="J362" t="str">
        <f>IFERROR(VLOOKUP(Logs_Registre[[#This Row],[Cell_ID]],Registre_Maintenance[],5,FALSE),"")</f>
        <v/>
      </c>
      <c r="K362" t="str">
        <f>IFERROR(VLOOKUP(Logs_Registre[[#This Row],[Cell_ID]],Registre_Maintenance[],6,FALSE),"")</f>
        <v/>
      </c>
    </row>
    <row r="363" spans="1:11" x14ac:dyDescent="0.25">
      <c r="A363" s="1" t="s">
        <v>1138</v>
      </c>
      <c r="B363" s="1" t="s">
        <v>820</v>
      </c>
      <c r="C363" s="2">
        <v>45220.488888888889</v>
      </c>
      <c r="D363" s="3">
        <v>45220.488888888889</v>
      </c>
      <c r="E363">
        <v>49</v>
      </c>
      <c r="F363" s="1" t="s">
        <v>737</v>
      </c>
      <c r="G363" t="str">
        <f>IFERROR(VLOOKUP(Logs_Registre[[#This Row],[Cell_ID]],Registre_Maintenance[],2,FALSE),"")</f>
        <v>Sud-Ubangi</v>
      </c>
      <c r="H363">
        <f>IFERROR(VLOOKUP(Logs_Registre[[#This Row],[Cell_ID]],Registre_Maintenance[],3,FALSE),"")</f>
        <v>-9.3652239999999995</v>
      </c>
      <c r="I363">
        <f>IFERROR(VLOOKUP(Logs_Registre[[#This Row],[Cell_ID]],Registre_Maintenance[],4,FALSE),"")</f>
        <v>22.593423999999999</v>
      </c>
      <c r="J363" t="str">
        <f>IFERROR(VLOOKUP(Logs_Registre[[#This Row],[Cell_ID]],Registre_Maintenance[],5,FALSE),"")</f>
        <v>5G</v>
      </c>
      <c r="K363" t="str">
        <f>IFERROR(VLOOKUP(Logs_Registre[[#This Row],[Cell_ID]],Registre_Maintenance[],6,FALSE),"")</f>
        <v>Nokia</v>
      </c>
    </row>
    <row r="364" spans="1:11" x14ac:dyDescent="0.25">
      <c r="A364" s="1" t="s">
        <v>1241</v>
      </c>
      <c r="B364" s="1" t="s">
        <v>997</v>
      </c>
      <c r="C364" s="2">
        <v>45220.469444444447</v>
      </c>
      <c r="D364" s="3">
        <v>45220.469444444447</v>
      </c>
      <c r="E364">
        <v>17</v>
      </c>
      <c r="F364" s="1" t="s">
        <v>735</v>
      </c>
      <c r="G364" t="str">
        <f>IFERROR(VLOOKUP(Logs_Registre[[#This Row],[Cell_ID]],Registre_Maintenance[],2,FALSE),"")</f>
        <v>Sud-Kivu</v>
      </c>
      <c r="H364">
        <f>IFERROR(VLOOKUP(Logs_Registre[[#This Row],[Cell_ID]],Registre_Maintenance[],3,FALSE),"")</f>
        <v>-1.5419050000000001</v>
      </c>
      <c r="I364">
        <f>IFERROR(VLOOKUP(Logs_Registre[[#This Row],[Cell_ID]],Registre_Maintenance[],4,FALSE),"")</f>
        <v>14.730632999999999</v>
      </c>
      <c r="J364" t="str">
        <f>IFERROR(VLOOKUP(Logs_Registre[[#This Row],[Cell_ID]],Registre_Maintenance[],5,FALSE),"")</f>
        <v>3G</v>
      </c>
      <c r="K364" t="str">
        <f>IFERROR(VLOOKUP(Logs_Registre[[#This Row],[Cell_ID]],Registre_Maintenance[],6,FALSE),"")</f>
        <v>ZTE</v>
      </c>
    </row>
    <row r="365" spans="1:11" x14ac:dyDescent="0.25">
      <c r="A365" s="1" t="s">
        <v>1024</v>
      </c>
      <c r="B365" s="1" t="s">
        <v>1049</v>
      </c>
      <c r="C365" s="2">
        <v>45220.452777777777</v>
      </c>
      <c r="D365" s="3">
        <v>45220.452777777777</v>
      </c>
      <c r="E365">
        <v>35</v>
      </c>
      <c r="F365" s="1" t="s">
        <v>735</v>
      </c>
      <c r="G365" t="str">
        <f>IFERROR(VLOOKUP(Logs_Registre[[#This Row],[Cell_ID]],Registre_Maintenance[],2,FALSE),"")</f>
        <v/>
      </c>
      <c r="H365" t="str">
        <f>IFERROR(VLOOKUP(Logs_Registre[[#This Row],[Cell_ID]],Registre_Maintenance[],3,FALSE),"")</f>
        <v/>
      </c>
      <c r="I365" t="str">
        <f>IFERROR(VLOOKUP(Logs_Registre[[#This Row],[Cell_ID]],Registre_Maintenance[],4,FALSE),"")</f>
        <v/>
      </c>
      <c r="J365" t="str">
        <f>IFERROR(VLOOKUP(Logs_Registre[[#This Row],[Cell_ID]],Registre_Maintenance[],5,FALSE),"")</f>
        <v/>
      </c>
      <c r="K365" t="str">
        <f>IFERROR(VLOOKUP(Logs_Registre[[#This Row],[Cell_ID]],Registre_Maintenance[],6,FALSE),"")</f>
        <v/>
      </c>
    </row>
    <row r="366" spans="1:11" x14ac:dyDescent="0.25">
      <c r="A366" s="1" t="s">
        <v>823</v>
      </c>
      <c r="B366" s="1" t="s">
        <v>792</v>
      </c>
      <c r="C366" s="2">
        <v>45220.436805555553</v>
      </c>
      <c r="D366" s="3">
        <v>45220.436805555553</v>
      </c>
      <c r="E366">
        <v>64</v>
      </c>
      <c r="F366" s="1" t="s">
        <v>735</v>
      </c>
      <c r="G366" t="str">
        <f>IFERROR(VLOOKUP(Logs_Registre[[#This Row],[Cell_ID]],Registre_Maintenance[],2,FALSE),"")</f>
        <v>Haut-Katanga</v>
      </c>
      <c r="H366">
        <f>IFERROR(VLOOKUP(Logs_Registre[[#This Row],[Cell_ID]],Registre_Maintenance[],3,FALSE),"")</f>
        <v>-5.5445120000000001</v>
      </c>
      <c r="I366">
        <f>IFERROR(VLOOKUP(Logs_Registre[[#This Row],[Cell_ID]],Registre_Maintenance[],4,FALSE),"")</f>
        <v>27.547335</v>
      </c>
      <c r="J366" t="str">
        <f>IFERROR(VLOOKUP(Logs_Registre[[#This Row],[Cell_ID]],Registre_Maintenance[],5,FALSE),"")</f>
        <v>4G</v>
      </c>
      <c r="K366" t="str">
        <f>IFERROR(VLOOKUP(Logs_Registre[[#This Row],[Cell_ID]],Registre_Maintenance[],6,FALSE),"")</f>
        <v>Ericsson</v>
      </c>
    </row>
    <row r="367" spans="1:11" x14ac:dyDescent="0.25">
      <c r="A367" s="1" t="s">
        <v>1059</v>
      </c>
      <c r="B367" s="1" t="s">
        <v>759</v>
      </c>
      <c r="C367" s="2">
        <v>45220.428472222222</v>
      </c>
      <c r="D367" s="3">
        <v>45220.428472222222</v>
      </c>
      <c r="E367">
        <v>26</v>
      </c>
      <c r="F367" s="1" t="s">
        <v>737</v>
      </c>
      <c r="G367" t="str">
        <f>IFERROR(VLOOKUP(Logs_Registre[[#This Row],[Cell_ID]],Registre_Maintenance[],2,FALSE),"")</f>
        <v/>
      </c>
      <c r="H367" t="str">
        <f>IFERROR(VLOOKUP(Logs_Registre[[#This Row],[Cell_ID]],Registre_Maintenance[],3,FALSE),"")</f>
        <v/>
      </c>
      <c r="I367" t="str">
        <f>IFERROR(VLOOKUP(Logs_Registre[[#This Row],[Cell_ID]],Registre_Maintenance[],4,FALSE),"")</f>
        <v/>
      </c>
      <c r="J367" t="str">
        <f>IFERROR(VLOOKUP(Logs_Registre[[#This Row],[Cell_ID]],Registre_Maintenance[],5,FALSE),"")</f>
        <v/>
      </c>
      <c r="K367" t="str">
        <f>IFERROR(VLOOKUP(Logs_Registre[[#This Row],[Cell_ID]],Registre_Maintenance[],6,FALSE),"")</f>
        <v/>
      </c>
    </row>
    <row r="368" spans="1:11" x14ac:dyDescent="0.25">
      <c r="A368" s="1" t="s">
        <v>861</v>
      </c>
      <c r="B368" s="1" t="s">
        <v>897</v>
      </c>
      <c r="C368" s="2">
        <v>45220.416666666657</v>
      </c>
      <c r="D368" s="3">
        <v>45220.416666666657</v>
      </c>
      <c r="E368">
        <v>32</v>
      </c>
      <c r="F368" s="1" t="s">
        <v>735</v>
      </c>
      <c r="G368" t="str">
        <f>IFERROR(VLOOKUP(Logs_Registre[[#This Row],[Cell_ID]],Registre_Maintenance[],2,FALSE),"")</f>
        <v/>
      </c>
      <c r="H368" t="str">
        <f>IFERROR(VLOOKUP(Logs_Registre[[#This Row],[Cell_ID]],Registre_Maintenance[],3,FALSE),"")</f>
        <v/>
      </c>
      <c r="I368" t="str">
        <f>IFERROR(VLOOKUP(Logs_Registre[[#This Row],[Cell_ID]],Registre_Maintenance[],4,FALSE),"")</f>
        <v/>
      </c>
      <c r="J368" t="str">
        <f>IFERROR(VLOOKUP(Logs_Registre[[#This Row],[Cell_ID]],Registre_Maintenance[],5,FALSE),"")</f>
        <v/>
      </c>
      <c r="K368" t="str">
        <f>IFERROR(VLOOKUP(Logs_Registre[[#This Row],[Cell_ID]],Registre_Maintenance[],6,FALSE),"")</f>
        <v/>
      </c>
    </row>
    <row r="369" spans="1:11" x14ac:dyDescent="0.25">
      <c r="A369" s="1" t="s">
        <v>1138</v>
      </c>
      <c r="B369" s="1" t="s">
        <v>1109</v>
      </c>
      <c r="C369" s="2">
        <v>45220.390972222223</v>
      </c>
      <c r="D369" s="3">
        <v>45220.390972222223</v>
      </c>
      <c r="E369">
        <v>13</v>
      </c>
      <c r="F369" s="1" t="s">
        <v>735</v>
      </c>
      <c r="G369" t="str">
        <f>IFERROR(VLOOKUP(Logs_Registre[[#This Row],[Cell_ID]],Registre_Maintenance[],2,FALSE),"")</f>
        <v/>
      </c>
      <c r="H369" t="str">
        <f>IFERROR(VLOOKUP(Logs_Registre[[#This Row],[Cell_ID]],Registre_Maintenance[],3,FALSE),"")</f>
        <v/>
      </c>
      <c r="I369" t="str">
        <f>IFERROR(VLOOKUP(Logs_Registre[[#This Row],[Cell_ID]],Registre_Maintenance[],4,FALSE),"")</f>
        <v/>
      </c>
      <c r="J369" t="str">
        <f>IFERROR(VLOOKUP(Logs_Registre[[#This Row],[Cell_ID]],Registre_Maintenance[],5,FALSE),"")</f>
        <v/>
      </c>
      <c r="K369" t="str">
        <f>IFERROR(VLOOKUP(Logs_Registre[[#This Row],[Cell_ID]],Registre_Maintenance[],6,FALSE),"")</f>
        <v/>
      </c>
    </row>
    <row r="370" spans="1:11" x14ac:dyDescent="0.25">
      <c r="A370" s="1" t="s">
        <v>1193</v>
      </c>
      <c r="B370" s="1" t="s">
        <v>1199</v>
      </c>
      <c r="C370" s="2">
        <v>45220.368055555547</v>
      </c>
      <c r="D370" s="3">
        <v>45220.368055555547</v>
      </c>
      <c r="E370">
        <v>47</v>
      </c>
      <c r="F370" s="1" t="s">
        <v>737</v>
      </c>
      <c r="G370" t="str">
        <f>IFERROR(VLOOKUP(Logs_Registre[[#This Row],[Cell_ID]],Registre_Maintenance[],2,FALSE),"")</f>
        <v/>
      </c>
      <c r="H370" t="str">
        <f>IFERROR(VLOOKUP(Logs_Registre[[#This Row],[Cell_ID]],Registre_Maintenance[],3,FALSE),"")</f>
        <v/>
      </c>
      <c r="I370" t="str">
        <f>IFERROR(VLOOKUP(Logs_Registre[[#This Row],[Cell_ID]],Registre_Maintenance[],4,FALSE),"")</f>
        <v/>
      </c>
      <c r="J370" t="str">
        <f>IFERROR(VLOOKUP(Logs_Registre[[#This Row],[Cell_ID]],Registre_Maintenance[],5,FALSE),"")</f>
        <v/>
      </c>
      <c r="K370" t="str">
        <f>IFERROR(VLOOKUP(Logs_Registre[[#This Row],[Cell_ID]],Registre_Maintenance[],6,FALSE),"")</f>
        <v/>
      </c>
    </row>
    <row r="371" spans="1:11" x14ac:dyDescent="0.25">
      <c r="A371" s="1" t="s">
        <v>1059</v>
      </c>
      <c r="B371" s="1" t="s">
        <v>1083</v>
      </c>
      <c r="C371" s="2">
        <v>45220.262499999997</v>
      </c>
      <c r="D371" s="3">
        <v>45220.262499999997</v>
      </c>
      <c r="E371">
        <v>96</v>
      </c>
      <c r="F371" s="1" t="s">
        <v>732</v>
      </c>
      <c r="G371" t="str">
        <f>IFERROR(VLOOKUP(Logs_Registre[[#This Row],[Cell_ID]],Registre_Maintenance[],2,FALSE),"")</f>
        <v/>
      </c>
      <c r="H371" t="str">
        <f>IFERROR(VLOOKUP(Logs_Registre[[#This Row],[Cell_ID]],Registre_Maintenance[],3,FALSE),"")</f>
        <v/>
      </c>
      <c r="I371" t="str">
        <f>IFERROR(VLOOKUP(Logs_Registre[[#This Row],[Cell_ID]],Registre_Maintenance[],4,FALSE),"")</f>
        <v/>
      </c>
      <c r="J371" t="str">
        <f>IFERROR(VLOOKUP(Logs_Registre[[#This Row],[Cell_ID]],Registre_Maintenance[],5,FALSE),"")</f>
        <v/>
      </c>
      <c r="K371" t="str">
        <f>IFERROR(VLOOKUP(Logs_Registre[[#This Row],[Cell_ID]],Registre_Maintenance[],6,FALSE),"")</f>
        <v/>
      </c>
    </row>
    <row r="372" spans="1:11" x14ac:dyDescent="0.25">
      <c r="A372" s="1" t="s">
        <v>1382</v>
      </c>
      <c r="B372" s="1" t="s">
        <v>788</v>
      </c>
      <c r="C372" s="2">
        <v>45220.230555555558</v>
      </c>
      <c r="D372" s="3">
        <v>45220.230555555558</v>
      </c>
      <c r="E372">
        <v>111</v>
      </c>
      <c r="F372" s="1" t="s">
        <v>737</v>
      </c>
      <c r="G372" t="str">
        <f>IFERROR(VLOOKUP(Logs_Registre[[#This Row],[Cell_ID]],Registre_Maintenance[],2,FALSE),"")</f>
        <v/>
      </c>
      <c r="H372" t="str">
        <f>IFERROR(VLOOKUP(Logs_Registre[[#This Row],[Cell_ID]],Registre_Maintenance[],3,FALSE),"")</f>
        <v/>
      </c>
      <c r="I372" t="str">
        <f>IFERROR(VLOOKUP(Logs_Registre[[#This Row],[Cell_ID]],Registre_Maintenance[],4,FALSE),"")</f>
        <v/>
      </c>
      <c r="J372" t="str">
        <f>IFERROR(VLOOKUP(Logs_Registre[[#This Row],[Cell_ID]],Registre_Maintenance[],5,FALSE),"")</f>
        <v/>
      </c>
      <c r="K372" t="str">
        <f>IFERROR(VLOOKUP(Logs_Registre[[#This Row],[Cell_ID]],Registre_Maintenance[],6,FALSE),"")</f>
        <v/>
      </c>
    </row>
    <row r="373" spans="1:11" x14ac:dyDescent="0.25">
      <c r="A373" s="1" t="s">
        <v>1361</v>
      </c>
      <c r="B373" s="1" t="s">
        <v>1271</v>
      </c>
      <c r="C373" s="2">
        <v>45220.222916666673</v>
      </c>
      <c r="D373" s="3">
        <v>45220.222916666673</v>
      </c>
      <c r="E373">
        <v>65</v>
      </c>
      <c r="F373" s="1" t="s">
        <v>737</v>
      </c>
      <c r="G373" t="str">
        <f>IFERROR(VLOOKUP(Logs_Registre[[#This Row],[Cell_ID]],Registre_Maintenance[],2,FALSE),"")</f>
        <v>Haut-Lomami</v>
      </c>
      <c r="H373">
        <f>IFERROR(VLOOKUP(Logs_Registre[[#This Row],[Cell_ID]],Registre_Maintenance[],3,FALSE),"")</f>
        <v>-1.3938550000000001</v>
      </c>
      <c r="I373">
        <f>IFERROR(VLOOKUP(Logs_Registre[[#This Row],[Cell_ID]],Registre_Maintenance[],4,FALSE),"")</f>
        <v>15.097554000000001</v>
      </c>
      <c r="J373" t="str">
        <f>IFERROR(VLOOKUP(Logs_Registre[[#This Row],[Cell_ID]],Registre_Maintenance[],5,FALSE),"")</f>
        <v>4G</v>
      </c>
      <c r="K373" t="str">
        <f>IFERROR(VLOOKUP(Logs_Registre[[#This Row],[Cell_ID]],Registre_Maintenance[],6,FALSE),"")</f>
        <v>Huawei</v>
      </c>
    </row>
    <row r="374" spans="1:11" x14ac:dyDescent="0.25">
      <c r="A374" s="1" t="s">
        <v>902</v>
      </c>
      <c r="B374" s="1" t="s">
        <v>929</v>
      </c>
      <c r="C374" s="2">
        <v>45220.206944444442</v>
      </c>
      <c r="D374" s="3">
        <v>45220.206944444442</v>
      </c>
      <c r="E374">
        <v>25</v>
      </c>
      <c r="F374" s="1" t="s">
        <v>732</v>
      </c>
      <c r="G374" t="str">
        <f>IFERROR(VLOOKUP(Logs_Registre[[#This Row],[Cell_ID]],Registre_Maintenance[],2,FALSE),"")</f>
        <v>Equateur</v>
      </c>
      <c r="H374">
        <f>IFERROR(VLOOKUP(Logs_Registre[[#This Row],[Cell_ID]],Registre_Maintenance[],3,FALSE),"")</f>
        <v>3.3289240000000002</v>
      </c>
      <c r="I374">
        <f>IFERROR(VLOOKUP(Logs_Registre[[#This Row],[Cell_ID]],Registre_Maintenance[],4,FALSE),"")</f>
        <v>24.412261000000001</v>
      </c>
      <c r="J374" t="str">
        <f>IFERROR(VLOOKUP(Logs_Registre[[#This Row],[Cell_ID]],Registre_Maintenance[],5,FALSE),"")</f>
        <v>5G</v>
      </c>
      <c r="K374" t="str">
        <f>IFERROR(VLOOKUP(Logs_Registre[[#This Row],[Cell_ID]],Registre_Maintenance[],6,FALSE),"")</f>
        <v>Nokia</v>
      </c>
    </row>
    <row r="375" spans="1:11" x14ac:dyDescent="0.25">
      <c r="A375" s="1" t="s">
        <v>1059</v>
      </c>
      <c r="B375" s="1" t="s">
        <v>1073</v>
      </c>
      <c r="C375" s="2">
        <v>45220.15902777778</v>
      </c>
      <c r="D375" s="3">
        <v>45220.15902777778</v>
      </c>
      <c r="E375">
        <v>60</v>
      </c>
      <c r="F375" s="1" t="s">
        <v>737</v>
      </c>
      <c r="G375" t="str">
        <f>IFERROR(VLOOKUP(Logs_Registre[[#This Row],[Cell_ID]],Registre_Maintenance[],2,FALSE),"")</f>
        <v>Tshopo</v>
      </c>
      <c r="H375">
        <f>IFERROR(VLOOKUP(Logs_Registre[[#This Row],[Cell_ID]],Registre_Maintenance[],3,FALSE),"")</f>
        <v>-9.4133639999999996</v>
      </c>
      <c r="I375">
        <f>IFERROR(VLOOKUP(Logs_Registre[[#This Row],[Cell_ID]],Registre_Maintenance[],4,FALSE),"")</f>
        <v>15.682482</v>
      </c>
      <c r="J375" t="str">
        <f>IFERROR(VLOOKUP(Logs_Registre[[#This Row],[Cell_ID]],Registre_Maintenance[],5,FALSE),"")</f>
        <v>4G</v>
      </c>
      <c r="K375" t="str">
        <f>IFERROR(VLOOKUP(Logs_Registre[[#This Row],[Cell_ID]],Registre_Maintenance[],6,FALSE),"")</f>
        <v>Huawei</v>
      </c>
    </row>
    <row r="376" spans="1:11" x14ac:dyDescent="0.25">
      <c r="A376" s="1" t="s">
        <v>1330</v>
      </c>
      <c r="B376" s="1" t="s">
        <v>1133</v>
      </c>
      <c r="C376" s="2">
        <v>45220.154861111107</v>
      </c>
      <c r="D376" s="3">
        <v>45220.154861111107</v>
      </c>
      <c r="E376">
        <v>53</v>
      </c>
      <c r="F376" s="1" t="s">
        <v>732</v>
      </c>
      <c r="G376" t="str">
        <f>IFERROR(VLOOKUP(Logs_Registre[[#This Row],[Cell_ID]],Registre_Maintenance[],2,FALSE),"")</f>
        <v>Kongo-Central</v>
      </c>
      <c r="H376">
        <f>IFERROR(VLOOKUP(Logs_Registre[[#This Row],[Cell_ID]],Registre_Maintenance[],3,FALSE),"")</f>
        <v>-9.8208710000000004</v>
      </c>
      <c r="I376">
        <f>IFERROR(VLOOKUP(Logs_Registre[[#This Row],[Cell_ID]],Registre_Maintenance[],4,FALSE),"")</f>
        <v>23.229807000000001</v>
      </c>
      <c r="J376" t="str">
        <f>IFERROR(VLOOKUP(Logs_Registre[[#This Row],[Cell_ID]],Registre_Maintenance[],5,FALSE),"")</f>
        <v>5G</v>
      </c>
      <c r="K376" t="str">
        <f>IFERROR(VLOOKUP(Logs_Registre[[#This Row],[Cell_ID]],Registre_Maintenance[],6,FALSE),"")</f>
        <v>Nokia</v>
      </c>
    </row>
    <row r="377" spans="1:11" x14ac:dyDescent="0.25">
      <c r="A377" s="1" t="s">
        <v>861</v>
      </c>
      <c r="B377" s="1" t="s">
        <v>877</v>
      </c>
      <c r="C377" s="2">
        <v>45220.117361111108</v>
      </c>
      <c r="D377" s="3">
        <v>45220.117361111108</v>
      </c>
      <c r="E377">
        <v>39</v>
      </c>
      <c r="F377" s="1" t="s">
        <v>732</v>
      </c>
      <c r="G377" t="str">
        <f>IFERROR(VLOOKUP(Logs_Registre[[#This Row],[Cell_ID]],Registre_Maintenance[],2,FALSE),"")</f>
        <v/>
      </c>
      <c r="H377" t="str">
        <f>IFERROR(VLOOKUP(Logs_Registre[[#This Row],[Cell_ID]],Registre_Maintenance[],3,FALSE),"")</f>
        <v/>
      </c>
      <c r="I377" t="str">
        <f>IFERROR(VLOOKUP(Logs_Registre[[#This Row],[Cell_ID]],Registre_Maintenance[],4,FALSE),"")</f>
        <v/>
      </c>
      <c r="J377" t="str">
        <f>IFERROR(VLOOKUP(Logs_Registre[[#This Row],[Cell_ID]],Registre_Maintenance[],5,FALSE),"")</f>
        <v/>
      </c>
      <c r="K377" t="str">
        <f>IFERROR(VLOOKUP(Logs_Registre[[#This Row],[Cell_ID]],Registre_Maintenance[],6,FALSE),"")</f>
        <v/>
      </c>
    </row>
    <row r="378" spans="1:11" x14ac:dyDescent="0.25">
      <c r="A378" s="1" t="s">
        <v>1241</v>
      </c>
      <c r="B378" s="1" t="s">
        <v>776</v>
      </c>
      <c r="C378" s="2">
        <v>45220.114583333343</v>
      </c>
      <c r="D378" s="3">
        <v>45220.114583333343</v>
      </c>
      <c r="E378">
        <v>54</v>
      </c>
      <c r="F378" s="1" t="s">
        <v>735</v>
      </c>
      <c r="G378" t="str">
        <f>IFERROR(VLOOKUP(Logs_Registre[[#This Row],[Cell_ID]],Registre_Maintenance[],2,FALSE),"")</f>
        <v/>
      </c>
      <c r="H378" t="str">
        <f>IFERROR(VLOOKUP(Logs_Registre[[#This Row],[Cell_ID]],Registre_Maintenance[],3,FALSE),"")</f>
        <v/>
      </c>
      <c r="I378" t="str">
        <f>IFERROR(VLOOKUP(Logs_Registre[[#This Row],[Cell_ID]],Registre_Maintenance[],4,FALSE),"")</f>
        <v/>
      </c>
      <c r="J378" t="str">
        <f>IFERROR(VLOOKUP(Logs_Registre[[#This Row],[Cell_ID]],Registre_Maintenance[],5,FALSE),"")</f>
        <v/>
      </c>
      <c r="K378" t="str">
        <f>IFERROR(VLOOKUP(Logs_Registre[[#This Row],[Cell_ID]],Registre_Maintenance[],6,FALSE),"")</f>
        <v/>
      </c>
    </row>
    <row r="379" spans="1:11" x14ac:dyDescent="0.25">
      <c r="A379" s="1" t="s">
        <v>1024</v>
      </c>
      <c r="B379" s="1" t="s">
        <v>1027</v>
      </c>
      <c r="C379" s="2">
        <v>45220.11041666667</v>
      </c>
      <c r="D379" s="3">
        <v>45220.11041666667</v>
      </c>
      <c r="E379">
        <v>111</v>
      </c>
      <c r="F379" s="1" t="s">
        <v>737</v>
      </c>
      <c r="G379" t="str">
        <f>IFERROR(VLOOKUP(Logs_Registre[[#This Row],[Cell_ID]],Registre_Maintenance[],2,FALSE),"")</f>
        <v>Ituri</v>
      </c>
      <c r="H379">
        <f>IFERROR(VLOOKUP(Logs_Registre[[#This Row],[Cell_ID]],Registre_Maintenance[],3,FALSE),"")</f>
        <v>-4.1250960000000001</v>
      </c>
      <c r="I379">
        <f>IFERROR(VLOOKUP(Logs_Registre[[#This Row],[Cell_ID]],Registre_Maintenance[],4,FALSE),"")</f>
        <v>27.799897999999999</v>
      </c>
      <c r="J379" t="str">
        <f>IFERROR(VLOOKUP(Logs_Registre[[#This Row],[Cell_ID]],Registre_Maintenance[],5,FALSE),"")</f>
        <v>3G</v>
      </c>
      <c r="K379" t="str">
        <f>IFERROR(VLOOKUP(Logs_Registre[[#This Row],[Cell_ID]],Registre_Maintenance[],6,FALSE),"")</f>
        <v>Nokia</v>
      </c>
    </row>
    <row r="380" spans="1:11" x14ac:dyDescent="0.25">
      <c r="A380" s="1" t="s">
        <v>1345</v>
      </c>
      <c r="B380" s="1" t="s">
        <v>1306</v>
      </c>
      <c r="C380" s="2">
        <v>45220.093055555553</v>
      </c>
      <c r="D380" s="3">
        <v>45220.093055555553</v>
      </c>
      <c r="E380">
        <v>48</v>
      </c>
      <c r="F380" s="1" t="s">
        <v>732</v>
      </c>
      <c r="G380" t="str">
        <f>IFERROR(VLOOKUP(Logs_Registre[[#This Row],[Cell_ID]],Registre_Maintenance[],2,FALSE),"")</f>
        <v/>
      </c>
      <c r="H380" t="str">
        <f>IFERROR(VLOOKUP(Logs_Registre[[#This Row],[Cell_ID]],Registre_Maintenance[],3,FALSE),"")</f>
        <v/>
      </c>
      <c r="I380" t="str">
        <f>IFERROR(VLOOKUP(Logs_Registre[[#This Row],[Cell_ID]],Registre_Maintenance[],4,FALSE),"")</f>
        <v/>
      </c>
      <c r="J380" t="str">
        <f>IFERROR(VLOOKUP(Logs_Registre[[#This Row],[Cell_ID]],Registre_Maintenance[],5,FALSE),"")</f>
        <v/>
      </c>
      <c r="K380" t="str">
        <f>IFERROR(VLOOKUP(Logs_Registre[[#This Row],[Cell_ID]],Registre_Maintenance[],6,FALSE),"")</f>
        <v/>
      </c>
    </row>
    <row r="381" spans="1:11" x14ac:dyDescent="0.25">
      <c r="A381" s="1" t="s">
        <v>1330</v>
      </c>
      <c r="B381" s="1" t="s">
        <v>750</v>
      </c>
      <c r="C381" s="2">
        <v>45220.091666666667</v>
      </c>
      <c r="D381" s="3">
        <v>45220.091666666667</v>
      </c>
      <c r="E381">
        <v>87</v>
      </c>
      <c r="F381" s="1" t="s">
        <v>735</v>
      </c>
      <c r="G381" t="str">
        <f>IFERROR(VLOOKUP(Logs_Registre[[#This Row],[Cell_ID]],Registre_Maintenance[],2,FALSE),"")</f>
        <v/>
      </c>
      <c r="H381" t="str">
        <f>IFERROR(VLOOKUP(Logs_Registre[[#This Row],[Cell_ID]],Registre_Maintenance[],3,FALSE),"")</f>
        <v/>
      </c>
      <c r="I381" t="str">
        <f>IFERROR(VLOOKUP(Logs_Registre[[#This Row],[Cell_ID]],Registre_Maintenance[],4,FALSE),"")</f>
        <v/>
      </c>
      <c r="J381" t="str">
        <f>IFERROR(VLOOKUP(Logs_Registre[[#This Row],[Cell_ID]],Registre_Maintenance[],5,FALSE),"")</f>
        <v/>
      </c>
      <c r="K381" t="str">
        <f>IFERROR(VLOOKUP(Logs_Registre[[#This Row],[Cell_ID]],Registre_Maintenance[],6,FALSE),"")</f>
        <v/>
      </c>
    </row>
    <row r="382" spans="1:11" x14ac:dyDescent="0.25">
      <c r="A382" s="1" t="s">
        <v>1086</v>
      </c>
      <c r="B382" s="1" t="s">
        <v>807</v>
      </c>
      <c r="C382" s="2">
        <v>45219.997916666667</v>
      </c>
      <c r="D382" s="3">
        <v>45219.997916666667</v>
      </c>
      <c r="E382">
        <v>102</v>
      </c>
      <c r="F382" s="1" t="s">
        <v>735</v>
      </c>
      <c r="G382" t="str">
        <f>IFERROR(VLOOKUP(Logs_Registre[[#This Row],[Cell_ID]],Registre_Maintenance[],2,FALSE),"")</f>
        <v/>
      </c>
      <c r="H382" t="str">
        <f>IFERROR(VLOOKUP(Logs_Registre[[#This Row],[Cell_ID]],Registre_Maintenance[],3,FALSE),"")</f>
        <v/>
      </c>
      <c r="I382" t="str">
        <f>IFERROR(VLOOKUP(Logs_Registre[[#This Row],[Cell_ID]],Registre_Maintenance[],4,FALSE),"")</f>
        <v/>
      </c>
      <c r="J382" t="str">
        <f>IFERROR(VLOOKUP(Logs_Registre[[#This Row],[Cell_ID]],Registre_Maintenance[],5,FALSE),"")</f>
        <v/>
      </c>
      <c r="K382" t="str">
        <f>IFERROR(VLOOKUP(Logs_Registre[[#This Row],[Cell_ID]],Registre_Maintenance[],6,FALSE),"")</f>
        <v/>
      </c>
    </row>
    <row r="383" spans="1:11" x14ac:dyDescent="0.25">
      <c r="A383" s="1" t="s">
        <v>861</v>
      </c>
      <c r="B383" s="1" t="s">
        <v>884</v>
      </c>
      <c r="C383" s="2">
        <v>45219.989583333343</v>
      </c>
      <c r="D383" s="3">
        <v>45219.989583333343</v>
      </c>
      <c r="E383">
        <v>36</v>
      </c>
      <c r="F383" s="1" t="s">
        <v>732</v>
      </c>
      <c r="G383" t="str">
        <f>IFERROR(VLOOKUP(Logs_Registre[[#This Row],[Cell_ID]],Registre_Maintenance[],2,FALSE),"")</f>
        <v/>
      </c>
      <c r="H383" t="str">
        <f>IFERROR(VLOOKUP(Logs_Registre[[#This Row],[Cell_ID]],Registre_Maintenance[],3,FALSE),"")</f>
        <v/>
      </c>
      <c r="I383" t="str">
        <f>IFERROR(VLOOKUP(Logs_Registre[[#This Row],[Cell_ID]],Registre_Maintenance[],4,FALSE),"")</f>
        <v/>
      </c>
      <c r="J383" t="str">
        <f>IFERROR(VLOOKUP(Logs_Registre[[#This Row],[Cell_ID]],Registre_Maintenance[],5,FALSE),"")</f>
        <v/>
      </c>
      <c r="K383" t="str">
        <f>IFERROR(VLOOKUP(Logs_Registre[[#This Row],[Cell_ID]],Registre_Maintenance[],6,FALSE),"")</f>
        <v/>
      </c>
    </row>
    <row r="384" spans="1:11" x14ac:dyDescent="0.25">
      <c r="A384" s="1" t="s">
        <v>1382</v>
      </c>
      <c r="B384" s="1" t="s">
        <v>787</v>
      </c>
      <c r="C384" s="2">
        <v>45219.95</v>
      </c>
      <c r="D384" s="3">
        <v>45219.95</v>
      </c>
      <c r="E384">
        <v>45</v>
      </c>
      <c r="F384" s="1" t="s">
        <v>737</v>
      </c>
      <c r="G384" t="str">
        <f>IFERROR(VLOOKUP(Logs_Registre[[#This Row],[Cell_ID]],Registre_Maintenance[],2,FALSE),"")</f>
        <v/>
      </c>
      <c r="H384" t="str">
        <f>IFERROR(VLOOKUP(Logs_Registre[[#This Row],[Cell_ID]],Registre_Maintenance[],3,FALSE),"")</f>
        <v/>
      </c>
      <c r="I384" t="str">
        <f>IFERROR(VLOOKUP(Logs_Registre[[#This Row],[Cell_ID]],Registre_Maintenance[],4,FALSE),"")</f>
        <v/>
      </c>
      <c r="J384" t="str">
        <f>IFERROR(VLOOKUP(Logs_Registre[[#This Row],[Cell_ID]],Registre_Maintenance[],5,FALSE),"")</f>
        <v/>
      </c>
      <c r="K384" t="str">
        <f>IFERROR(VLOOKUP(Logs_Registre[[#This Row],[Cell_ID]],Registre_Maintenance[],6,FALSE),"")</f>
        <v/>
      </c>
    </row>
    <row r="385" spans="1:11" x14ac:dyDescent="0.25">
      <c r="A385" s="1" t="s">
        <v>1382</v>
      </c>
      <c r="B385" s="1" t="s">
        <v>1392</v>
      </c>
      <c r="C385" s="2">
        <v>45219.929166666669</v>
      </c>
      <c r="D385" s="3">
        <v>45219.929166666669</v>
      </c>
      <c r="E385">
        <v>115</v>
      </c>
      <c r="F385" s="1" t="s">
        <v>732</v>
      </c>
      <c r="G385" t="str">
        <f>IFERROR(VLOOKUP(Logs_Registre[[#This Row],[Cell_ID]],Registre_Maintenance[],2,FALSE),"")</f>
        <v/>
      </c>
      <c r="H385" t="str">
        <f>IFERROR(VLOOKUP(Logs_Registre[[#This Row],[Cell_ID]],Registre_Maintenance[],3,FALSE),"")</f>
        <v/>
      </c>
      <c r="I385" t="str">
        <f>IFERROR(VLOOKUP(Logs_Registre[[#This Row],[Cell_ID]],Registre_Maintenance[],4,FALSE),"")</f>
        <v/>
      </c>
      <c r="J385" t="str">
        <f>IFERROR(VLOOKUP(Logs_Registre[[#This Row],[Cell_ID]],Registre_Maintenance[],5,FALSE),"")</f>
        <v/>
      </c>
      <c r="K385" t="str">
        <f>IFERROR(VLOOKUP(Logs_Registre[[#This Row],[Cell_ID]],Registre_Maintenance[],6,FALSE),"")</f>
        <v/>
      </c>
    </row>
    <row r="386" spans="1:11" x14ac:dyDescent="0.25">
      <c r="A386" s="1" t="s">
        <v>1165</v>
      </c>
      <c r="B386" s="1" t="s">
        <v>1181</v>
      </c>
      <c r="C386" s="2">
        <v>45219.925694444442</v>
      </c>
      <c r="D386" s="3">
        <v>45219.925694444442</v>
      </c>
      <c r="E386">
        <v>22</v>
      </c>
      <c r="F386" s="1" t="s">
        <v>732</v>
      </c>
      <c r="G386" t="str">
        <f>IFERROR(VLOOKUP(Logs_Registre[[#This Row],[Cell_ID]],Registre_Maintenance[],2,FALSE),"")</f>
        <v/>
      </c>
      <c r="H386" t="str">
        <f>IFERROR(VLOOKUP(Logs_Registre[[#This Row],[Cell_ID]],Registre_Maintenance[],3,FALSE),"")</f>
        <v/>
      </c>
      <c r="I386" t="str">
        <f>IFERROR(VLOOKUP(Logs_Registre[[#This Row],[Cell_ID]],Registre_Maintenance[],4,FALSE),"")</f>
        <v/>
      </c>
      <c r="J386" t="str">
        <f>IFERROR(VLOOKUP(Logs_Registre[[#This Row],[Cell_ID]],Registre_Maintenance[],5,FALSE),"")</f>
        <v/>
      </c>
      <c r="K386" t="str">
        <f>IFERROR(VLOOKUP(Logs_Registre[[#This Row],[Cell_ID]],Registre_Maintenance[],6,FALSE),"")</f>
        <v/>
      </c>
    </row>
    <row r="387" spans="1:11" x14ac:dyDescent="0.25">
      <c r="A387" s="1" t="s">
        <v>1024</v>
      </c>
      <c r="B387" s="1" t="s">
        <v>1047</v>
      </c>
      <c r="C387" s="2">
        <v>45219.920138888891</v>
      </c>
      <c r="D387" s="3">
        <v>45219.920138888891</v>
      </c>
      <c r="E387">
        <v>91</v>
      </c>
      <c r="F387" s="1" t="s">
        <v>737</v>
      </c>
      <c r="G387" t="str">
        <f>IFERROR(VLOOKUP(Logs_Registre[[#This Row],[Cell_ID]],Registre_Maintenance[],2,FALSE),"")</f>
        <v/>
      </c>
      <c r="H387" t="str">
        <f>IFERROR(VLOOKUP(Logs_Registre[[#This Row],[Cell_ID]],Registre_Maintenance[],3,FALSE),"")</f>
        <v/>
      </c>
      <c r="I387" t="str">
        <f>IFERROR(VLOOKUP(Logs_Registre[[#This Row],[Cell_ID]],Registre_Maintenance[],4,FALSE),"")</f>
        <v/>
      </c>
      <c r="J387" t="str">
        <f>IFERROR(VLOOKUP(Logs_Registre[[#This Row],[Cell_ID]],Registre_Maintenance[],5,FALSE),"")</f>
        <v/>
      </c>
      <c r="K387" t="str">
        <f>IFERROR(VLOOKUP(Logs_Registre[[#This Row],[Cell_ID]],Registre_Maintenance[],6,FALSE),"")</f>
        <v/>
      </c>
    </row>
    <row r="388" spans="1:11" x14ac:dyDescent="0.25">
      <c r="A388" s="1" t="s">
        <v>1382</v>
      </c>
      <c r="B388" s="1" t="s">
        <v>1401</v>
      </c>
      <c r="C388" s="2">
        <v>45219.907638888893</v>
      </c>
      <c r="D388" s="3">
        <v>45219.907638888893</v>
      </c>
      <c r="E388">
        <v>92</v>
      </c>
      <c r="F388" s="1" t="s">
        <v>735</v>
      </c>
      <c r="G388" t="str">
        <f>IFERROR(VLOOKUP(Logs_Registre[[#This Row],[Cell_ID]],Registre_Maintenance[],2,FALSE),"")</f>
        <v/>
      </c>
      <c r="H388" t="str">
        <f>IFERROR(VLOOKUP(Logs_Registre[[#This Row],[Cell_ID]],Registre_Maintenance[],3,FALSE),"")</f>
        <v/>
      </c>
      <c r="I388" t="str">
        <f>IFERROR(VLOOKUP(Logs_Registre[[#This Row],[Cell_ID]],Registre_Maintenance[],4,FALSE),"")</f>
        <v/>
      </c>
      <c r="J388" t="str">
        <f>IFERROR(VLOOKUP(Logs_Registre[[#This Row],[Cell_ID]],Registre_Maintenance[],5,FALSE),"")</f>
        <v/>
      </c>
      <c r="K388" t="str">
        <f>IFERROR(VLOOKUP(Logs_Registre[[#This Row],[Cell_ID]],Registre_Maintenance[],6,FALSE),"")</f>
        <v/>
      </c>
    </row>
    <row r="389" spans="1:11" x14ac:dyDescent="0.25">
      <c r="A389" s="1" t="s">
        <v>730</v>
      </c>
      <c r="B389" s="1" t="s">
        <v>766</v>
      </c>
      <c r="C389" s="2">
        <v>45219.840277777781</v>
      </c>
      <c r="D389" s="3">
        <v>45219.840277777781</v>
      </c>
      <c r="E389">
        <v>92</v>
      </c>
      <c r="F389" s="1" t="s">
        <v>732</v>
      </c>
      <c r="G389" t="str">
        <f>IFERROR(VLOOKUP(Logs_Registre[[#This Row],[Cell_ID]],Registre_Maintenance[],2,FALSE),"")</f>
        <v/>
      </c>
      <c r="H389" t="str">
        <f>IFERROR(VLOOKUP(Logs_Registre[[#This Row],[Cell_ID]],Registre_Maintenance[],3,FALSE),"")</f>
        <v/>
      </c>
      <c r="I389" t="str">
        <f>IFERROR(VLOOKUP(Logs_Registre[[#This Row],[Cell_ID]],Registre_Maintenance[],4,FALSE),"")</f>
        <v/>
      </c>
      <c r="J389" t="str">
        <f>IFERROR(VLOOKUP(Logs_Registre[[#This Row],[Cell_ID]],Registre_Maintenance[],5,FALSE),"")</f>
        <v/>
      </c>
      <c r="K389" t="str">
        <f>IFERROR(VLOOKUP(Logs_Registre[[#This Row],[Cell_ID]],Registre_Maintenance[],6,FALSE),"")</f>
        <v/>
      </c>
    </row>
    <row r="390" spans="1:11" x14ac:dyDescent="0.25">
      <c r="A390" s="1" t="s">
        <v>1086</v>
      </c>
      <c r="B390" s="1" t="s">
        <v>1113</v>
      </c>
      <c r="C390" s="2">
        <v>45219.834027777782</v>
      </c>
      <c r="D390" s="3">
        <v>45219.834027777782</v>
      </c>
      <c r="E390">
        <v>64</v>
      </c>
      <c r="F390" s="1" t="s">
        <v>737</v>
      </c>
      <c r="G390" t="str">
        <f>IFERROR(VLOOKUP(Logs_Registre[[#This Row],[Cell_ID]],Registre_Maintenance[],2,FALSE),"")</f>
        <v/>
      </c>
      <c r="H390" t="str">
        <f>IFERROR(VLOOKUP(Logs_Registre[[#This Row],[Cell_ID]],Registre_Maintenance[],3,FALSE),"")</f>
        <v/>
      </c>
      <c r="I390" t="str">
        <f>IFERROR(VLOOKUP(Logs_Registre[[#This Row],[Cell_ID]],Registre_Maintenance[],4,FALSE),"")</f>
        <v/>
      </c>
      <c r="J390" t="str">
        <f>IFERROR(VLOOKUP(Logs_Registre[[#This Row],[Cell_ID]],Registre_Maintenance[],5,FALSE),"")</f>
        <v/>
      </c>
      <c r="K390" t="str">
        <f>IFERROR(VLOOKUP(Logs_Registre[[#This Row],[Cell_ID]],Registre_Maintenance[],6,FALSE),"")</f>
        <v/>
      </c>
    </row>
    <row r="391" spans="1:11" x14ac:dyDescent="0.25">
      <c r="A391" s="1" t="s">
        <v>1193</v>
      </c>
      <c r="B391" s="1" t="s">
        <v>772</v>
      </c>
      <c r="C391" s="2">
        <v>45219.826388888891</v>
      </c>
      <c r="D391" s="3">
        <v>45219.826388888891</v>
      </c>
      <c r="E391">
        <v>93</v>
      </c>
      <c r="F391" s="1" t="s">
        <v>737</v>
      </c>
      <c r="G391" t="str">
        <f>IFERROR(VLOOKUP(Logs_Registre[[#This Row],[Cell_ID]],Registre_Maintenance[],2,FALSE),"")</f>
        <v/>
      </c>
      <c r="H391" t="str">
        <f>IFERROR(VLOOKUP(Logs_Registre[[#This Row],[Cell_ID]],Registre_Maintenance[],3,FALSE),"")</f>
        <v/>
      </c>
      <c r="I391" t="str">
        <f>IFERROR(VLOOKUP(Logs_Registre[[#This Row],[Cell_ID]],Registre_Maintenance[],4,FALSE),"")</f>
        <v/>
      </c>
      <c r="J391" t="str">
        <f>IFERROR(VLOOKUP(Logs_Registre[[#This Row],[Cell_ID]],Registre_Maintenance[],5,FALSE),"")</f>
        <v/>
      </c>
      <c r="K391" t="str">
        <f>IFERROR(VLOOKUP(Logs_Registre[[#This Row],[Cell_ID]],Registre_Maintenance[],6,FALSE),"")</f>
        <v/>
      </c>
    </row>
    <row r="392" spans="1:11" x14ac:dyDescent="0.25">
      <c r="A392" s="1" t="s">
        <v>1330</v>
      </c>
      <c r="B392" s="1" t="s">
        <v>1235</v>
      </c>
      <c r="C392" s="2">
        <v>45219.821527777778</v>
      </c>
      <c r="D392" s="3">
        <v>45219.821527777778</v>
      </c>
      <c r="E392">
        <v>31</v>
      </c>
      <c r="F392" s="1" t="s">
        <v>735</v>
      </c>
      <c r="G392" t="str">
        <f>IFERROR(VLOOKUP(Logs_Registre[[#This Row],[Cell_ID]],Registre_Maintenance[],2,FALSE),"")</f>
        <v/>
      </c>
      <c r="H392" t="str">
        <f>IFERROR(VLOOKUP(Logs_Registre[[#This Row],[Cell_ID]],Registre_Maintenance[],3,FALSE),"")</f>
        <v/>
      </c>
      <c r="I392" t="str">
        <f>IFERROR(VLOOKUP(Logs_Registre[[#This Row],[Cell_ID]],Registre_Maintenance[],4,FALSE),"")</f>
        <v/>
      </c>
      <c r="J392" t="str">
        <f>IFERROR(VLOOKUP(Logs_Registre[[#This Row],[Cell_ID]],Registre_Maintenance[],5,FALSE),"")</f>
        <v/>
      </c>
      <c r="K392" t="str">
        <f>IFERROR(VLOOKUP(Logs_Registre[[#This Row],[Cell_ID]],Registre_Maintenance[],6,FALSE),"")</f>
        <v/>
      </c>
    </row>
    <row r="393" spans="1:11" x14ac:dyDescent="0.25">
      <c r="A393" s="1" t="s">
        <v>1288</v>
      </c>
      <c r="B393" s="1" t="s">
        <v>914</v>
      </c>
      <c r="C393" s="2">
        <v>45219.818749999999</v>
      </c>
      <c r="D393" s="3">
        <v>45219.818749999999</v>
      </c>
      <c r="E393">
        <v>99</v>
      </c>
      <c r="F393" s="1" t="s">
        <v>737</v>
      </c>
      <c r="G393" t="str">
        <f>IFERROR(VLOOKUP(Logs_Registre[[#This Row],[Cell_ID]],Registre_Maintenance[],2,FALSE),"")</f>
        <v/>
      </c>
      <c r="H393" t="str">
        <f>IFERROR(VLOOKUP(Logs_Registre[[#This Row],[Cell_ID]],Registre_Maintenance[],3,FALSE),"")</f>
        <v/>
      </c>
      <c r="I393" t="str">
        <f>IFERROR(VLOOKUP(Logs_Registre[[#This Row],[Cell_ID]],Registre_Maintenance[],4,FALSE),"")</f>
        <v/>
      </c>
      <c r="J393" t="str">
        <f>IFERROR(VLOOKUP(Logs_Registre[[#This Row],[Cell_ID]],Registre_Maintenance[],5,FALSE),"")</f>
        <v/>
      </c>
      <c r="K393" t="str">
        <f>IFERROR(VLOOKUP(Logs_Registre[[#This Row],[Cell_ID]],Registre_Maintenance[],6,FALSE),"")</f>
        <v/>
      </c>
    </row>
    <row r="394" spans="1:11" x14ac:dyDescent="0.25">
      <c r="A394" s="1" t="s">
        <v>902</v>
      </c>
      <c r="B394" s="1" t="s">
        <v>912</v>
      </c>
      <c r="C394" s="2">
        <v>45219.801388888889</v>
      </c>
      <c r="D394" s="3">
        <v>45219.801388888889</v>
      </c>
      <c r="E394">
        <v>65</v>
      </c>
      <c r="F394" s="1" t="s">
        <v>735</v>
      </c>
      <c r="G394" t="str">
        <f>IFERROR(VLOOKUP(Logs_Registre[[#This Row],[Cell_ID]],Registre_Maintenance[],2,FALSE),"")</f>
        <v>Tshuapa</v>
      </c>
      <c r="H394">
        <f>IFERROR(VLOOKUP(Logs_Registre[[#This Row],[Cell_ID]],Registre_Maintenance[],3,FALSE),"")</f>
        <v>0.52897499999999997</v>
      </c>
      <c r="I394">
        <f>IFERROR(VLOOKUP(Logs_Registre[[#This Row],[Cell_ID]],Registre_Maintenance[],4,FALSE),"")</f>
        <v>13.849651</v>
      </c>
      <c r="J394" t="str">
        <f>IFERROR(VLOOKUP(Logs_Registre[[#This Row],[Cell_ID]],Registre_Maintenance[],5,FALSE),"")</f>
        <v>3G</v>
      </c>
      <c r="K394" t="str">
        <f>IFERROR(VLOOKUP(Logs_Registre[[#This Row],[Cell_ID]],Registre_Maintenance[],6,FALSE),"")</f>
        <v>ZTE</v>
      </c>
    </row>
    <row r="395" spans="1:11" x14ac:dyDescent="0.25">
      <c r="A395" s="1" t="s">
        <v>1261</v>
      </c>
      <c r="B395" s="1" t="s">
        <v>1263</v>
      </c>
      <c r="C395" s="2">
        <v>45219.793749999997</v>
      </c>
      <c r="D395" s="3">
        <v>45219.793749999997</v>
      </c>
      <c r="E395">
        <v>43</v>
      </c>
      <c r="F395" s="1" t="s">
        <v>735</v>
      </c>
      <c r="G395" t="str">
        <f>IFERROR(VLOOKUP(Logs_Registre[[#This Row],[Cell_ID]],Registre_Maintenance[],2,FALSE),"")</f>
        <v/>
      </c>
      <c r="H395" t="str">
        <f>IFERROR(VLOOKUP(Logs_Registre[[#This Row],[Cell_ID]],Registre_Maintenance[],3,FALSE),"")</f>
        <v/>
      </c>
      <c r="I395" t="str">
        <f>IFERROR(VLOOKUP(Logs_Registre[[#This Row],[Cell_ID]],Registre_Maintenance[],4,FALSE),"")</f>
        <v/>
      </c>
      <c r="J395" t="str">
        <f>IFERROR(VLOOKUP(Logs_Registre[[#This Row],[Cell_ID]],Registre_Maintenance[],5,FALSE),"")</f>
        <v/>
      </c>
      <c r="K395" t="str">
        <f>IFERROR(VLOOKUP(Logs_Registre[[#This Row],[Cell_ID]],Registre_Maintenance[],6,FALSE),"")</f>
        <v/>
      </c>
    </row>
    <row r="396" spans="1:11" x14ac:dyDescent="0.25">
      <c r="A396" s="1" t="s">
        <v>1165</v>
      </c>
      <c r="B396" s="1" t="s">
        <v>957</v>
      </c>
      <c r="C396" s="2">
        <v>45219.793055555558</v>
      </c>
      <c r="D396" s="3">
        <v>45219.793055555558</v>
      </c>
      <c r="E396">
        <v>9</v>
      </c>
      <c r="F396" s="1" t="s">
        <v>735</v>
      </c>
      <c r="G396" t="str">
        <f>IFERROR(VLOOKUP(Logs_Registre[[#This Row],[Cell_ID]],Registre_Maintenance[],2,FALSE),"")</f>
        <v/>
      </c>
      <c r="H396" t="str">
        <f>IFERROR(VLOOKUP(Logs_Registre[[#This Row],[Cell_ID]],Registre_Maintenance[],3,FALSE),"")</f>
        <v/>
      </c>
      <c r="I396" t="str">
        <f>IFERROR(VLOOKUP(Logs_Registre[[#This Row],[Cell_ID]],Registre_Maintenance[],4,FALSE),"")</f>
        <v/>
      </c>
      <c r="J396" t="str">
        <f>IFERROR(VLOOKUP(Logs_Registre[[#This Row],[Cell_ID]],Registre_Maintenance[],5,FALSE),"")</f>
        <v/>
      </c>
      <c r="K396" t="str">
        <f>IFERROR(VLOOKUP(Logs_Registre[[#This Row],[Cell_ID]],Registre_Maintenance[],6,FALSE),"")</f>
        <v/>
      </c>
    </row>
    <row r="397" spans="1:11" x14ac:dyDescent="0.25">
      <c r="A397" s="1" t="s">
        <v>1219</v>
      </c>
      <c r="B397" s="1" t="s">
        <v>845</v>
      </c>
      <c r="C397" s="2">
        <v>45219.753472222219</v>
      </c>
      <c r="D397" s="3">
        <v>45219.753472222219</v>
      </c>
      <c r="E397">
        <v>77</v>
      </c>
      <c r="F397" s="1" t="s">
        <v>732</v>
      </c>
      <c r="G397" t="str">
        <f>IFERROR(VLOOKUP(Logs_Registre[[#This Row],[Cell_ID]],Registre_Maintenance[],2,FALSE),"")</f>
        <v/>
      </c>
      <c r="H397" t="str">
        <f>IFERROR(VLOOKUP(Logs_Registre[[#This Row],[Cell_ID]],Registre_Maintenance[],3,FALSE),"")</f>
        <v/>
      </c>
      <c r="I397" t="str">
        <f>IFERROR(VLOOKUP(Logs_Registre[[#This Row],[Cell_ID]],Registre_Maintenance[],4,FALSE),"")</f>
        <v/>
      </c>
      <c r="J397" t="str">
        <f>IFERROR(VLOOKUP(Logs_Registre[[#This Row],[Cell_ID]],Registre_Maintenance[],5,FALSE),"")</f>
        <v/>
      </c>
      <c r="K397" t="str">
        <f>IFERROR(VLOOKUP(Logs_Registre[[#This Row],[Cell_ID]],Registre_Maintenance[],6,FALSE),"")</f>
        <v/>
      </c>
    </row>
    <row r="398" spans="1:11" x14ac:dyDescent="0.25">
      <c r="A398" s="1" t="s">
        <v>1024</v>
      </c>
      <c r="B398" s="1" t="s">
        <v>1028</v>
      </c>
      <c r="C398" s="2">
        <v>45219.683333333327</v>
      </c>
      <c r="D398" s="3">
        <v>45219.683333333327</v>
      </c>
      <c r="E398">
        <v>99</v>
      </c>
      <c r="F398" s="1" t="s">
        <v>735</v>
      </c>
      <c r="G398" t="str">
        <f>IFERROR(VLOOKUP(Logs_Registre[[#This Row],[Cell_ID]],Registre_Maintenance[],2,FALSE),"")</f>
        <v>Kongo-Central</v>
      </c>
      <c r="H398">
        <f>IFERROR(VLOOKUP(Logs_Registre[[#This Row],[Cell_ID]],Registre_Maintenance[],3,FALSE),"")</f>
        <v>-9.5840350000000001</v>
      </c>
      <c r="I398">
        <f>IFERROR(VLOOKUP(Logs_Registre[[#This Row],[Cell_ID]],Registre_Maintenance[],4,FALSE),"")</f>
        <v>15.966024000000001</v>
      </c>
      <c r="J398" t="str">
        <f>IFERROR(VLOOKUP(Logs_Registre[[#This Row],[Cell_ID]],Registre_Maintenance[],5,FALSE),"")</f>
        <v>5G</v>
      </c>
      <c r="K398" t="str">
        <f>IFERROR(VLOOKUP(Logs_Registre[[#This Row],[Cell_ID]],Registre_Maintenance[],6,FALSE),"")</f>
        <v>Nokia</v>
      </c>
    </row>
    <row r="399" spans="1:11" x14ac:dyDescent="0.25">
      <c r="A399" s="1" t="s">
        <v>1308</v>
      </c>
      <c r="B399" s="1" t="s">
        <v>1017</v>
      </c>
      <c r="C399" s="2">
        <v>45219.65625</v>
      </c>
      <c r="D399" s="3">
        <v>45219.65625</v>
      </c>
      <c r="E399">
        <v>118</v>
      </c>
      <c r="F399" s="1" t="s">
        <v>735</v>
      </c>
      <c r="G399" t="str">
        <f>IFERROR(VLOOKUP(Logs_Registre[[#This Row],[Cell_ID]],Registre_Maintenance[],2,FALSE),"")</f>
        <v>Tshuapa</v>
      </c>
      <c r="H399">
        <f>IFERROR(VLOOKUP(Logs_Registre[[#This Row],[Cell_ID]],Registre_Maintenance[],3,FALSE),"")</f>
        <v>-10.577049000000001</v>
      </c>
      <c r="I399">
        <f>IFERROR(VLOOKUP(Logs_Registre[[#This Row],[Cell_ID]],Registre_Maintenance[],4,FALSE),"")</f>
        <v>23.721854</v>
      </c>
      <c r="J399" t="str">
        <f>IFERROR(VLOOKUP(Logs_Registre[[#This Row],[Cell_ID]],Registre_Maintenance[],5,FALSE),"")</f>
        <v>4G</v>
      </c>
      <c r="K399" t="str">
        <f>IFERROR(VLOOKUP(Logs_Registre[[#This Row],[Cell_ID]],Registre_Maintenance[],6,FALSE),"")</f>
        <v>ZTE</v>
      </c>
    </row>
    <row r="400" spans="1:11" x14ac:dyDescent="0.25">
      <c r="A400" s="1" t="s">
        <v>1114</v>
      </c>
      <c r="B400" s="1" t="s">
        <v>944</v>
      </c>
      <c r="C400" s="2">
        <v>45219.636111111111</v>
      </c>
      <c r="D400" s="3">
        <v>45219.636111111111</v>
      </c>
      <c r="E400">
        <v>49</v>
      </c>
      <c r="F400" s="1" t="s">
        <v>732</v>
      </c>
      <c r="G400" t="str">
        <f>IFERROR(VLOOKUP(Logs_Registre[[#This Row],[Cell_ID]],Registre_Maintenance[],2,FALSE),"")</f>
        <v/>
      </c>
      <c r="H400" t="str">
        <f>IFERROR(VLOOKUP(Logs_Registre[[#This Row],[Cell_ID]],Registre_Maintenance[],3,FALSE),"")</f>
        <v/>
      </c>
      <c r="I400" t="str">
        <f>IFERROR(VLOOKUP(Logs_Registre[[#This Row],[Cell_ID]],Registre_Maintenance[],4,FALSE),"")</f>
        <v/>
      </c>
      <c r="J400" t="str">
        <f>IFERROR(VLOOKUP(Logs_Registre[[#This Row],[Cell_ID]],Registre_Maintenance[],5,FALSE),"")</f>
        <v/>
      </c>
      <c r="K400" t="str">
        <f>IFERROR(VLOOKUP(Logs_Registre[[#This Row],[Cell_ID]],Registre_Maintenance[],6,FALSE),"")</f>
        <v/>
      </c>
    </row>
    <row r="401" spans="1:11" x14ac:dyDescent="0.25">
      <c r="A401" s="1" t="s">
        <v>1114</v>
      </c>
      <c r="B401" s="1" t="s">
        <v>1132</v>
      </c>
      <c r="C401" s="2">
        <v>45219.633333333331</v>
      </c>
      <c r="D401" s="3">
        <v>45219.633333333331</v>
      </c>
      <c r="E401">
        <v>18</v>
      </c>
      <c r="F401" s="1" t="s">
        <v>737</v>
      </c>
      <c r="G401" t="str">
        <f>IFERROR(VLOOKUP(Logs_Registre[[#This Row],[Cell_ID]],Registre_Maintenance[],2,FALSE),"")</f>
        <v/>
      </c>
      <c r="H401" t="str">
        <f>IFERROR(VLOOKUP(Logs_Registre[[#This Row],[Cell_ID]],Registre_Maintenance[],3,FALSE),"")</f>
        <v/>
      </c>
      <c r="I401" t="str">
        <f>IFERROR(VLOOKUP(Logs_Registre[[#This Row],[Cell_ID]],Registre_Maintenance[],4,FALSE),"")</f>
        <v/>
      </c>
      <c r="J401" t="str">
        <f>IFERROR(VLOOKUP(Logs_Registre[[#This Row],[Cell_ID]],Registre_Maintenance[],5,FALSE),"")</f>
        <v/>
      </c>
      <c r="K401" t="str">
        <f>IFERROR(VLOOKUP(Logs_Registre[[#This Row],[Cell_ID]],Registre_Maintenance[],6,FALSE),"")</f>
        <v/>
      </c>
    </row>
    <row r="402" spans="1:11" x14ac:dyDescent="0.25">
      <c r="A402" s="1" t="s">
        <v>1345</v>
      </c>
      <c r="B402" s="1" t="s">
        <v>1285</v>
      </c>
      <c r="C402" s="2">
        <v>45219.569444444453</v>
      </c>
      <c r="D402" s="3">
        <v>45219.569444444453</v>
      </c>
      <c r="E402">
        <v>96</v>
      </c>
      <c r="F402" s="1" t="s">
        <v>732</v>
      </c>
      <c r="G402" t="str">
        <f>IFERROR(VLOOKUP(Logs_Registre[[#This Row],[Cell_ID]],Registre_Maintenance[],2,FALSE),"")</f>
        <v>Kongo-Central</v>
      </c>
      <c r="H402">
        <f>IFERROR(VLOOKUP(Logs_Registre[[#This Row],[Cell_ID]],Registre_Maintenance[],3,FALSE),"")</f>
        <v>-7.1587569999999996</v>
      </c>
      <c r="I402">
        <f>IFERROR(VLOOKUP(Logs_Registre[[#This Row],[Cell_ID]],Registre_Maintenance[],4,FALSE),"")</f>
        <v>18.975141000000001</v>
      </c>
      <c r="J402" t="str">
        <f>IFERROR(VLOOKUP(Logs_Registre[[#This Row],[Cell_ID]],Registre_Maintenance[],5,FALSE),"")</f>
        <v>5G</v>
      </c>
      <c r="K402" t="str">
        <f>IFERROR(VLOOKUP(Logs_Registre[[#This Row],[Cell_ID]],Registre_Maintenance[],6,FALSE),"")</f>
        <v>Ericsson</v>
      </c>
    </row>
    <row r="403" spans="1:11" x14ac:dyDescent="0.25">
      <c r="A403" s="1" t="s">
        <v>1219</v>
      </c>
      <c r="B403" s="1" t="s">
        <v>1139</v>
      </c>
      <c r="C403" s="2">
        <v>45219.527083333327</v>
      </c>
      <c r="D403" s="3">
        <v>45219.527083333327</v>
      </c>
      <c r="E403">
        <v>95</v>
      </c>
      <c r="F403" s="1" t="s">
        <v>732</v>
      </c>
      <c r="G403" t="str">
        <f>IFERROR(VLOOKUP(Logs_Registre[[#This Row],[Cell_ID]],Registre_Maintenance[],2,FALSE),"")</f>
        <v>Haut-Uele</v>
      </c>
      <c r="H403">
        <f>IFERROR(VLOOKUP(Logs_Registre[[#This Row],[Cell_ID]],Registre_Maintenance[],3,FALSE),"")</f>
        <v>-7.1483749999999997</v>
      </c>
      <c r="I403">
        <f>IFERROR(VLOOKUP(Logs_Registre[[#This Row],[Cell_ID]],Registre_Maintenance[],4,FALSE),"")</f>
        <v>26.014271000000001</v>
      </c>
      <c r="J403" t="str">
        <f>IFERROR(VLOOKUP(Logs_Registre[[#This Row],[Cell_ID]],Registre_Maintenance[],5,FALSE),"")</f>
        <v>5G</v>
      </c>
      <c r="K403" t="str">
        <f>IFERROR(VLOOKUP(Logs_Registre[[#This Row],[Cell_ID]],Registre_Maintenance[],6,FALSE),"")</f>
        <v>Huawei</v>
      </c>
    </row>
    <row r="404" spans="1:11" x14ac:dyDescent="0.25">
      <c r="A404" s="1" t="s">
        <v>1114</v>
      </c>
      <c r="B404" s="1" t="s">
        <v>875</v>
      </c>
      <c r="C404" s="2">
        <v>45219.506249999999</v>
      </c>
      <c r="D404" s="3">
        <v>45219.506249999999</v>
      </c>
      <c r="E404">
        <v>41</v>
      </c>
      <c r="F404" s="1" t="s">
        <v>735</v>
      </c>
      <c r="G404" t="str">
        <f>IFERROR(VLOOKUP(Logs_Registre[[#This Row],[Cell_ID]],Registre_Maintenance[],2,FALSE),"")</f>
        <v/>
      </c>
      <c r="H404" t="str">
        <f>IFERROR(VLOOKUP(Logs_Registre[[#This Row],[Cell_ID]],Registre_Maintenance[],3,FALSE),"")</f>
        <v/>
      </c>
      <c r="I404" t="str">
        <f>IFERROR(VLOOKUP(Logs_Registre[[#This Row],[Cell_ID]],Registre_Maintenance[],4,FALSE),"")</f>
        <v/>
      </c>
      <c r="J404" t="str">
        <f>IFERROR(VLOOKUP(Logs_Registre[[#This Row],[Cell_ID]],Registre_Maintenance[],5,FALSE),"")</f>
        <v/>
      </c>
      <c r="K404" t="str">
        <f>IFERROR(VLOOKUP(Logs_Registre[[#This Row],[Cell_ID]],Registre_Maintenance[],6,FALSE),"")</f>
        <v/>
      </c>
    </row>
    <row r="405" spans="1:11" x14ac:dyDescent="0.25">
      <c r="A405" s="1" t="s">
        <v>1138</v>
      </c>
      <c r="B405" s="1" t="s">
        <v>739</v>
      </c>
      <c r="C405" s="2">
        <v>45219.476388888892</v>
      </c>
      <c r="D405" s="3">
        <v>45219.476388888892</v>
      </c>
      <c r="E405">
        <v>57</v>
      </c>
      <c r="F405" s="1" t="s">
        <v>732</v>
      </c>
      <c r="G405" t="str">
        <f>IFERROR(VLOOKUP(Logs_Registre[[#This Row],[Cell_ID]],Registre_Maintenance[],2,FALSE),"")</f>
        <v>Kongo-Central</v>
      </c>
      <c r="H405">
        <f>IFERROR(VLOOKUP(Logs_Registre[[#This Row],[Cell_ID]],Registre_Maintenance[],3,FALSE),"")</f>
        <v>-2.8211520000000001</v>
      </c>
      <c r="I405">
        <f>IFERROR(VLOOKUP(Logs_Registre[[#This Row],[Cell_ID]],Registre_Maintenance[],4,FALSE),"")</f>
        <v>20.651419000000001</v>
      </c>
      <c r="J405" t="str">
        <f>IFERROR(VLOOKUP(Logs_Registre[[#This Row],[Cell_ID]],Registre_Maintenance[],5,FALSE),"")</f>
        <v>5G</v>
      </c>
      <c r="K405" t="str">
        <f>IFERROR(VLOOKUP(Logs_Registre[[#This Row],[Cell_ID]],Registre_Maintenance[],6,FALSE),"")</f>
        <v>Ericsson</v>
      </c>
    </row>
    <row r="406" spans="1:11" x14ac:dyDescent="0.25">
      <c r="A406" s="1" t="s">
        <v>1086</v>
      </c>
      <c r="B406" s="1" t="s">
        <v>1110</v>
      </c>
      <c r="C406" s="2">
        <v>45219.453472222223</v>
      </c>
      <c r="D406" s="3">
        <v>45219.453472222223</v>
      </c>
      <c r="E406">
        <v>52</v>
      </c>
      <c r="F406" s="1" t="s">
        <v>735</v>
      </c>
      <c r="G406" t="str">
        <f>IFERROR(VLOOKUP(Logs_Registre[[#This Row],[Cell_ID]],Registre_Maintenance[],2,FALSE),"")</f>
        <v/>
      </c>
      <c r="H406" t="str">
        <f>IFERROR(VLOOKUP(Logs_Registre[[#This Row],[Cell_ID]],Registre_Maintenance[],3,FALSE),"")</f>
        <v/>
      </c>
      <c r="I406" t="str">
        <f>IFERROR(VLOOKUP(Logs_Registre[[#This Row],[Cell_ID]],Registre_Maintenance[],4,FALSE),"")</f>
        <v/>
      </c>
      <c r="J406" t="str">
        <f>IFERROR(VLOOKUP(Logs_Registre[[#This Row],[Cell_ID]],Registre_Maintenance[],5,FALSE),"")</f>
        <v/>
      </c>
      <c r="K406" t="str">
        <f>IFERROR(VLOOKUP(Logs_Registre[[#This Row],[Cell_ID]],Registre_Maintenance[],6,FALSE),"")</f>
        <v/>
      </c>
    </row>
    <row r="407" spans="1:11" x14ac:dyDescent="0.25">
      <c r="A407" s="1" t="s">
        <v>1382</v>
      </c>
      <c r="B407" s="1" t="s">
        <v>1388</v>
      </c>
      <c r="C407" s="2">
        <v>45219.438888888893</v>
      </c>
      <c r="D407" s="3">
        <v>45219.438888888893</v>
      </c>
      <c r="E407">
        <v>105</v>
      </c>
      <c r="F407" s="1" t="s">
        <v>735</v>
      </c>
      <c r="G407" t="str">
        <f>IFERROR(VLOOKUP(Logs_Registre[[#This Row],[Cell_ID]],Registre_Maintenance[],2,FALSE),"")</f>
        <v>Sud-Ubangi</v>
      </c>
      <c r="H407">
        <f>IFERROR(VLOOKUP(Logs_Registre[[#This Row],[Cell_ID]],Registre_Maintenance[],3,FALSE),"")</f>
        <v>-0.54908599999999996</v>
      </c>
      <c r="I407">
        <f>IFERROR(VLOOKUP(Logs_Registre[[#This Row],[Cell_ID]],Registre_Maintenance[],4,FALSE),"")</f>
        <v>14.816867</v>
      </c>
      <c r="J407" t="str">
        <f>IFERROR(VLOOKUP(Logs_Registre[[#This Row],[Cell_ID]],Registre_Maintenance[],5,FALSE),"")</f>
        <v>5G</v>
      </c>
      <c r="K407" t="str">
        <f>IFERROR(VLOOKUP(Logs_Registre[[#This Row],[Cell_ID]],Registre_Maintenance[],6,FALSE),"")</f>
        <v>ZTE</v>
      </c>
    </row>
    <row r="408" spans="1:11" x14ac:dyDescent="0.25">
      <c r="A408" s="1" t="s">
        <v>823</v>
      </c>
      <c r="B408" s="1" t="s">
        <v>855</v>
      </c>
      <c r="C408" s="2">
        <v>45219.420138888891</v>
      </c>
      <c r="D408" s="3">
        <v>45219.420138888891</v>
      </c>
      <c r="E408">
        <v>63</v>
      </c>
      <c r="F408" s="1" t="s">
        <v>737</v>
      </c>
      <c r="G408" t="str">
        <f>IFERROR(VLOOKUP(Logs_Registre[[#This Row],[Cell_ID]],Registre_Maintenance[],2,FALSE),"")</f>
        <v>Lomami</v>
      </c>
      <c r="H408">
        <f>IFERROR(VLOOKUP(Logs_Registre[[#This Row],[Cell_ID]],Registre_Maintenance[],3,FALSE),"")</f>
        <v>-9.9875139999999991</v>
      </c>
      <c r="I408">
        <f>IFERROR(VLOOKUP(Logs_Registre[[#This Row],[Cell_ID]],Registre_Maintenance[],4,FALSE),"")</f>
        <v>12.013676999999999</v>
      </c>
      <c r="J408" t="str">
        <f>IFERROR(VLOOKUP(Logs_Registre[[#This Row],[Cell_ID]],Registre_Maintenance[],5,FALSE),"")</f>
        <v>3G</v>
      </c>
      <c r="K408" t="str">
        <f>IFERROR(VLOOKUP(Logs_Registre[[#This Row],[Cell_ID]],Registre_Maintenance[],6,FALSE),"")</f>
        <v>ZTE</v>
      </c>
    </row>
    <row r="409" spans="1:11" x14ac:dyDescent="0.25">
      <c r="A409" s="1" t="s">
        <v>1138</v>
      </c>
      <c r="B409" s="1" t="s">
        <v>750</v>
      </c>
      <c r="C409" s="2">
        <v>45219.301388888889</v>
      </c>
      <c r="D409" s="3">
        <v>45219.301388888889</v>
      </c>
      <c r="E409">
        <v>65</v>
      </c>
      <c r="F409" s="1" t="s">
        <v>732</v>
      </c>
      <c r="G409" t="str">
        <f>IFERROR(VLOOKUP(Logs_Registre[[#This Row],[Cell_ID]],Registre_Maintenance[],2,FALSE),"")</f>
        <v/>
      </c>
      <c r="H409" t="str">
        <f>IFERROR(VLOOKUP(Logs_Registre[[#This Row],[Cell_ID]],Registre_Maintenance[],3,FALSE),"")</f>
        <v/>
      </c>
      <c r="I409" t="str">
        <f>IFERROR(VLOOKUP(Logs_Registre[[#This Row],[Cell_ID]],Registre_Maintenance[],4,FALSE),"")</f>
        <v/>
      </c>
      <c r="J409" t="str">
        <f>IFERROR(VLOOKUP(Logs_Registre[[#This Row],[Cell_ID]],Registre_Maintenance[],5,FALSE),"")</f>
        <v/>
      </c>
      <c r="K409" t="str">
        <f>IFERROR(VLOOKUP(Logs_Registre[[#This Row],[Cell_ID]],Registre_Maintenance[],6,FALSE),"")</f>
        <v/>
      </c>
    </row>
    <row r="410" spans="1:11" x14ac:dyDescent="0.25">
      <c r="A410" s="1" t="s">
        <v>1024</v>
      </c>
      <c r="B410" s="1" t="s">
        <v>995</v>
      </c>
      <c r="C410" s="2">
        <v>45219.181250000001</v>
      </c>
      <c r="D410" s="3">
        <v>45219.181250000001</v>
      </c>
      <c r="E410">
        <v>97</v>
      </c>
      <c r="F410" s="1" t="s">
        <v>735</v>
      </c>
      <c r="G410" t="str">
        <f>IFERROR(VLOOKUP(Logs_Registre[[#This Row],[Cell_ID]],Registre_Maintenance[],2,FALSE),"")</f>
        <v>Nord-Kivu</v>
      </c>
      <c r="H410">
        <f>IFERROR(VLOOKUP(Logs_Registre[[#This Row],[Cell_ID]],Registre_Maintenance[],3,FALSE),"")</f>
        <v>-4.1754939999999996</v>
      </c>
      <c r="I410">
        <f>IFERROR(VLOOKUP(Logs_Registre[[#This Row],[Cell_ID]],Registre_Maintenance[],4,FALSE),"")</f>
        <v>16.704664999999999</v>
      </c>
      <c r="J410" t="str">
        <f>IFERROR(VLOOKUP(Logs_Registre[[#This Row],[Cell_ID]],Registre_Maintenance[],5,FALSE),"")</f>
        <v>3G</v>
      </c>
      <c r="K410" t="str">
        <f>IFERROR(VLOOKUP(Logs_Registre[[#This Row],[Cell_ID]],Registre_Maintenance[],6,FALSE),"")</f>
        <v>Ericsson</v>
      </c>
    </row>
    <row r="411" spans="1:11" x14ac:dyDescent="0.25">
      <c r="A411" s="1" t="s">
        <v>779</v>
      </c>
      <c r="B411" s="1" t="s">
        <v>809</v>
      </c>
      <c r="C411" s="2">
        <v>45219.113194444442</v>
      </c>
      <c r="D411" s="3">
        <v>45219.113194444442</v>
      </c>
      <c r="E411">
        <v>19</v>
      </c>
      <c r="F411" s="1" t="s">
        <v>732</v>
      </c>
      <c r="G411" t="str">
        <f>IFERROR(VLOOKUP(Logs_Registre[[#This Row],[Cell_ID]],Registre_Maintenance[],2,FALSE),"")</f>
        <v>Kwango</v>
      </c>
      <c r="H411">
        <f>IFERROR(VLOOKUP(Logs_Registre[[#This Row],[Cell_ID]],Registre_Maintenance[],3,FALSE),"")</f>
        <v>-9.7712979999999998</v>
      </c>
      <c r="I411">
        <f>IFERROR(VLOOKUP(Logs_Registre[[#This Row],[Cell_ID]],Registre_Maintenance[],4,FALSE),"")</f>
        <v>19.827895999999999</v>
      </c>
      <c r="J411" t="str">
        <f>IFERROR(VLOOKUP(Logs_Registre[[#This Row],[Cell_ID]],Registre_Maintenance[],5,FALSE),"")</f>
        <v>3G</v>
      </c>
      <c r="K411" t="str">
        <f>IFERROR(VLOOKUP(Logs_Registre[[#This Row],[Cell_ID]],Registre_Maintenance[],6,FALSE),"")</f>
        <v>ZTE</v>
      </c>
    </row>
    <row r="412" spans="1:11" x14ac:dyDescent="0.25">
      <c r="A412" s="1" t="s">
        <v>1138</v>
      </c>
      <c r="B412" s="1" t="s">
        <v>1153</v>
      </c>
      <c r="C412" s="2">
        <v>45219.106249999997</v>
      </c>
      <c r="D412" s="3">
        <v>45219.106249999997</v>
      </c>
      <c r="E412">
        <v>87</v>
      </c>
      <c r="F412" s="1" t="s">
        <v>735</v>
      </c>
      <c r="G412" t="str">
        <f>IFERROR(VLOOKUP(Logs_Registre[[#This Row],[Cell_ID]],Registre_Maintenance[],2,FALSE),"")</f>
        <v/>
      </c>
      <c r="H412" t="str">
        <f>IFERROR(VLOOKUP(Logs_Registre[[#This Row],[Cell_ID]],Registre_Maintenance[],3,FALSE),"")</f>
        <v/>
      </c>
      <c r="I412" t="str">
        <f>IFERROR(VLOOKUP(Logs_Registre[[#This Row],[Cell_ID]],Registre_Maintenance[],4,FALSE),"")</f>
        <v/>
      </c>
      <c r="J412" t="str">
        <f>IFERROR(VLOOKUP(Logs_Registre[[#This Row],[Cell_ID]],Registre_Maintenance[],5,FALSE),"")</f>
        <v/>
      </c>
      <c r="K412" t="str">
        <f>IFERROR(VLOOKUP(Logs_Registre[[#This Row],[Cell_ID]],Registre_Maintenance[],6,FALSE),"")</f>
        <v/>
      </c>
    </row>
    <row r="413" spans="1:11" x14ac:dyDescent="0.25">
      <c r="A413" s="1" t="s">
        <v>823</v>
      </c>
      <c r="B413" s="1" t="s">
        <v>860</v>
      </c>
      <c r="C413" s="2">
        <v>45219.103472222218</v>
      </c>
      <c r="D413" s="3">
        <v>45219.103472222218</v>
      </c>
      <c r="E413">
        <v>72</v>
      </c>
      <c r="F413" s="1" t="s">
        <v>735</v>
      </c>
      <c r="G413" t="str">
        <f>IFERROR(VLOOKUP(Logs_Registre[[#This Row],[Cell_ID]],Registre_Maintenance[],2,FALSE),"")</f>
        <v>Lomami</v>
      </c>
      <c r="H413">
        <f>IFERROR(VLOOKUP(Logs_Registre[[#This Row],[Cell_ID]],Registre_Maintenance[],3,FALSE),"")</f>
        <v>-5.7035130000000001</v>
      </c>
      <c r="I413">
        <f>IFERROR(VLOOKUP(Logs_Registre[[#This Row],[Cell_ID]],Registre_Maintenance[],4,FALSE),"")</f>
        <v>14.331479</v>
      </c>
      <c r="J413" t="str">
        <f>IFERROR(VLOOKUP(Logs_Registre[[#This Row],[Cell_ID]],Registre_Maintenance[],5,FALSE),"")</f>
        <v>5G</v>
      </c>
      <c r="K413" t="str">
        <f>IFERROR(VLOOKUP(Logs_Registre[[#This Row],[Cell_ID]],Registre_Maintenance[],6,FALSE),"")</f>
        <v>Nokia</v>
      </c>
    </row>
    <row r="414" spans="1:11" x14ac:dyDescent="0.25">
      <c r="A414" s="1" t="s">
        <v>779</v>
      </c>
      <c r="B414" s="1" t="s">
        <v>813</v>
      </c>
      <c r="C414" s="2">
        <v>45219.101388888892</v>
      </c>
      <c r="D414" s="3">
        <v>45219.101388888892</v>
      </c>
      <c r="E414">
        <v>75</v>
      </c>
      <c r="F414" s="1" t="s">
        <v>732</v>
      </c>
      <c r="G414" t="str">
        <f>IFERROR(VLOOKUP(Logs_Registre[[#This Row],[Cell_ID]],Registre_Maintenance[],2,FALSE),"")</f>
        <v/>
      </c>
      <c r="H414" t="str">
        <f>IFERROR(VLOOKUP(Logs_Registre[[#This Row],[Cell_ID]],Registre_Maintenance[],3,FALSE),"")</f>
        <v/>
      </c>
      <c r="I414" t="str">
        <f>IFERROR(VLOOKUP(Logs_Registre[[#This Row],[Cell_ID]],Registre_Maintenance[],4,FALSE),"")</f>
        <v/>
      </c>
      <c r="J414" t="str">
        <f>IFERROR(VLOOKUP(Logs_Registre[[#This Row],[Cell_ID]],Registre_Maintenance[],5,FALSE),"")</f>
        <v/>
      </c>
      <c r="K414" t="str">
        <f>IFERROR(VLOOKUP(Logs_Registre[[#This Row],[Cell_ID]],Registre_Maintenance[],6,FALSE),"")</f>
        <v/>
      </c>
    </row>
    <row r="415" spans="1:11" x14ac:dyDescent="0.25">
      <c r="A415" s="1" t="s">
        <v>1404</v>
      </c>
      <c r="B415" s="1" t="s">
        <v>901</v>
      </c>
      <c r="C415" s="2">
        <v>45219.095833333333</v>
      </c>
      <c r="D415" s="3">
        <v>45219.095833333333</v>
      </c>
      <c r="E415">
        <v>113</v>
      </c>
      <c r="F415" s="1" t="s">
        <v>737</v>
      </c>
      <c r="G415" t="str">
        <f>IFERROR(VLOOKUP(Logs_Registre[[#This Row],[Cell_ID]],Registre_Maintenance[],2,FALSE),"")</f>
        <v>Bas-Uele</v>
      </c>
      <c r="H415">
        <f>IFERROR(VLOOKUP(Logs_Registre[[#This Row],[Cell_ID]],Registre_Maintenance[],3,FALSE),"")</f>
        <v>-3.6945459999999999</v>
      </c>
      <c r="I415">
        <f>IFERROR(VLOOKUP(Logs_Registre[[#This Row],[Cell_ID]],Registre_Maintenance[],4,FALSE),"")</f>
        <v>16.809108999999999</v>
      </c>
      <c r="J415" t="str">
        <f>IFERROR(VLOOKUP(Logs_Registre[[#This Row],[Cell_ID]],Registre_Maintenance[],5,FALSE),"")</f>
        <v>5G</v>
      </c>
      <c r="K415" t="str">
        <f>IFERROR(VLOOKUP(Logs_Registre[[#This Row],[Cell_ID]],Registre_Maintenance[],6,FALSE),"")</f>
        <v>ZTE</v>
      </c>
    </row>
    <row r="416" spans="1:11" x14ac:dyDescent="0.25">
      <c r="A416" s="1" t="s">
        <v>1024</v>
      </c>
      <c r="B416" s="1" t="s">
        <v>1040</v>
      </c>
      <c r="C416" s="2">
        <v>45219.076388888891</v>
      </c>
      <c r="D416" s="3">
        <v>45219.076388888891</v>
      </c>
      <c r="E416">
        <v>93</v>
      </c>
      <c r="F416" s="1" t="s">
        <v>737</v>
      </c>
      <c r="G416" t="str">
        <f>IFERROR(VLOOKUP(Logs_Registre[[#This Row],[Cell_ID]],Registre_Maintenance[],2,FALSE),"")</f>
        <v/>
      </c>
      <c r="H416" t="str">
        <f>IFERROR(VLOOKUP(Logs_Registre[[#This Row],[Cell_ID]],Registre_Maintenance[],3,FALSE),"")</f>
        <v/>
      </c>
      <c r="I416" t="str">
        <f>IFERROR(VLOOKUP(Logs_Registre[[#This Row],[Cell_ID]],Registre_Maintenance[],4,FALSE),"")</f>
        <v/>
      </c>
      <c r="J416" t="str">
        <f>IFERROR(VLOOKUP(Logs_Registre[[#This Row],[Cell_ID]],Registre_Maintenance[],5,FALSE),"")</f>
        <v/>
      </c>
      <c r="K416" t="str">
        <f>IFERROR(VLOOKUP(Logs_Registre[[#This Row],[Cell_ID]],Registre_Maintenance[],6,FALSE),"")</f>
        <v/>
      </c>
    </row>
    <row r="417" spans="1:11" x14ac:dyDescent="0.25">
      <c r="A417" s="1" t="s">
        <v>1361</v>
      </c>
      <c r="B417" s="1" t="s">
        <v>895</v>
      </c>
      <c r="C417" s="2">
        <v>45219.041666666657</v>
      </c>
      <c r="D417" s="3">
        <v>45219.041666666657</v>
      </c>
      <c r="E417">
        <v>100</v>
      </c>
      <c r="F417" s="1" t="s">
        <v>737</v>
      </c>
      <c r="G417" t="str">
        <f>IFERROR(VLOOKUP(Logs_Registre[[#This Row],[Cell_ID]],Registre_Maintenance[],2,FALSE),"")</f>
        <v/>
      </c>
      <c r="H417" t="str">
        <f>IFERROR(VLOOKUP(Logs_Registre[[#This Row],[Cell_ID]],Registre_Maintenance[],3,FALSE),"")</f>
        <v/>
      </c>
      <c r="I417" t="str">
        <f>IFERROR(VLOOKUP(Logs_Registre[[#This Row],[Cell_ID]],Registre_Maintenance[],4,FALSE),"")</f>
        <v/>
      </c>
      <c r="J417" t="str">
        <f>IFERROR(VLOOKUP(Logs_Registre[[#This Row],[Cell_ID]],Registre_Maintenance[],5,FALSE),"")</f>
        <v/>
      </c>
      <c r="K417" t="str">
        <f>IFERROR(VLOOKUP(Logs_Registre[[#This Row],[Cell_ID]],Registre_Maintenance[],6,FALSE),"")</f>
        <v/>
      </c>
    </row>
    <row r="418" spans="1:11" x14ac:dyDescent="0.25">
      <c r="A418" s="1" t="s">
        <v>1059</v>
      </c>
      <c r="B418" s="1" t="s">
        <v>1005</v>
      </c>
      <c r="C418" s="2">
        <v>45218.991666666669</v>
      </c>
      <c r="D418" s="3">
        <v>45218.991666666669</v>
      </c>
      <c r="E418">
        <v>82</v>
      </c>
      <c r="F418" s="1" t="s">
        <v>732</v>
      </c>
      <c r="G418" t="str">
        <f>IFERROR(VLOOKUP(Logs_Registre[[#This Row],[Cell_ID]],Registre_Maintenance[],2,FALSE),"")</f>
        <v>Ituri</v>
      </c>
      <c r="H418">
        <f>IFERROR(VLOOKUP(Logs_Registre[[#This Row],[Cell_ID]],Registre_Maintenance[],3,FALSE),"")</f>
        <v>-3.7720639999999999</v>
      </c>
      <c r="I418">
        <f>IFERROR(VLOOKUP(Logs_Registre[[#This Row],[Cell_ID]],Registre_Maintenance[],4,FALSE),"")</f>
        <v>16.006277999999998</v>
      </c>
      <c r="J418" t="str">
        <f>IFERROR(VLOOKUP(Logs_Registre[[#This Row],[Cell_ID]],Registre_Maintenance[],5,FALSE),"")</f>
        <v>5G</v>
      </c>
      <c r="K418" t="str">
        <f>IFERROR(VLOOKUP(Logs_Registre[[#This Row],[Cell_ID]],Registre_Maintenance[],6,FALSE),"")</f>
        <v>ZTE</v>
      </c>
    </row>
    <row r="419" spans="1:11" x14ac:dyDescent="0.25">
      <c r="A419" s="1" t="s">
        <v>978</v>
      </c>
      <c r="B419" s="1" t="s">
        <v>981</v>
      </c>
      <c r="C419" s="2">
        <v>45218.990277777782</v>
      </c>
      <c r="D419" s="3">
        <v>45218.990277777782</v>
      </c>
      <c r="E419">
        <v>100</v>
      </c>
      <c r="F419" s="1" t="s">
        <v>732</v>
      </c>
      <c r="G419" t="str">
        <f>IFERROR(VLOOKUP(Logs_Registre[[#This Row],[Cell_ID]],Registre_Maintenance[],2,FALSE),"")</f>
        <v/>
      </c>
      <c r="H419" t="str">
        <f>IFERROR(VLOOKUP(Logs_Registre[[#This Row],[Cell_ID]],Registre_Maintenance[],3,FALSE),"")</f>
        <v/>
      </c>
      <c r="I419" t="str">
        <f>IFERROR(VLOOKUP(Logs_Registre[[#This Row],[Cell_ID]],Registre_Maintenance[],4,FALSE),"")</f>
        <v/>
      </c>
      <c r="J419" t="str">
        <f>IFERROR(VLOOKUP(Logs_Registre[[#This Row],[Cell_ID]],Registre_Maintenance[],5,FALSE),"")</f>
        <v/>
      </c>
      <c r="K419" t="str">
        <f>IFERROR(VLOOKUP(Logs_Registre[[#This Row],[Cell_ID]],Registre_Maintenance[],6,FALSE),"")</f>
        <v/>
      </c>
    </row>
    <row r="420" spans="1:11" x14ac:dyDescent="0.25">
      <c r="A420" s="1" t="s">
        <v>1261</v>
      </c>
      <c r="B420" s="1" t="s">
        <v>960</v>
      </c>
      <c r="C420" s="2">
        <v>45218.906944444447</v>
      </c>
      <c r="D420" s="3">
        <v>45218.906944444447</v>
      </c>
      <c r="E420">
        <v>8</v>
      </c>
      <c r="F420" s="1" t="s">
        <v>737</v>
      </c>
      <c r="G420" t="str">
        <f>IFERROR(VLOOKUP(Logs_Registre[[#This Row],[Cell_ID]],Registre_Maintenance[],2,FALSE),"")</f>
        <v/>
      </c>
      <c r="H420" t="str">
        <f>IFERROR(VLOOKUP(Logs_Registre[[#This Row],[Cell_ID]],Registre_Maintenance[],3,FALSE),"")</f>
        <v/>
      </c>
      <c r="I420" t="str">
        <f>IFERROR(VLOOKUP(Logs_Registre[[#This Row],[Cell_ID]],Registre_Maintenance[],4,FALSE),"")</f>
        <v/>
      </c>
      <c r="J420" t="str">
        <f>IFERROR(VLOOKUP(Logs_Registre[[#This Row],[Cell_ID]],Registre_Maintenance[],5,FALSE),"")</f>
        <v/>
      </c>
      <c r="K420" t="str">
        <f>IFERROR(VLOOKUP(Logs_Registre[[#This Row],[Cell_ID]],Registre_Maintenance[],6,FALSE),"")</f>
        <v/>
      </c>
    </row>
    <row r="421" spans="1:11" x14ac:dyDescent="0.25">
      <c r="A421" s="1" t="s">
        <v>1193</v>
      </c>
      <c r="B421" s="1" t="s">
        <v>812</v>
      </c>
      <c r="C421" s="2">
        <v>45218.89166666667</v>
      </c>
      <c r="D421" s="3">
        <v>45218.89166666667</v>
      </c>
      <c r="E421">
        <v>107</v>
      </c>
      <c r="F421" s="1" t="s">
        <v>735</v>
      </c>
      <c r="G421" t="str">
        <f>IFERROR(VLOOKUP(Logs_Registre[[#This Row],[Cell_ID]],Registre_Maintenance[],2,FALSE),"")</f>
        <v/>
      </c>
      <c r="H421" t="str">
        <f>IFERROR(VLOOKUP(Logs_Registre[[#This Row],[Cell_ID]],Registre_Maintenance[],3,FALSE),"")</f>
        <v/>
      </c>
      <c r="I421" t="str">
        <f>IFERROR(VLOOKUP(Logs_Registre[[#This Row],[Cell_ID]],Registre_Maintenance[],4,FALSE),"")</f>
        <v/>
      </c>
      <c r="J421" t="str">
        <f>IFERROR(VLOOKUP(Logs_Registre[[#This Row],[Cell_ID]],Registre_Maintenance[],5,FALSE),"")</f>
        <v/>
      </c>
      <c r="K421" t="str">
        <f>IFERROR(VLOOKUP(Logs_Registre[[#This Row],[Cell_ID]],Registre_Maintenance[],6,FALSE),"")</f>
        <v/>
      </c>
    </row>
    <row r="422" spans="1:11" x14ac:dyDescent="0.25">
      <c r="A422" s="1" t="s">
        <v>861</v>
      </c>
      <c r="B422" s="1" t="s">
        <v>867</v>
      </c>
      <c r="C422" s="2">
        <v>45218.875694444447</v>
      </c>
      <c r="D422" s="3">
        <v>45218.875694444447</v>
      </c>
      <c r="E422">
        <v>39</v>
      </c>
      <c r="F422" s="1" t="s">
        <v>732</v>
      </c>
      <c r="G422" t="str">
        <f>IFERROR(VLOOKUP(Logs_Registre[[#This Row],[Cell_ID]],Registre_Maintenance[],2,FALSE),"")</f>
        <v/>
      </c>
      <c r="H422" t="str">
        <f>IFERROR(VLOOKUP(Logs_Registre[[#This Row],[Cell_ID]],Registre_Maintenance[],3,FALSE),"")</f>
        <v/>
      </c>
      <c r="I422" t="str">
        <f>IFERROR(VLOOKUP(Logs_Registre[[#This Row],[Cell_ID]],Registre_Maintenance[],4,FALSE),"")</f>
        <v/>
      </c>
      <c r="J422" t="str">
        <f>IFERROR(VLOOKUP(Logs_Registre[[#This Row],[Cell_ID]],Registre_Maintenance[],5,FALSE),"")</f>
        <v/>
      </c>
      <c r="K422" t="str">
        <f>IFERROR(VLOOKUP(Logs_Registre[[#This Row],[Cell_ID]],Registre_Maintenance[],6,FALSE),"")</f>
        <v/>
      </c>
    </row>
    <row r="423" spans="1:11" x14ac:dyDescent="0.25">
      <c r="A423" s="1" t="s">
        <v>1345</v>
      </c>
      <c r="B423" s="1" t="s">
        <v>1349</v>
      </c>
      <c r="C423" s="2">
        <v>45218.794444444437</v>
      </c>
      <c r="D423" s="3">
        <v>45218.794444444437</v>
      </c>
      <c r="E423">
        <v>108</v>
      </c>
      <c r="F423" s="1" t="s">
        <v>732</v>
      </c>
      <c r="G423" t="str">
        <f>IFERROR(VLOOKUP(Logs_Registre[[#This Row],[Cell_ID]],Registre_Maintenance[],2,FALSE),"")</f>
        <v/>
      </c>
      <c r="H423" t="str">
        <f>IFERROR(VLOOKUP(Logs_Registre[[#This Row],[Cell_ID]],Registre_Maintenance[],3,FALSE),"")</f>
        <v/>
      </c>
      <c r="I423" t="str">
        <f>IFERROR(VLOOKUP(Logs_Registre[[#This Row],[Cell_ID]],Registre_Maintenance[],4,FALSE),"")</f>
        <v/>
      </c>
      <c r="J423" t="str">
        <f>IFERROR(VLOOKUP(Logs_Registre[[#This Row],[Cell_ID]],Registre_Maintenance[],5,FALSE),"")</f>
        <v/>
      </c>
      <c r="K423" t="str">
        <f>IFERROR(VLOOKUP(Logs_Registre[[#This Row],[Cell_ID]],Registre_Maintenance[],6,FALSE),"")</f>
        <v/>
      </c>
    </row>
    <row r="424" spans="1:11" x14ac:dyDescent="0.25">
      <c r="A424" s="1" t="s">
        <v>779</v>
      </c>
      <c r="B424" s="1" t="s">
        <v>812</v>
      </c>
      <c r="C424" s="2">
        <v>45218.793055555558</v>
      </c>
      <c r="D424" s="3">
        <v>45218.793055555558</v>
      </c>
      <c r="E424">
        <v>100</v>
      </c>
      <c r="F424" s="1" t="s">
        <v>737</v>
      </c>
      <c r="G424" t="str">
        <f>IFERROR(VLOOKUP(Logs_Registre[[#This Row],[Cell_ID]],Registre_Maintenance[],2,FALSE),"")</f>
        <v/>
      </c>
      <c r="H424" t="str">
        <f>IFERROR(VLOOKUP(Logs_Registre[[#This Row],[Cell_ID]],Registre_Maintenance[],3,FALSE),"")</f>
        <v/>
      </c>
      <c r="I424" t="str">
        <f>IFERROR(VLOOKUP(Logs_Registre[[#This Row],[Cell_ID]],Registre_Maintenance[],4,FALSE),"")</f>
        <v/>
      </c>
      <c r="J424" t="str">
        <f>IFERROR(VLOOKUP(Logs_Registre[[#This Row],[Cell_ID]],Registre_Maintenance[],5,FALSE),"")</f>
        <v/>
      </c>
      <c r="K424" t="str">
        <f>IFERROR(VLOOKUP(Logs_Registre[[#This Row],[Cell_ID]],Registre_Maintenance[],6,FALSE),"")</f>
        <v/>
      </c>
    </row>
    <row r="425" spans="1:11" x14ac:dyDescent="0.25">
      <c r="A425" s="1" t="s">
        <v>999</v>
      </c>
      <c r="B425" s="1" t="s">
        <v>888</v>
      </c>
      <c r="C425" s="2">
        <v>45218.675694444442</v>
      </c>
      <c r="D425" s="3">
        <v>45218.675694444442</v>
      </c>
      <c r="E425">
        <v>37</v>
      </c>
      <c r="F425" s="1" t="s">
        <v>737</v>
      </c>
      <c r="G425" t="str">
        <f>IFERROR(VLOOKUP(Logs_Registre[[#This Row],[Cell_ID]],Registre_Maintenance[],2,FALSE),"")</f>
        <v/>
      </c>
      <c r="H425" t="str">
        <f>IFERROR(VLOOKUP(Logs_Registre[[#This Row],[Cell_ID]],Registre_Maintenance[],3,FALSE),"")</f>
        <v/>
      </c>
      <c r="I425" t="str">
        <f>IFERROR(VLOOKUP(Logs_Registre[[#This Row],[Cell_ID]],Registre_Maintenance[],4,FALSE),"")</f>
        <v/>
      </c>
      <c r="J425" t="str">
        <f>IFERROR(VLOOKUP(Logs_Registre[[#This Row],[Cell_ID]],Registre_Maintenance[],5,FALSE),"")</f>
        <v/>
      </c>
      <c r="K425" t="str">
        <f>IFERROR(VLOOKUP(Logs_Registre[[#This Row],[Cell_ID]],Registre_Maintenance[],6,FALSE),"")</f>
        <v/>
      </c>
    </row>
    <row r="426" spans="1:11" x14ac:dyDescent="0.25">
      <c r="A426" s="1" t="s">
        <v>1382</v>
      </c>
      <c r="B426" s="1" t="s">
        <v>1387</v>
      </c>
      <c r="C426" s="2">
        <v>45218.665972222218</v>
      </c>
      <c r="D426" s="3">
        <v>45218.665972222218</v>
      </c>
      <c r="E426">
        <v>90</v>
      </c>
      <c r="F426" s="1" t="s">
        <v>737</v>
      </c>
      <c r="G426" t="str">
        <f>IFERROR(VLOOKUP(Logs_Registre[[#This Row],[Cell_ID]],Registre_Maintenance[],2,FALSE),"")</f>
        <v/>
      </c>
      <c r="H426" t="str">
        <f>IFERROR(VLOOKUP(Logs_Registre[[#This Row],[Cell_ID]],Registre_Maintenance[],3,FALSE),"")</f>
        <v/>
      </c>
      <c r="I426" t="str">
        <f>IFERROR(VLOOKUP(Logs_Registre[[#This Row],[Cell_ID]],Registre_Maintenance[],4,FALSE),"")</f>
        <v/>
      </c>
      <c r="J426" t="str">
        <f>IFERROR(VLOOKUP(Logs_Registre[[#This Row],[Cell_ID]],Registre_Maintenance[],5,FALSE),"")</f>
        <v/>
      </c>
      <c r="K426" t="str">
        <f>IFERROR(VLOOKUP(Logs_Registre[[#This Row],[Cell_ID]],Registre_Maintenance[],6,FALSE),"")</f>
        <v/>
      </c>
    </row>
    <row r="427" spans="1:11" x14ac:dyDescent="0.25">
      <c r="A427" s="1" t="s">
        <v>1241</v>
      </c>
      <c r="B427" s="1" t="s">
        <v>1248</v>
      </c>
      <c r="C427" s="2">
        <v>45218.659722222219</v>
      </c>
      <c r="D427" s="3">
        <v>45218.659722222219</v>
      </c>
      <c r="E427">
        <v>24</v>
      </c>
      <c r="F427" s="1" t="s">
        <v>732</v>
      </c>
      <c r="G427" t="str">
        <f>IFERROR(VLOOKUP(Logs_Registre[[#This Row],[Cell_ID]],Registre_Maintenance[],2,FALSE),"")</f>
        <v/>
      </c>
      <c r="H427" t="str">
        <f>IFERROR(VLOOKUP(Logs_Registre[[#This Row],[Cell_ID]],Registre_Maintenance[],3,FALSE),"")</f>
        <v/>
      </c>
      <c r="I427" t="str">
        <f>IFERROR(VLOOKUP(Logs_Registre[[#This Row],[Cell_ID]],Registre_Maintenance[],4,FALSE),"")</f>
        <v/>
      </c>
      <c r="J427" t="str">
        <f>IFERROR(VLOOKUP(Logs_Registre[[#This Row],[Cell_ID]],Registre_Maintenance[],5,FALSE),"")</f>
        <v/>
      </c>
      <c r="K427" t="str">
        <f>IFERROR(VLOOKUP(Logs_Registre[[#This Row],[Cell_ID]],Registre_Maintenance[],6,FALSE),"")</f>
        <v/>
      </c>
    </row>
    <row r="428" spans="1:11" x14ac:dyDescent="0.25">
      <c r="A428" s="1" t="s">
        <v>999</v>
      </c>
      <c r="B428" s="1" t="s">
        <v>1021</v>
      </c>
      <c r="C428" s="2">
        <v>45218.647916666669</v>
      </c>
      <c r="D428" s="3">
        <v>45218.647916666669</v>
      </c>
      <c r="E428">
        <v>78</v>
      </c>
      <c r="F428" s="1" t="s">
        <v>732</v>
      </c>
      <c r="G428" t="str">
        <f>IFERROR(VLOOKUP(Logs_Registre[[#This Row],[Cell_ID]],Registre_Maintenance[],2,FALSE),"")</f>
        <v/>
      </c>
      <c r="H428" t="str">
        <f>IFERROR(VLOOKUP(Logs_Registre[[#This Row],[Cell_ID]],Registre_Maintenance[],3,FALSE),"")</f>
        <v/>
      </c>
      <c r="I428" t="str">
        <f>IFERROR(VLOOKUP(Logs_Registre[[#This Row],[Cell_ID]],Registre_Maintenance[],4,FALSE),"")</f>
        <v/>
      </c>
      <c r="J428" t="str">
        <f>IFERROR(VLOOKUP(Logs_Registre[[#This Row],[Cell_ID]],Registre_Maintenance[],5,FALSE),"")</f>
        <v/>
      </c>
      <c r="K428" t="str">
        <f>IFERROR(VLOOKUP(Logs_Registre[[#This Row],[Cell_ID]],Registre_Maintenance[],6,FALSE),"")</f>
        <v/>
      </c>
    </row>
    <row r="429" spans="1:11" x14ac:dyDescent="0.25">
      <c r="A429" s="1" t="s">
        <v>779</v>
      </c>
      <c r="B429" s="1" t="s">
        <v>780</v>
      </c>
      <c r="C429" s="2">
        <v>45218.635416666657</v>
      </c>
      <c r="D429" s="3">
        <v>45218.635416666657</v>
      </c>
      <c r="E429">
        <v>17</v>
      </c>
      <c r="F429" s="1" t="s">
        <v>737</v>
      </c>
      <c r="G429" t="str">
        <f>IFERROR(VLOOKUP(Logs_Registre[[#This Row],[Cell_ID]],Registre_Maintenance[],2,FALSE),"")</f>
        <v/>
      </c>
      <c r="H429" t="str">
        <f>IFERROR(VLOOKUP(Logs_Registre[[#This Row],[Cell_ID]],Registre_Maintenance[],3,FALSE),"")</f>
        <v/>
      </c>
      <c r="I429" t="str">
        <f>IFERROR(VLOOKUP(Logs_Registre[[#This Row],[Cell_ID]],Registre_Maintenance[],4,FALSE),"")</f>
        <v/>
      </c>
      <c r="J429" t="str">
        <f>IFERROR(VLOOKUP(Logs_Registre[[#This Row],[Cell_ID]],Registre_Maintenance[],5,FALSE),"")</f>
        <v/>
      </c>
      <c r="K429" t="str">
        <f>IFERROR(VLOOKUP(Logs_Registre[[#This Row],[Cell_ID]],Registre_Maintenance[],6,FALSE),"")</f>
        <v/>
      </c>
    </row>
    <row r="430" spans="1:11" x14ac:dyDescent="0.25">
      <c r="A430" s="1" t="s">
        <v>1114</v>
      </c>
      <c r="B430" s="1" t="s">
        <v>769</v>
      </c>
      <c r="C430" s="2">
        <v>45218.631944444453</v>
      </c>
      <c r="D430" s="3">
        <v>45218.631944444453</v>
      </c>
      <c r="E430">
        <v>42</v>
      </c>
      <c r="F430" s="1" t="s">
        <v>735</v>
      </c>
      <c r="G430" t="str">
        <f>IFERROR(VLOOKUP(Logs_Registre[[#This Row],[Cell_ID]],Registre_Maintenance[],2,FALSE),"")</f>
        <v>Kwilu</v>
      </c>
      <c r="H430">
        <f>IFERROR(VLOOKUP(Logs_Registre[[#This Row],[Cell_ID]],Registre_Maintenance[],3,FALSE),"")</f>
        <v>-0.77432100000000004</v>
      </c>
      <c r="I430">
        <f>IFERROR(VLOOKUP(Logs_Registre[[#This Row],[Cell_ID]],Registre_Maintenance[],4,FALSE),"")</f>
        <v>18.628658999999999</v>
      </c>
      <c r="J430" t="str">
        <f>IFERROR(VLOOKUP(Logs_Registre[[#This Row],[Cell_ID]],Registre_Maintenance[],5,FALSE),"")</f>
        <v>4G</v>
      </c>
      <c r="K430" t="str">
        <f>IFERROR(VLOOKUP(Logs_Registre[[#This Row],[Cell_ID]],Registre_Maintenance[],6,FALSE),"")</f>
        <v>Huawei</v>
      </c>
    </row>
    <row r="431" spans="1:11" x14ac:dyDescent="0.25">
      <c r="A431" s="1" t="s">
        <v>1345</v>
      </c>
      <c r="B431" s="1" t="s">
        <v>1246</v>
      </c>
      <c r="C431" s="2">
        <v>45218.589583333327</v>
      </c>
      <c r="D431" s="3">
        <v>45218.589583333327</v>
      </c>
      <c r="E431">
        <v>21</v>
      </c>
      <c r="F431" s="1" t="s">
        <v>732</v>
      </c>
      <c r="G431" t="str">
        <f>IFERROR(VLOOKUP(Logs_Registre[[#This Row],[Cell_ID]],Registre_Maintenance[],2,FALSE),"")</f>
        <v>Sud-Kivu</v>
      </c>
      <c r="H431">
        <f>IFERROR(VLOOKUP(Logs_Registre[[#This Row],[Cell_ID]],Registre_Maintenance[],3,FALSE),"")</f>
        <v>-11.514817000000001</v>
      </c>
      <c r="I431">
        <f>IFERROR(VLOOKUP(Logs_Registre[[#This Row],[Cell_ID]],Registre_Maintenance[],4,FALSE),"")</f>
        <v>24.891375</v>
      </c>
      <c r="J431" t="str">
        <f>IFERROR(VLOOKUP(Logs_Registre[[#This Row],[Cell_ID]],Registre_Maintenance[],5,FALSE),"")</f>
        <v>3G</v>
      </c>
      <c r="K431" t="str">
        <f>IFERROR(VLOOKUP(Logs_Registre[[#This Row],[Cell_ID]],Registre_Maintenance[],6,FALSE),"")</f>
        <v>Nokia</v>
      </c>
    </row>
    <row r="432" spans="1:11" x14ac:dyDescent="0.25">
      <c r="A432" s="1" t="s">
        <v>1219</v>
      </c>
      <c r="B432" s="1" t="s">
        <v>924</v>
      </c>
      <c r="C432" s="2">
        <v>45218.558333333327</v>
      </c>
      <c r="D432" s="3">
        <v>45218.558333333327</v>
      </c>
      <c r="E432">
        <v>54</v>
      </c>
      <c r="F432" s="1" t="s">
        <v>737</v>
      </c>
      <c r="G432" t="str">
        <f>IFERROR(VLOOKUP(Logs_Registre[[#This Row],[Cell_ID]],Registre_Maintenance[],2,FALSE),"")</f>
        <v/>
      </c>
      <c r="H432" t="str">
        <f>IFERROR(VLOOKUP(Logs_Registre[[#This Row],[Cell_ID]],Registre_Maintenance[],3,FALSE),"")</f>
        <v/>
      </c>
      <c r="I432" t="str">
        <f>IFERROR(VLOOKUP(Logs_Registre[[#This Row],[Cell_ID]],Registre_Maintenance[],4,FALSE),"")</f>
        <v/>
      </c>
      <c r="J432" t="str">
        <f>IFERROR(VLOOKUP(Logs_Registre[[#This Row],[Cell_ID]],Registre_Maintenance[],5,FALSE),"")</f>
        <v/>
      </c>
      <c r="K432" t="str">
        <f>IFERROR(VLOOKUP(Logs_Registre[[#This Row],[Cell_ID]],Registre_Maintenance[],6,FALSE),"")</f>
        <v/>
      </c>
    </row>
    <row r="433" spans="1:11" x14ac:dyDescent="0.25">
      <c r="A433" s="1" t="s">
        <v>1345</v>
      </c>
      <c r="B433" s="1" t="s">
        <v>739</v>
      </c>
      <c r="C433" s="2">
        <v>45218.381944444453</v>
      </c>
      <c r="D433" s="3">
        <v>45218.381944444453</v>
      </c>
      <c r="E433">
        <v>81</v>
      </c>
      <c r="F433" s="1" t="s">
        <v>735</v>
      </c>
      <c r="G433" t="str">
        <f>IFERROR(VLOOKUP(Logs_Registre[[#This Row],[Cell_ID]],Registre_Maintenance[],2,FALSE),"")</f>
        <v>Kongo-Central</v>
      </c>
      <c r="H433">
        <f>IFERROR(VLOOKUP(Logs_Registre[[#This Row],[Cell_ID]],Registre_Maintenance[],3,FALSE),"")</f>
        <v>-2.8211520000000001</v>
      </c>
      <c r="I433">
        <f>IFERROR(VLOOKUP(Logs_Registre[[#This Row],[Cell_ID]],Registre_Maintenance[],4,FALSE),"")</f>
        <v>20.651419000000001</v>
      </c>
      <c r="J433" t="str">
        <f>IFERROR(VLOOKUP(Logs_Registre[[#This Row],[Cell_ID]],Registre_Maintenance[],5,FALSE),"")</f>
        <v>5G</v>
      </c>
      <c r="K433" t="str">
        <f>IFERROR(VLOOKUP(Logs_Registre[[#This Row],[Cell_ID]],Registre_Maintenance[],6,FALSE),"")</f>
        <v>Ericsson</v>
      </c>
    </row>
    <row r="434" spans="1:11" x14ac:dyDescent="0.25">
      <c r="A434" s="1" t="s">
        <v>902</v>
      </c>
      <c r="B434" s="1" t="s">
        <v>909</v>
      </c>
      <c r="C434" s="2">
        <v>45218.378472222219</v>
      </c>
      <c r="D434" s="3">
        <v>45218.378472222219</v>
      </c>
      <c r="E434">
        <v>102</v>
      </c>
      <c r="F434" s="1" t="s">
        <v>732</v>
      </c>
      <c r="G434" t="str">
        <f>IFERROR(VLOOKUP(Logs_Registre[[#This Row],[Cell_ID]],Registre_Maintenance[],2,FALSE),"")</f>
        <v>Kasai-Central</v>
      </c>
      <c r="H434">
        <f>IFERROR(VLOOKUP(Logs_Registre[[#This Row],[Cell_ID]],Registre_Maintenance[],3,FALSE),"")</f>
        <v>-4.4451280000000004</v>
      </c>
      <c r="I434">
        <f>IFERROR(VLOOKUP(Logs_Registre[[#This Row],[Cell_ID]],Registre_Maintenance[],4,FALSE),"")</f>
        <v>16.536944999999999</v>
      </c>
      <c r="J434" t="str">
        <f>IFERROR(VLOOKUP(Logs_Registre[[#This Row],[Cell_ID]],Registre_Maintenance[],5,FALSE),"")</f>
        <v>4G</v>
      </c>
      <c r="K434" t="str">
        <f>IFERROR(VLOOKUP(Logs_Registre[[#This Row],[Cell_ID]],Registre_Maintenance[],6,FALSE),"")</f>
        <v>Ericsson</v>
      </c>
    </row>
    <row r="435" spans="1:11" x14ac:dyDescent="0.25">
      <c r="A435" s="1" t="s">
        <v>730</v>
      </c>
      <c r="B435" s="1" t="s">
        <v>745</v>
      </c>
      <c r="C435" s="2">
        <v>45218.368750000001</v>
      </c>
      <c r="D435" s="3">
        <v>45218.368750000001</v>
      </c>
      <c r="E435">
        <v>70</v>
      </c>
      <c r="F435" s="1" t="s">
        <v>732</v>
      </c>
      <c r="G435" t="str">
        <f>IFERROR(VLOOKUP(Logs_Registre[[#This Row],[Cell_ID]],Registre_Maintenance[],2,FALSE),"")</f>
        <v>Lomami</v>
      </c>
      <c r="H435">
        <f>IFERROR(VLOOKUP(Logs_Registre[[#This Row],[Cell_ID]],Registre_Maintenance[],3,FALSE),"")</f>
        <v>-8.4227860000000003</v>
      </c>
      <c r="I435">
        <f>IFERROR(VLOOKUP(Logs_Registre[[#This Row],[Cell_ID]],Registre_Maintenance[],4,FALSE),"")</f>
        <v>16.781293000000002</v>
      </c>
      <c r="J435" t="str">
        <f>IFERROR(VLOOKUP(Logs_Registre[[#This Row],[Cell_ID]],Registre_Maintenance[],5,FALSE),"")</f>
        <v>4G</v>
      </c>
      <c r="K435" t="str">
        <f>IFERROR(VLOOKUP(Logs_Registre[[#This Row],[Cell_ID]],Registre_Maintenance[],6,FALSE),"")</f>
        <v>Huawei</v>
      </c>
    </row>
    <row r="436" spans="1:11" x14ac:dyDescent="0.25">
      <c r="A436" s="1" t="s">
        <v>1086</v>
      </c>
      <c r="B436" s="1" t="s">
        <v>776</v>
      </c>
      <c r="C436" s="2">
        <v>45218.361805555563</v>
      </c>
      <c r="D436" s="3">
        <v>45218.361805555563</v>
      </c>
      <c r="E436">
        <v>45</v>
      </c>
      <c r="F436" s="1" t="s">
        <v>737</v>
      </c>
      <c r="G436" t="str">
        <f>IFERROR(VLOOKUP(Logs_Registre[[#This Row],[Cell_ID]],Registre_Maintenance[],2,FALSE),"")</f>
        <v/>
      </c>
      <c r="H436" t="str">
        <f>IFERROR(VLOOKUP(Logs_Registre[[#This Row],[Cell_ID]],Registre_Maintenance[],3,FALSE),"")</f>
        <v/>
      </c>
      <c r="I436" t="str">
        <f>IFERROR(VLOOKUP(Logs_Registre[[#This Row],[Cell_ID]],Registre_Maintenance[],4,FALSE),"")</f>
        <v/>
      </c>
      <c r="J436" t="str">
        <f>IFERROR(VLOOKUP(Logs_Registre[[#This Row],[Cell_ID]],Registre_Maintenance[],5,FALSE),"")</f>
        <v/>
      </c>
      <c r="K436" t="str">
        <f>IFERROR(VLOOKUP(Logs_Registre[[#This Row],[Cell_ID]],Registre_Maintenance[],6,FALSE),"")</f>
        <v/>
      </c>
    </row>
    <row r="437" spans="1:11" x14ac:dyDescent="0.25">
      <c r="A437" s="1" t="s">
        <v>823</v>
      </c>
      <c r="B437" s="1" t="s">
        <v>826</v>
      </c>
      <c r="C437" s="2">
        <v>45218.334722222222</v>
      </c>
      <c r="D437" s="3">
        <v>45218.334722222222</v>
      </c>
      <c r="E437">
        <v>85</v>
      </c>
      <c r="F437" s="1" t="s">
        <v>737</v>
      </c>
      <c r="G437" t="str">
        <f>IFERROR(VLOOKUP(Logs_Registre[[#This Row],[Cell_ID]],Registre_Maintenance[],2,FALSE),"")</f>
        <v/>
      </c>
      <c r="H437" t="str">
        <f>IFERROR(VLOOKUP(Logs_Registre[[#This Row],[Cell_ID]],Registre_Maintenance[],3,FALSE),"")</f>
        <v/>
      </c>
      <c r="I437" t="str">
        <f>IFERROR(VLOOKUP(Logs_Registre[[#This Row],[Cell_ID]],Registre_Maintenance[],4,FALSE),"")</f>
        <v/>
      </c>
      <c r="J437" t="str">
        <f>IFERROR(VLOOKUP(Logs_Registre[[#This Row],[Cell_ID]],Registre_Maintenance[],5,FALSE),"")</f>
        <v/>
      </c>
      <c r="K437" t="str">
        <f>IFERROR(VLOOKUP(Logs_Registre[[#This Row],[Cell_ID]],Registre_Maintenance[],6,FALSE),"")</f>
        <v/>
      </c>
    </row>
    <row r="438" spans="1:11" x14ac:dyDescent="0.25">
      <c r="A438" s="1" t="s">
        <v>1404</v>
      </c>
      <c r="B438" s="1" t="s">
        <v>927</v>
      </c>
      <c r="C438" s="2">
        <v>45218.331944444442</v>
      </c>
      <c r="D438" s="3">
        <v>45218.331944444442</v>
      </c>
      <c r="E438">
        <v>15</v>
      </c>
      <c r="F438" s="1" t="s">
        <v>737</v>
      </c>
      <c r="G438" t="str">
        <f>IFERROR(VLOOKUP(Logs_Registre[[#This Row],[Cell_ID]],Registre_Maintenance[],2,FALSE),"")</f>
        <v>Nord-Kivu</v>
      </c>
      <c r="H438">
        <f>IFERROR(VLOOKUP(Logs_Registre[[#This Row],[Cell_ID]],Registre_Maintenance[],3,FALSE),"")</f>
        <v>-1.8555980000000001</v>
      </c>
      <c r="I438">
        <f>IFERROR(VLOOKUP(Logs_Registre[[#This Row],[Cell_ID]],Registre_Maintenance[],4,FALSE),"")</f>
        <v>30.421918000000002</v>
      </c>
      <c r="J438" t="str">
        <f>IFERROR(VLOOKUP(Logs_Registre[[#This Row],[Cell_ID]],Registre_Maintenance[],5,FALSE),"")</f>
        <v>3G</v>
      </c>
      <c r="K438" t="str">
        <f>IFERROR(VLOOKUP(Logs_Registre[[#This Row],[Cell_ID]],Registre_Maintenance[],6,FALSE),"")</f>
        <v>ZTE</v>
      </c>
    </row>
    <row r="439" spans="1:11" x14ac:dyDescent="0.25">
      <c r="A439" s="1" t="s">
        <v>1241</v>
      </c>
      <c r="B439" s="1" t="s">
        <v>1255</v>
      </c>
      <c r="C439" s="2">
        <v>45218.314583333333</v>
      </c>
      <c r="D439" s="3">
        <v>45218.314583333333</v>
      </c>
      <c r="E439">
        <v>45</v>
      </c>
      <c r="F439" s="1" t="s">
        <v>732</v>
      </c>
      <c r="G439" t="str">
        <f>IFERROR(VLOOKUP(Logs_Registre[[#This Row],[Cell_ID]],Registre_Maintenance[],2,FALSE),"")</f>
        <v/>
      </c>
      <c r="H439" t="str">
        <f>IFERROR(VLOOKUP(Logs_Registre[[#This Row],[Cell_ID]],Registre_Maintenance[],3,FALSE),"")</f>
        <v/>
      </c>
      <c r="I439" t="str">
        <f>IFERROR(VLOOKUP(Logs_Registre[[#This Row],[Cell_ID]],Registre_Maintenance[],4,FALSE),"")</f>
        <v/>
      </c>
      <c r="J439" t="str">
        <f>IFERROR(VLOOKUP(Logs_Registre[[#This Row],[Cell_ID]],Registre_Maintenance[],5,FALSE),"")</f>
        <v/>
      </c>
      <c r="K439" t="str">
        <f>IFERROR(VLOOKUP(Logs_Registre[[#This Row],[Cell_ID]],Registre_Maintenance[],6,FALSE),"")</f>
        <v/>
      </c>
    </row>
    <row r="440" spans="1:11" x14ac:dyDescent="0.25">
      <c r="A440" s="1" t="s">
        <v>1330</v>
      </c>
      <c r="B440" s="1" t="s">
        <v>1344</v>
      </c>
      <c r="C440" s="2">
        <v>45218.287499999999</v>
      </c>
      <c r="D440" s="3">
        <v>45218.287499999999</v>
      </c>
      <c r="E440">
        <v>71</v>
      </c>
      <c r="F440" s="1" t="s">
        <v>737</v>
      </c>
      <c r="G440" t="str">
        <f>IFERROR(VLOOKUP(Logs_Registre[[#This Row],[Cell_ID]],Registre_Maintenance[],2,FALSE),"")</f>
        <v/>
      </c>
      <c r="H440" t="str">
        <f>IFERROR(VLOOKUP(Logs_Registre[[#This Row],[Cell_ID]],Registre_Maintenance[],3,FALSE),"")</f>
        <v/>
      </c>
      <c r="I440" t="str">
        <f>IFERROR(VLOOKUP(Logs_Registre[[#This Row],[Cell_ID]],Registre_Maintenance[],4,FALSE),"")</f>
        <v/>
      </c>
      <c r="J440" t="str">
        <f>IFERROR(VLOOKUP(Logs_Registre[[#This Row],[Cell_ID]],Registre_Maintenance[],5,FALSE),"")</f>
        <v/>
      </c>
      <c r="K440" t="str">
        <f>IFERROR(VLOOKUP(Logs_Registre[[#This Row],[Cell_ID]],Registre_Maintenance[],6,FALSE),"")</f>
        <v/>
      </c>
    </row>
    <row r="441" spans="1:11" x14ac:dyDescent="0.25">
      <c r="A441" s="1" t="s">
        <v>978</v>
      </c>
      <c r="B441" s="1" t="s">
        <v>994</v>
      </c>
      <c r="C441" s="2">
        <v>45218.286111111112</v>
      </c>
      <c r="D441" s="3">
        <v>45218.286111111112</v>
      </c>
      <c r="E441">
        <v>89</v>
      </c>
      <c r="F441" s="1" t="s">
        <v>732</v>
      </c>
      <c r="G441" t="str">
        <f>IFERROR(VLOOKUP(Logs_Registre[[#This Row],[Cell_ID]],Registre_Maintenance[],2,FALSE),"")</f>
        <v>Kwango</v>
      </c>
      <c r="H441">
        <f>IFERROR(VLOOKUP(Logs_Registre[[#This Row],[Cell_ID]],Registre_Maintenance[],3,FALSE),"")</f>
        <v>-7.5129409999999996</v>
      </c>
      <c r="I441">
        <f>IFERROR(VLOOKUP(Logs_Registre[[#This Row],[Cell_ID]],Registre_Maintenance[],4,FALSE),"")</f>
        <v>18.701522000000001</v>
      </c>
      <c r="J441" t="str">
        <f>IFERROR(VLOOKUP(Logs_Registre[[#This Row],[Cell_ID]],Registre_Maintenance[],5,FALSE),"")</f>
        <v>4G</v>
      </c>
      <c r="K441" t="str">
        <f>IFERROR(VLOOKUP(Logs_Registre[[#This Row],[Cell_ID]],Registre_Maintenance[],6,FALSE),"")</f>
        <v>Nokia</v>
      </c>
    </row>
    <row r="442" spans="1:11" x14ac:dyDescent="0.25">
      <c r="A442" s="1" t="s">
        <v>861</v>
      </c>
      <c r="B442" s="1" t="s">
        <v>881</v>
      </c>
      <c r="C442" s="2">
        <v>45218.270138888889</v>
      </c>
      <c r="D442" s="3">
        <v>45218.270138888889</v>
      </c>
      <c r="E442">
        <v>40</v>
      </c>
      <c r="F442" s="1" t="s">
        <v>735</v>
      </c>
      <c r="G442" t="str">
        <f>IFERROR(VLOOKUP(Logs_Registre[[#This Row],[Cell_ID]],Registre_Maintenance[],2,FALSE),"")</f>
        <v>Haut-Uele</v>
      </c>
      <c r="H442">
        <f>IFERROR(VLOOKUP(Logs_Registre[[#This Row],[Cell_ID]],Registre_Maintenance[],3,FALSE),"")</f>
        <v>-1.8045979999999999</v>
      </c>
      <c r="I442">
        <f>IFERROR(VLOOKUP(Logs_Registre[[#This Row],[Cell_ID]],Registre_Maintenance[],4,FALSE),"")</f>
        <v>12.511096999999999</v>
      </c>
      <c r="J442" t="str">
        <f>IFERROR(VLOOKUP(Logs_Registre[[#This Row],[Cell_ID]],Registre_Maintenance[],5,FALSE),"")</f>
        <v>3G</v>
      </c>
      <c r="K442" t="str">
        <f>IFERROR(VLOOKUP(Logs_Registre[[#This Row],[Cell_ID]],Registre_Maintenance[],6,FALSE),"")</f>
        <v>Huawei</v>
      </c>
    </row>
    <row r="443" spans="1:11" x14ac:dyDescent="0.25">
      <c r="A443" s="1" t="s">
        <v>1086</v>
      </c>
      <c r="B443" s="1" t="s">
        <v>940</v>
      </c>
      <c r="C443" s="2">
        <v>45218.242361111108</v>
      </c>
      <c r="D443" s="3">
        <v>45218.242361111108</v>
      </c>
      <c r="E443">
        <v>64</v>
      </c>
      <c r="F443" s="1" t="s">
        <v>732</v>
      </c>
      <c r="G443" t="str">
        <f>IFERROR(VLOOKUP(Logs_Registre[[#This Row],[Cell_ID]],Registre_Maintenance[],2,FALSE),"")</f>
        <v/>
      </c>
      <c r="H443" t="str">
        <f>IFERROR(VLOOKUP(Logs_Registre[[#This Row],[Cell_ID]],Registre_Maintenance[],3,FALSE),"")</f>
        <v/>
      </c>
      <c r="I443" t="str">
        <f>IFERROR(VLOOKUP(Logs_Registre[[#This Row],[Cell_ID]],Registre_Maintenance[],4,FALSE),"")</f>
        <v/>
      </c>
      <c r="J443" t="str">
        <f>IFERROR(VLOOKUP(Logs_Registre[[#This Row],[Cell_ID]],Registre_Maintenance[],5,FALSE),"")</f>
        <v/>
      </c>
      <c r="K443" t="str">
        <f>IFERROR(VLOOKUP(Logs_Registre[[#This Row],[Cell_ID]],Registre_Maintenance[],6,FALSE),"")</f>
        <v/>
      </c>
    </row>
    <row r="444" spans="1:11" x14ac:dyDescent="0.25">
      <c r="A444" s="1" t="s">
        <v>1382</v>
      </c>
      <c r="B444" s="1" t="s">
        <v>867</v>
      </c>
      <c r="C444" s="2">
        <v>45218.240277777782</v>
      </c>
      <c r="D444" s="3">
        <v>45218.240277777782</v>
      </c>
      <c r="E444">
        <v>53</v>
      </c>
      <c r="F444" s="1" t="s">
        <v>737</v>
      </c>
      <c r="G444" t="str">
        <f>IFERROR(VLOOKUP(Logs_Registre[[#This Row],[Cell_ID]],Registre_Maintenance[],2,FALSE),"")</f>
        <v/>
      </c>
      <c r="H444" t="str">
        <f>IFERROR(VLOOKUP(Logs_Registre[[#This Row],[Cell_ID]],Registre_Maintenance[],3,FALSE),"")</f>
        <v/>
      </c>
      <c r="I444" t="str">
        <f>IFERROR(VLOOKUP(Logs_Registre[[#This Row],[Cell_ID]],Registre_Maintenance[],4,FALSE),"")</f>
        <v/>
      </c>
      <c r="J444" t="str">
        <f>IFERROR(VLOOKUP(Logs_Registre[[#This Row],[Cell_ID]],Registre_Maintenance[],5,FALSE),"")</f>
        <v/>
      </c>
      <c r="K444" t="str">
        <f>IFERROR(VLOOKUP(Logs_Registre[[#This Row],[Cell_ID]],Registre_Maintenance[],6,FALSE),"")</f>
        <v/>
      </c>
    </row>
    <row r="445" spans="1:11" x14ac:dyDescent="0.25">
      <c r="A445" s="1" t="s">
        <v>1138</v>
      </c>
      <c r="B445" s="1" t="s">
        <v>1007</v>
      </c>
      <c r="C445" s="2">
        <v>45218.127083333333</v>
      </c>
      <c r="D445" s="3">
        <v>45218.127083333333</v>
      </c>
      <c r="E445">
        <v>58</v>
      </c>
      <c r="F445" s="1" t="s">
        <v>735</v>
      </c>
      <c r="G445" t="str">
        <f>IFERROR(VLOOKUP(Logs_Registre[[#This Row],[Cell_ID]],Registre_Maintenance[],2,FALSE),"")</f>
        <v>Sud-Kivu</v>
      </c>
      <c r="H445">
        <f>IFERROR(VLOOKUP(Logs_Registre[[#This Row],[Cell_ID]],Registre_Maintenance[],3,FALSE),"")</f>
        <v>1.2419519999999999</v>
      </c>
      <c r="I445">
        <f>IFERROR(VLOOKUP(Logs_Registre[[#This Row],[Cell_ID]],Registre_Maintenance[],4,FALSE),"")</f>
        <v>25.261382999999999</v>
      </c>
      <c r="J445" t="str">
        <f>IFERROR(VLOOKUP(Logs_Registre[[#This Row],[Cell_ID]],Registre_Maintenance[],5,FALSE),"")</f>
        <v>4G</v>
      </c>
      <c r="K445" t="str">
        <f>IFERROR(VLOOKUP(Logs_Registre[[#This Row],[Cell_ID]],Registre_Maintenance[],6,FALSE),"")</f>
        <v>Huawei</v>
      </c>
    </row>
    <row r="446" spans="1:11" x14ac:dyDescent="0.25">
      <c r="A446" s="1" t="s">
        <v>1086</v>
      </c>
      <c r="B446" s="1" t="s">
        <v>1076</v>
      </c>
      <c r="C446" s="2">
        <v>45218.088888888888</v>
      </c>
      <c r="D446" s="3">
        <v>45218.088888888888</v>
      </c>
      <c r="E446">
        <v>12</v>
      </c>
      <c r="F446" s="1" t="s">
        <v>737</v>
      </c>
      <c r="G446" t="str">
        <f>IFERROR(VLOOKUP(Logs_Registre[[#This Row],[Cell_ID]],Registre_Maintenance[],2,FALSE),"")</f>
        <v>Kinshasa</v>
      </c>
      <c r="H446">
        <f>IFERROR(VLOOKUP(Logs_Registre[[#This Row],[Cell_ID]],Registre_Maintenance[],3,FALSE),"")</f>
        <v>-11.389362</v>
      </c>
      <c r="I446">
        <f>IFERROR(VLOOKUP(Logs_Registre[[#This Row],[Cell_ID]],Registre_Maintenance[],4,FALSE),"")</f>
        <v>22.240174</v>
      </c>
      <c r="J446" t="str">
        <f>IFERROR(VLOOKUP(Logs_Registre[[#This Row],[Cell_ID]],Registre_Maintenance[],5,FALSE),"")</f>
        <v>5G</v>
      </c>
      <c r="K446" t="str">
        <f>IFERROR(VLOOKUP(Logs_Registre[[#This Row],[Cell_ID]],Registre_Maintenance[],6,FALSE),"")</f>
        <v>ZTE</v>
      </c>
    </row>
    <row r="447" spans="1:11" x14ac:dyDescent="0.25">
      <c r="A447" s="1" t="s">
        <v>861</v>
      </c>
      <c r="B447" s="1" t="s">
        <v>895</v>
      </c>
      <c r="C447" s="2">
        <v>45218.056944444441</v>
      </c>
      <c r="D447" s="3">
        <v>45218.056944444441</v>
      </c>
      <c r="E447">
        <v>46</v>
      </c>
      <c r="F447" s="1" t="s">
        <v>737</v>
      </c>
      <c r="G447" t="str">
        <f>IFERROR(VLOOKUP(Logs_Registre[[#This Row],[Cell_ID]],Registre_Maintenance[],2,FALSE),"")</f>
        <v/>
      </c>
      <c r="H447" t="str">
        <f>IFERROR(VLOOKUP(Logs_Registre[[#This Row],[Cell_ID]],Registre_Maintenance[],3,FALSE),"")</f>
        <v/>
      </c>
      <c r="I447" t="str">
        <f>IFERROR(VLOOKUP(Logs_Registre[[#This Row],[Cell_ID]],Registre_Maintenance[],4,FALSE),"")</f>
        <v/>
      </c>
      <c r="J447" t="str">
        <f>IFERROR(VLOOKUP(Logs_Registre[[#This Row],[Cell_ID]],Registre_Maintenance[],5,FALSE),"")</f>
        <v/>
      </c>
      <c r="K447" t="str">
        <f>IFERROR(VLOOKUP(Logs_Registre[[#This Row],[Cell_ID]],Registre_Maintenance[],6,FALSE),"")</f>
        <v/>
      </c>
    </row>
    <row r="448" spans="1:11" x14ac:dyDescent="0.25">
      <c r="A448" s="1" t="s">
        <v>1241</v>
      </c>
      <c r="B448" s="1" t="s">
        <v>809</v>
      </c>
      <c r="C448" s="2">
        <v>45218.038194444453</v>
      </c>
      <c r="D448" s="3">
        <v>45218.038194444453</v>
      </c>
      <c r="E448">
        <v>6</v>
      </c>
      <c r="F448" s="1" t="s">
        <v>732</v>
      </c>
      <c r="G448" t="str">
        <f>IFERROR(VLOOKUP(Logs_Registre[[#This Row],[Cell_ID]],Registre_Maintenance[],2,FALSE),"")</f>
        <v>Kwango</v>
      </c>
      <c r="H448">
        <f>IFERROR(VLOOKUP(Logs_Registre[[#This Row],[Cell_ID]],Registre_Maintenance[],3,FALSE),"")</f>
        <v>-9.7712979999999998</v>
      </c>
      <c r="I448">
        <f>IFERROR(VLOOKUP(Logs_Registre[[#This Row],[Cell_ID]],Registre_Maintenance[],4,FALSE),"")</f>
        <v>19.827895999999999</v>
      </c>
      <c r="J448" t="str">
        <f>IFERROR(VLOOKUP(Logs_Registre[[#This Row],[Cell_ID]],Registre_Maintenance[],5,FALSE),"")</f>
        <v>3G</v>
      </c>
      <c r="K448" t="str">
        <f>IFERROR(VLOOKUP(Logs_Registre[[#This Row],[Cell_ID]],Registre_Maintenance[],6,FALSE),"")</f>
        <v>ZTE</v>
      </c>
    </row>
    <row r="449" spans="1:11" x14ac:dyDescent="0.25">
      <c r="A449" s="1" t="s">
        <v>1138</v>
      </c>
      <c r="B449" s="1" t="s">
        <v>1144</v>
      </c>
      <c r="C449" s="2">
        <v>45218.011111111111</v>
      </c>
      <c r="D449" s="3">
        <v>45218.011111111111</v>
      </c>
      <c r="E449">
        <v>59</v>
      </c>
      <c r="F449" s="1" t="s">
        <v>732</v>
      </c>
      <c r="G449" t="str">
        <f>IFERROR(VLOOKUP(Logs_Registre[[#This Row],[Cell_ID]],Registre_Maintenance[],2,FALSE),"")</f>
        <v/>
      </c>
      <c r="H449" t="str">
        <f>IFERROR(VLOOKUP(Logs_Registre[[#This Row],[Cell_ID]],Registre_Maintenance[],3,FALSE),"")</f>
        <v/>
      </c>
      <c r="I449" t="str">
        <f>IFERROR(VLOOKUP(Logs_Registre[[#This Row],[Cell_ID]],Registre_Maintenance[],4,FALSE),"")</f>
        <v/>
      </c>
      <c r="J449" t="str">
        <f>IFERROR(VLOOKUP(Logs_Registre[[#This Row],[Cell_ID]],Registre_Maintenance[],5,FALSE),"")</f>
        <v/>
      </c>
      <c r="K449" t="str">
        <f>IFERROR(VLOOKUP(Logs_Registre[[#This Row],[Cell_ID]],Registre_Maintenance[],6,FALSE),"")</f>
        <v/>
      </c>
    </row>
    <row r="450" spans="1:11" x14ac:dyDescent="0.25">
      <c r="A450" s="1" t="s">
        <v>1330</v>
      </c>
      <c r="B450" s="1" t="s">
        <v>843</v>
      </c>
      <c r="C450" s="2">
        <v>45218.007638888892</v>
      </c>
      <c r="D450" s="3">
        <v>45218.007638888892</v>
      </c>
      <c r="E450">
        <v>44</v>
      </c>
      <c r="F450" s="1" t="s">
        <v>735</v>
      </c>
      <c r="G450" t="str">
        <f>IFERROR(VLOOKUP(Logs_Registre[[#This Row],[Cell_ID]],Registre_Maintenance[],2,FALSE),"")</f>
        <v>Sud-Kivu</v>
      </c>
      <c r="H450">
        <f>IFERROR(VLOOKUP(Logs_Registre[[#This Row],[Cell_ID]],Registre_Maintenance[],3,FALSE),"")</f>
        <v>-9.4702129999999993</v>
      </c>
      <c r="I450">
        <f>IFERROR(VLOOKUP(Logs_Registre[[#This Row],[Cell_ID]],Registre_Maintenance[],4,FALSE),"")</f>
        <v>12.826158</v>
      </c>
      <c r="J450" t="str">
        <f>IFERROR(VLOOKUP(Logs_Registre[[#This Row],[Cell_ID]],Registre_Maintenance[],5,FALSE),"")</f>
        <v>3G</v>
      </c>
      <c r="K450" t="str">
        <f>IFERROR(VLOOKUP(Logs_Registre[[#This Row],[Cell_ID]],Registre_Maintenance[],6,FALSE),"")</f>
        <v>Ericsson</v>
      </c>
    </row>
    <row r="451" spans="1:11" x14ac:dyDescent="0.25">
      <c r="A451" s="1" t="s">
        <v>1308</v>
      </c>
      <c r="B451" s="1" t="s">
        <v>1038</v>
      </c>
      <c r="C451" s="2">
        <v>45217.999305555553</v>
      </c>
      <c r="D451" s="3">
        <v>45217.999305555553</v>
      </c>
      <c r="E451">
        <v>38</v>
      </c>
      <c r="F451" s="1" t="s">
        <v>735</v>
      </c>
      <c r="G451" t="str">
        <f>IFERROR(VLOOKUP(Logs_Registre[[#This Row],[Cell_ID]],Registre_Maintenance[],2,FALSE),"")</f>
        <v>Lualaba</v>
      </c>
      <c r="H451">
        <f>IFERROR(VLOOKUP(Logs_Registre[[#This Row],[Cell_ID]],Registre_Maintenance[],3,FALSE),"")</f>
        <v>-10.967288</v>
      </c>
      <c r="I451">
        <f>IFERROR(VLOOKUP(Logs_Registre[[#This Row],[Cell_ID]],Registre_Maintenance[],4,FALSE),"")</f>
        <v>17.617781000000001</v>
      </c>
      <c r="J451" t="str">
        <f>IFERROR(VLOOKUP(Logs_Registre[[#This Row],[Cell_ID]],Registre_Maintenance[],5,FALSE),"")</f>
        <v>4G</v>
      </c>
      <c r="K451" t="str">
        <f>IFERROR(VLOOKUP(Logs_Registre[[#This Row],[Cell_ID]],Registre_Maintenance[],6,FALSE),"")</f>
        <v>Ericsson</v>
      </c>
    </row>
    <row r="452" spans="1:11" x14ac:dyDescent="0.25">
      <c r="A452" s="1" t="s">
        <v>730</v>
      </c>
      <c r="B452" s="1" t="s">
        <v>767</v>
      </c>
      <c r="C452" s="2">
        <v>45217.96875</v>
      </c>
      <c r="D452" s="3">
        <v>45217.96875</v>
      </c>
      <c r="E452">
        <v>97</v>
      </c>
      <c r="F452" s="1" t="s">
        <v>735</v>
      </c>
      <c r="G452" t="str">
        <f>IFERROR(VLOOKUP(Logs_Registre[[#This Row],[Cell_ID]],Registre_Maintenance[],2,FALSE),"")</f>
        <v>Kasai</v>
      </c>
      <c r="H452">
        <f>IFERROR(VLOOKUP(Logs_Registre[[#This Row],[Cell_ID]],Registre_Maintenance[],3,FALSE),"")</f>
        <v>-10.059846</v>
      </c>
      <c r="I452">
        <f>IFERROR(VLOOKUP(Logs_Registre[[#This Row],[Cell_ID]],Registre_Maintenance[],4,FALSE),"")</f>
        <v>14.375757999999999</v>
      </c>
      <c r="J452" t="str">
        <f>IFERROR(VLOOKUP(Logs_Registre[[#This Row],[Cell_ID]],Registre_Maintenance[],5,FALSE),"")</f>
        <v>4G</v>
      </c>
      <c r="K452" t="str">
        <f>IFERROR(VLOOKUP(Logs_Registre[[#This Row],[Cell_ID]],Registre_Maintenance[],6,FALSE),"")</f>
        <v>Huawei</v>
      </c>
    </row>
    <row r="453" spans="1:11" x14ac:dyDescent="0.25">
      <c r="A453" s="1" t="s">
        <v>1382</v>
      </c>
      <c r="B453" s="1" t="s">
        <v>1394</v>
      </c>
      <c r="C453" s="2">
        <v>45217.944444444453</v>
      </c>
      <c r="D453" s="3">
        <v>45217.944444444453</v>
      </c>
      <c r="E453">
        <v>33</v>
      </c>
      <c r="F453" s="1" t="s">
        <v>732</v>
      </c>
      <c r="G453" t="str">
        <f>IFERROR(VLOOKUP(Logs_Registre[[#This Row],[Cell_ID]],Registre_Maintenance[],2,FALSE),"")</f>
        <v/>
      </c>
      <c r="H453" t="str">
        <f>IFERROR(VLOOKUP(Logs_Registre[[#This Row],[Cell_ID]],Registre_Maintenance[],3,FALSE),"")</f>
        <v/>
      </c>
      <c r="I453" t="str">
        <f>IFERROR(VLOOKUP(Logs_Registre[[#This Row],[Cell_ID]],Registre_Maintenance[],4,FALSE),"")</f>
        <v/>
      </c>
      <c r="J453" t="str">
        <f>IFERROR(VLOOKUP(Logs_Registre[[#This Row],[Cell_ID]],Registre_Maintenance[],5,FALSE),"")</f>
        <v/>
      </c>
      <c r="K453" t="str">
        <f>IFERROR(VLOOKUP(Logs_Registre[[#This Row],[Cell_ID]],Registre_Maintenance[],6,FALSE),"")</f>
        <v/>
      </c>
    </row>
    <row r="454" spans="1:11" x14ac:dyDescent="0.25">
      <c r="A454" s="1" t="s">
        <v>1024</v>
      </c>
      <c r="B454" s="1" t="s">
        <v>1041</v>
      </c>
      <c r="C454" s="2">
        <v>45217.89166666667</v>
      </c>
      <c r="D454" s="3">
        <v>45217.89166666667</v>
      </c>
      <c r="E454">
        <v>108</v>
      </c>
      <c r="F454" s="1" t="s">
        <v>737</v>
      </c>
      <c r="G454" t="str">
        <f>IFERROR(VLOOKUP(Logs_Registre[[#This Row],[Cell_ID]],Registre_Maintenance[],2,FALSE),"")</f>
        <v>Mongala</v>
      </c>
      <c r="H454">
        <f>IFERROR(VLOOKUP(Logs_Registre[[#This Row],[Cell_ID]],Registre_Maintenance[],3,FALSE),"")</f>
        <v>-5.3762689999999997</v>
      </c>
      <c r="I454">
        <f>IFERROR(VLOOKUP(Logs_Registre[[#This Row],[Cell_ID]],Registre_Maintenance[],4,FALSE),"")</f>
        <v>28.189575999999999</v>
      </c>
      <c r="J454" t="str">
        <f>IFERROR(VLOOKUP(Logs_Registre[[#This Row],[Cell_ID]],Registre_Maintenance[],5,FALSE),"")</f>
        <v>5G</v>
      </c>
      <c r="K454" t="str">
        <f>IFERROR(VLOOKUP(Logs_Registre[[#This Row],[Cell_ID]],Registre_Maintenance[],6,FALSE),"")</f>
        <v>Huawei</v>
      </c>
    </row>
    <row r="455" spans="1:11" x14ac:dyDescent="0.25">
      <c r="A455" s="1" t="s">
        <v>1165</v>
      </c>
      <c r="B455" s="1" t="s">
        <v>1191</v>
      </c>
      <c r="C455" s="2">
        <v>45217.863194444442</v>
      </c>
      <c r="D455" s="3">
        <v>45217.863194444442</v>
      </c>
      <c r="E455">
        <v>89</v>
      </c>
      <c r="F455" s="1" t="s">
        <v>732</v>
      </c>
      <c r="G455" t="str">
        <f>IFERROR(VLOOKUP(Logs_Registre[[#This Row],[Cell_ID]],Registre_Maintenance[],2,FALSE),"")</f>
        <v/>
      </c>
      <c r="H455" t="str">
        <f>IFERROR(VLOOKUP(Logs_Registre[[#This Row],[Cell_ID]],Registre_Maintenance[],3,FALSE),"")</f>
        <v/>
      </c>
      <c r="I455" t="str">
        <f>IFERROR(VLOOKUP(Logs_Registre[[#This Row],[Cell_ID]],Registre_Maintenance[],4,FALSE),"")</f>
        <v/>
      </c>
      <c r="J455" t="str">
        <f>IFERROR(VLOOKUP(Logs_Registre[[#This Row],[Cell_ID]],Registre_Maintenance[],5,FALSE),"")</f>
        <v/>
      </c>
      <c r="K455" t="str">
        <f>IFERROR(VLOOKUP(Logs_Registre[[#This Row],[Cell_ID]],Registre_Maintenance[],6,FALSE),"")</f>
        <v/>
      </c>
    </row>
    <row r="456" spans="1:11" x14ac:dyDescent="0.25">
      <c r="A456" s="1" t="s">
        <v>999</v>
      </c>
      <c r="B456" s="1" t="s">
        <v>870</v>
      </c>
      <c r="C456" s="2">
        <v>45217.818749999999</v>
      </c>
      <c r="D456" s="3">
        <v>45217.818749999999</v>
      </c>
      <c r="E456">
        <v>100</v>
      </c>
      <c r="F456" s="1" t="s">
        <v>732</v>
      </c>
      <c r="G456" t="str">
        <f>IFERROR(VLOOKUP(Logs_Registre[[#This Row],[Cell_ID]],Registre_Maintenance[],2,FALSE),"")</f>
        <v/>
      </c>
      <c r="H456" t="str">
        <f>IFERROR(VLOOKUP(Logs_Registre[[#This Row],[Cell_ID]],Registre_Maintenance[],3,FALSE),"")</f>
        <v/>
      </c>
      <c r="I456" t="str">
        <f>IFERROR(VLOOKUP(Logs_Registre[[#This Row],[Cell_ID]],Registre_Maintenance[],4,FALSE),"")</f>
        <v/>
      </c>
      <c r="J456" t="str">
        <f>IFERROR(VLOOKUP(Logs_Registre[[#This Row],[Cell_ID]],Registre_Maintenance[],5,FALSE),"")</f>
        <v/>
      </c>
      <c r="K456" t="str">
        <f>IFERROR(VLOOKUP(Logs_Registre[[#This Row],[Cell_ID]],Registre_Maintenance[],6,FALSE),"")</f>
        <v/>
      </c>
    </row>
    <row r="457" spans="1:11" x14ac:dyDescent="0.25">
      <c r="A457" s="1" t="s">
        <v>1165</v>
      </c>
      <c r="B457" s="1" t="s">
        <v>890</v>
      </c>
      <c r="C457" s="2">
        <v>45217.775694444441</v>
      </c>
      <c r="D457" s="3">
        <v>45217.775694444441</v>
      </c>
      <c r="E457">
        <v>84</v>
      </c>
      <c r="F457" s="1" t="s">
        <v>732</v>
      </c>
      <c r="G457" t="str">
        <f>IFERROR(VLOOKUP(Logs_Registre[[#This Row],[Cell_ID]],Registre_Maintenance[],2,FALSE),"")</f>
        <v>Maniema</v>
      </c>
      <c r="H457">
        <f>IFERROR(VLOOKUP(Logs_Registre[[#This Row],[Cell_ID]],Registre_Maintenance[],3,FALSE),"")</f>
        <v>-2.3743210000000001</v>
      </c>
      <c r="I457">
        <f>IFERROR(VLOOKUP(Logs_Registre[[#This Row],[Cell_ID]],Registre_Maintenance[],4,FALSE),"")</f>
        <v>22.399491000000001</v>
      </c>
      <c r="J457" t="str">
        <f>IFERROR(VLOOKUP(Logs_Registre[[#This Row],[Cell_ID]],Registre_Maintenance[],5,FALSE),"")</f>
        <v>5G</v>
      </c>
      <c r="K457" t="str">
        <f>IFERROR(VLOOKUP(Logs_Registre[[#This Row],[Cell_ID]],Registre_Maintenance[],6,FALSE),"")</f>
        <v>Ericsson</v>
      </c>
    </row>
    <row r="458" spans="1:11" x14ac:dyDescent="0.25">
      <c r="A458" s="1" t="s">
        <v>1241</v>
      </c>
      <c r="B458" s="1" t="s">
        <v>1247</v>
      </c>
      <c r="C458" s="2">
        <v>45217.755555555559</v>
      </c>
      <c r="D458" s="3">
        <v>45217.755555555559</v>
      </c>
      <c r="E458">
        <v>100</v>
      </c>
      <c r="F458" s="1" t="s">
        <v>732</v>
      </c>
      <c r="G458" t="str">
        <f>IFERROR(VLOOKUP(Logs_Registre[[#This Row],[Cell_ID]],Registre_Maintenance[],2,FALSE),"")</f>
        <v>Haut-Uele</v>
      </c>
      <c r="H458">
        <f>IFERROR(VLOOKUP(Logs_Registre[[#This Row],[Cell_ID]],Registre_Maintenance[],3,FALSE),"")</f>
        <v>-3.003879</v>
      </c>
      <c r="I458">
        <f>IFERROR(VLOOKUP(Logs_Registre[[#This Row],[Cell_ID]],Registre_Maintenance[],4,FALSE),"")</f>
        <v>23.633893</v>
      </c>
      <c r="J458" t="str">
        <f>IFERROR(VLOOKUP(Logs_Registre[[#This Row],[Cell_ID]],Registre_Maintenance[],5,FALSE),"")</f>
        <v>5G</v>
      </c>
      <c r="K458" t="str">
        <f>IFERROR(VLOOKUP(Logs_Registre[[#This Row],[Cell_ID]],Registre_Maintenance[],6,FALSE),"")</f>
        <v>Ericsson</v>
      </c>
    </row>
    <row r="459" spans="1:11" x14ac:dyDescent="0.25">
      <c r="A459" s="1" t="s">
        <v>1059</v>
      </c>
      <c r="B459" s="1" t="s">
        <v>870</v>
      </c>
      <c r="C459" s="2">
        <v>45217.701388888891</v>
      </c>
      <c r="D459" s="3">
        <v>45217.701388888891</v>
      </c>
      <c r="E459">
        <v>71</v>
      </c>
      <c r="F459" s="1" t="s">
        <v>735</v>
      </c>
      <c r="G459" t="str">
        <f>IFERROR(VLOOKUP(Logs_Registre[[#This Row],[Cell_ID]],Registre_Maintenance[],2,FALSE),"")</f>
        <v/>
      </c>
      <c r="H459" t="str">
        <f>IFERROR(VLOOKUP(Logs_Registre[[#This Row],[Cell_ID]],Registre_Maintenance[],3,FALSE),"")</f>
        <v/>
      </c>
      <c r="I459" t="str">
        <f>IFERROR(VLOOKUP(Logs_Registre[[#This Row],[Cell_ID]],Registre_Maintenance[],4,FALSE),"")</f>
        <v/>
      </c>
      <c r="J459" t="str">
        <f>IFERROR(VLOOKUP(Logs_Registre[[#This Row],[Cell_ID]],Registre_Maintenance[],5,FALSE),"")</f>
        <v/>
      </c>
      <c r="K459" t="str">
        <f>IFERROR(VLOOKUP(Logs_Registre[[#This Row],[Cell_ID]],Registre_Maintenance[],6,FALSE),"")</f>
        <v/>
      </c>
    </row>
    <row r="460" spans="1:11" x14ac:dyDescent="0.25">
      <c r="A460" s="1" t="s">
        <v>1193</v>
      </c>
      <c r="B460" s="1" t="s">
        <v>931</v>
      </c>
      <c r="C460" s="2">
        <v>45217.68472222222</v>
      </c>
      <c r="D460" s="3">
        <v>45217.68472222222</v>
      </c>
      <c r="E460">
        <v>43</v>
      </c>
      <c r="F460" s="1" t="s">
        <v>732</v>
      </c>
      <c r="G460" t="str">
        <f>IFERROR(VLOOKUP(Logs_Registre[[#This Row],[Cell_ID]],Registre_Maintenance[],2,FALSE),"")</f>
        <v/>
      </c>
      <c r="H460" t="str">
        <f>IFERROR(VLOOKUP(Logs_Registre[[#This Row],[Cell_ID]],Registre_Maintenance[],3,FALSE),"")</f>
        <v/>
      </c>
      <c r="I460" t="str">
        <f>IFERROR(VLOOKUP(Logs_Registre[[#This Row],[Cell_ID]],Registre_Maintenance[],4,FALSE),"")</f>
        <v/>
      </c>
      <c r="J460" t="str">
        <f>IFERROR(VLOOKUP(Logs_Registre[[#This Row],[Cell_ID]],Registre_Maintenance[],5,FALSE),"")</f>
        <v/>
      </c>
      <c r="K460" t="str">
        <f>IFERROR(VLOOKUP(Logs_Registre[[#This Row],[Cell_ID]],Registre_Maintenance[],6,FALSE),"")</f>
        <v/>
      </c>
    </row>
    <row r="461" spans="1:11" x14ac:dyDescent="0.25">
      <c r="A461" s="1" t="s">
        <v>1288</v>
      </c>
      <c r="B461" s="1" t="s">
        <v>1306</v>
      </c>
      <c r="C461" s="2">
        <v>45217.640277777777</v>
      </c>
      <c r="D461" s="3">
        <v>45217.640277777777</v>
      </c>
      <c r="E461">
        <v>113</v>
      </c>
      <c r="F461" s="1" t="s">
        <v>737</v>
      </c>
      <c r="G461" t="str">
        <f>IFERROR(VLOOKUP(Logs_Registre[[#This Row],[Cell_ID]],Registre_Maintenance[],2,FALSE),"")</f>
        <v/>
      </c>
      <c r="H461" t="str">
        <f>IFERROR(VLOOKUP(Logs_Registre[[#This Row],[Cell_ID]],Registre_Maintenance[],3,FALSE),"")</f>
        <v/>
      </c>
      <c r="I461" t="str">
        <f>IFERROR(VLOOKUP(Logs_Registre[[#This Row],[Cell_ID]],Registre_Maintenance[],4,FALSE),"")</f>
        <v/>
      </c>
      <c r="J461" t="str">
        <f>IFERROR(VLOOKUP(Logs_Registre[[#This Row],[Cell_ID]],Registre_Maintenance[],5,FALSE),"")</f>
        <v/>
      </c>
      <c r="K461" t="str">
        <f>IFERROR(VLOOKUP(Logs_Registre[[#This Row],[Cell_ID]],Registre_Maintenance[],6,FALSE),"")</f>
        <v/>
      </c>
    </row>
    <row r="462" spans="1:11" x14ac:dyDescent="0.25">
      <c r="A462" s="1" t="s">
        <v>1288</v>
      </c>
      <c r="B462" s="1" t="s">
        <v>881</v>
      </c>
      <c r="C462" s="2">
        <v>45217.627083333333</v>
      </c>
      <c r="D462" s="3">
        <v>45217.627083333333</v>
      </c>
      <c r="E462">
        <v>33</v>
      </c>
      <c r="F462" s="1" t="s">
        <v>732</v>
      </c>
      <c r="G462" t="str">
        <f>IFERROR(VLOOKUP(Logs_Registre[[#This Row],[Cell_ID]],Registre_Maintenance[],2,FALSE),"")</f>
        <v>Haut-Uele</v>
      </c>
      <c r="H462">
        <f>IFERROR(VLOOKUP(Logs_Registre[[#This Row],[Cell_ID]],Registre_Maintenance[],3,FALSE),"")</f>
        <v>-1.8045979999999999</v>
      </c>
      <c r="I462">
        <f>IFERROR(VLOOKUP(Logs_Registre[[#This Row],[Cell_ID]],Registre_Maintenance[],4,FALSE),"")</f>
        <v>12.511096999999999</v>
      </c>
      <c r="J462" t="str">
        <f>IFERROR(VLOOKUP(Logs_Registre[[#This Row],[Cell_ID]],Registre_Maintenance[],5,FALSE),"")</f>
        <v>3G</v>
      </c>
      <c r="K462" t="str">
        <f>IFERROR(VLOOKUP(Logs_Registre[[#This Row],[Cell_ID]],Registre_Maintenance[],6,FALSE),"")</f>
        <v>Huawei</v>
      </c>
    </row>
    <row r="463" spans="1:11" x14ac:dyDescent="0.25">
      <c r="A463" s="1" t="s">
        <v>1382</v>
      </c>
      <c r="B463" s="1" t="s">
        <v>1386</v>
      </c>
      <c r="C463" s="2">
        <v>45217.578472222223</v>
      </c>
      <c r="D463" s="3">
        <v>45217.578472222223</v>
      </c>
      <c r="E463">
        <v>93</v>
      </c>
      <c r="F463" s="1" t="s">
        <v>735</v>
      </c>
      <c r="G463" t="str">
        <f>IFERROR(VLOOKUP(Logs_Registre[[#This Row],[Cell_ID]],Registre_Maintenance[],2,FALSE),"")</f>
        <v>Kasai-Central</v>
      </c>
      <c r="H463">
        <f>IFERROR(VLOOKUP(Logs_Registre[[#This Row],[Cell_ID]],Registre_Maintenance[],3,FALSE),"")</f>
        <v>-10.735106</v>
      </c>
      <c r="I463">
        <f>IFERROR(VLOOKUP(Logs_Registre[[#This Row],[Cell_ID]],Registre_Maintenance[],4,FALSE),"")</f>
        <v>27.868673999999999</v>
      </c>
      <c r="J463" t="str">
        <f>IFERROR(VLOOKUP(Logs_Registre[[#This Row],[Cell_ID]],Registre_Maintenance[],5,FALSE),"")</f>
        <v>3G</v>
      </c>
      <c r="K463" t="str">
        <f>IFERROR(VLOOKUP(Logs_Registre[[#This Row],[Cell_ID]],Registre_Maintenance[],6,FALSE),"")</f>
        <v>Ericsson</v>
      </c>
    </row>
    <row r="464" spans="1:11" x14ac:dyDescent="0.25">
      <c r="A464" s="1" t="s">
        <v>861</v>
      </c>
      <c r="B464" s="1" t="s">
        <v>896</v>
      </c>
      <c r="C464" s="2">
        <v>45217.570833333331</v>
      </c>
      <c r="D464" s="3">
        <v>45217.570833333331</v>
      </c>
      <c r="E464">
        <v>28</v>
      </c>
      <c r="F464" s="1" t="s">
        <v>732</v>
      </c>
      <c r="G464" t="str">
        <f>IFERROR(VLOOKUP(Logs_Registre[[#This Row],[Cell_ID]],Registre_Maintenance[],2,FALSE),"")</f>
        <v/>
      </c>
      <c r="H464" t="str">
        <f>IFERROR(VLOOKUP(Logs_Registre[[#This Row],[Cell_ID]],Registre_Maintenance[],3,FALSE),"")</f>
        <v/>
      </c>
      <c r="I464" t="str">
        <f>IFERROR(VLOOKUP(Logs_Registre[[#This Row],[Cell_ID]],Registre_Maintenance[],4,FALSE),"")</f>
        <v/>
      </c>
      <c r="J464" t="str">
        <f>IFERROR(VLOOKUP(Logs_Registre[[#This Row],[Cell_ID]],Registre_Maintenance[],5,FALSE),"")</f>
        <v/>
      </c>
      <c r="K464" t="str">
        <f>IFERROR(VLOOKUP(Logs_Registre[[#This Row],[Cell_ID]],Registre_Maintenance[],6,FALSE),"")</f>
        <v/>
      </c>
    </row>
    <row r="465" spans="1:11" x14ac:dyDescent="0.25">
      <c r="A465" s="1" t="s">
        <v>1241</v>
      </c>
      <c r="B465" s="1" t="s">
        <v>738</v>
      </c>
      <c r="C465" s="2">
        <v>45217.509027777778</v>
      </c>
      <c r="D465" s="3">
        <v>45217.509027777778</v>
      </c>
      <c r="E465">
        <v>49</v>
      </c>
      <c r="F465" s="1" t="s">
        <v>732</v>
      </c>
      <c r="G465" t="str">
        <f>IFERROR(VLOOKUP(Logs_Registre[[#This Row],[Cell_ID]],Registre_Maintenance[],2,FALSE),"")</f>
        <v/>
      </c>
      <c r="H465" t="str">
        <f>IFERROR(VLOOKUP(Logs_Registre[[#This Row],[Cell_ID]],Registre_Maintenance[],3,FALSE),"")</f>
        <v/>
      </c>
      <c r="I465" t="str">
        <f>IFERROR(VLOOKUP(Logs_Registre[[#This Row],[Cell_ID]],Registre_Maintenance[],4,FALSE),"")</f>
        <v/>
      </c>
      <c r="J465" t="str">
        <f>IFERROR(VLOOKUP(Logs_Registre[[#This Row],[Cell_ID]],Registre_Maintenance[],5,FALSE),"")</f>
        <v/>
      </c>
      <c r="K465" t="str">
        <f>IFERROR(VLOOKUP(Logs_Registre[[#This Row],[Cell_ID]],Registre_Maintenance[],6,FALSE),"")</f>
        <v/>
      </c>
    </row>
    <row r="466" spans="1:11" x14ac:dyDescent="0.25">
      <c r="A466" s="1" t="s">
        <v>1308</v>
      </c>
      <c r="B466" s="1" t="s">
        <v>1040</v>
      </c>
      <c r="C466" s="2">
        <v>45217.504166666673</v>
      </c>
      <c r="D466" s="3">
        <v>45217.504166666673</v>
      </c>
      <c r="E466">
        <v>55</v>
      </c>
      <c r="F466" s="1" t="s">
        <v>737</v>
      </c>
      <c r="G466" t="str">
        <f>IFERROR(VLOOKUP(Logs_Registre[[#This Row],[Cell_ID]],Registre_Maintenance[],2,FALSE),"")</f>
        <v/>
      </c>
      <c r="H466" t="str">
        <f>IFERROR(VLOOKUP(Logs_Registre[[#This Row],[Cell_ID]],Registre_Maintenance[],3,FALSE),"")</f>
        <v/>
      </c>
      <c r="I466" t="str">
        <f>IFERROR(VLOOKUP(Logs_Registre[[#This Row],[Cell_ID]],Registre_Maintenance[],4,FALSE),"")</f>
        <v/>
      </c>
      <c r="J466" t="str">
        <f>IFERROR(VLOOKUP(Logs_Registre[[#This Row],[Cell_ID]],Registre_Maintenance[],5,FALSE),"")</f>
        <v/>
      </c>
      <c r="K466" t="str">
        <f>IFERROR(VLOOKUP(Logs_Registre[[#This Row],[Cell_ID]],Registre_Maintenance[],6,FALSE),"")</f>
        <v/>
      </c>
    </row>
    <row r="467" spans="1:11" x14ac:dyDescent="0.25">
      <c r="A467" s="1" t="s">
        <v>1114</v>
      </c>
      <c r="B467" s="1" t="s">
        <v>1131</v>
      </c>
      <c r="C467" s="2">
        <v>45217.488194444442</v>
      </c>
      <c r="D467" s="3">
        <v>45217.488194444442</v>
      </c>
      <c r="E467">
        <v>94</v>
      </c>
      <c r="F467" s="1" t="s">
        <v>732</v>
      </c>
      <c r="G467" t="str">
        <f>IFERROR(VLOOKUP(Logs_Registre[[#This Row],[Cell_ID]],Registre_Maintenance[],2,FALSE),"")</f>
        <v/>
      </c>
      <c r="H467" t="str">
        <f>IFERROR(VLOOKUP(Logs_Registre[[#This Row],[Cell_ID]],Registre_Maintenance[],3,FALSE),"")</f>
        <v/>
      </c>
      <c r="I467" t="str">
        <f>IFERROR(VLOOKUP(Logs_Registre[[#This Row],[Cell_ID]],Registre_Maintenance[],4,FALSE),"")</f>
        <v/>
      </c>
      <c r="J467" t="str">
        <f>IFERROR(VLOOKUP(Logs_Registre[[#This Row],[Cell_ID]],Registre_Maintenance[],5,FALSE),"")</f>
        <v/>
      </c>
      <c r="K467" t="str">
        <f>IFERROR(VLOOKUP(Logs_Registre[[#This Row],[Cell_ID]],Registre_Maintenance[],6,FALSE),"")</f>
        <v/>
      </c>
    </row>
    <row r="468" spans="1:11" x14ac:dyDescent="0.25">
      <c r="A468" s="1" t="s">
        <v>1330</v>
      </c>
      <c r="B468" s="1" t="s">
        <v>869</v>
      </c>
      <c r="C468" s="2">
        <v>45217.473611111112</v>
      </c>
      <c r="D468" s="3">
        <v>45217.473611111112</v>
      </c>
      <c r="E468">
        <v>37</v>
      </c>
      <c r="F468" s="1" t="s">
        <v>737</v>
      </c>
      <c r="G468" t="str">
        <f>IFERROR(VLOOKUP(Logs_Registre[[#This Row],[Cell_ID]],Registre_Maintenance[],2,FALSE),"")</f>
        <v>Kwilu</v>
      </c>
      <c r="H468">
        <f>IFERROR(VLOOKUP(Logs_Registre[[#This Row],[Cell_ID]],Registre_Maintenance[],3,FALSE),"")</f>
        <v>-8.5675749999999997</v>
      </c>
      <c r="I468">
        <f>IFERROR(VLOOKUP(Logs_Registre[[#This Row],[Cell_ID]],Registre_Maintenance[],4,FALSE),"")</f>
        <v>26.994581</v>
      </c>
      <c r="J468" t="str">
        <f>IFERROR(VLOOKUP(Logs_Registre[[#This Row],[Cell_ID]],Registre_Maintenance[],5,FALSE),"")</f>
        <v>3G</v>
      </c>
      <c r="K468" t="str">
        <f>IFERROR(VLOOKUP(Logs_Registre[[#This Row],[Cell_ID]],Registre_Maintenance[],6,FALSE),"")</f>
        <v>Nokia</v>
      </c>
    </row>
    <row r="469" spans="1:11" x14ac:dyDescent="0.25">
      <c r="A469" s="1" t="s">
        <v>1086</v>
      </c>
      <c r="B469" s="1" t="s">
        <v>848</v>
      </c>
      <c r="C469" s="2">
        <v>45217.414583333331</v>
      </c>
      <c r="D469" s="3">
        <v>45217.414583333331</v>
      </c>
      <c r="E469">
        <v>74</v>
      </c>
      <c r="F469" s="1" t="s">
        <v>737</v>
      </c>
      <c r="G469" t="str">
        <f>IFERROR(VLOOKUP(Logs_Registre[[#This Row],[Cell_ID]],Registre_Maintenance[],2,FALSE),"")</f>
        <v/>
      </c>
      <c r="H469" t="str">
        <f>IFERROR(VLOOKUP(Logs_Registre[[#This Row],[Cell_ID]],Registre_Maintenance[],3,FALSE),"")</f>
        <v/>
      </c>
      <c r="I469" t="str">
        <f>IFERROR(VLOOKUP(Logs_Registre[[#This Row],[Cell_ID]],Registre_Maintenance[],4,FALSE),"")</f>
        <v/>
      </c>
      <c r="J469" t="str">
        <f>IFERROR(VLOOKUP(Logs_Registre[[#This Row],[Cell_ID]],Registre_Maintenance[],5,FALSE),"")</f>
        <v/>
      </c>
      <c r="K469" t="str">
        <f>IFERROR(VLOOKUP(Logs_Registre[[#This Row],[Cell_ID]],Registre_Maintenance[],6,FALSE),"")</f>
        <v/>
      </c>
    </row>
    <row r="470" spans="1:11" x14ac:dyDescent="0.25">
      <c r="A470" s="1" t="s">
        <v>730</v>
      </c>
      <c r="B470" s="1" t="s">
        <v>755</v>
      </c>
      <c r="C470" s="2">
        <v>45217.411805555559</v>
      </c>
      <c r="D470" s="3">
        <v>45217.411805555559</v>
      </c>
      <c r="E470">
        <v>92</v>
      </c>
      <c r="F470" s="1" t="s">
        <v>737</v>
      </c>
      <c r="G470" t="str">
        <f>IFERROR(VLOOKUP(Logs_Registre[[#This Row],[Cell_ID]],Registre_Maintenance[],2,FALSE),"")</f>
        <v/>
      </c>
      <c r="H470" t="str">
        <f>IFERROR(VLOOKUP(Logs_Registre[[#This Row],[Cell_ID]],Registre_Maintenance[],3,FALSE),"")</f>
        <v/>
      </c>
      <c r="I470" t="str">
        <f>IFERROR(VLOOKUP(Logs_Registre[[#This Row],[Cell_ID]],Registre_Maintenance[],4,FALSE),"")</f>
        <v/>
      </c>
      <c r="J470" t="str">
        <f>IFERROR(VLOOKUP(Logs_Registre[[#This Row],[Cell_ID]],Registre_Maintenance[],5,FALSE),"")</f>
        <v/>
      </c>
      <c r="K470" t="str">
        <f>IFERROR(VLOOKUP(Logs_Registre[[#This Row],[Cell_ID]],Registre_Maintenance[],6,FALSE),"")</f>
        <v/>
      </c>
    </row>
    <row r="471" spans="1:11" x14ac:dyDescent="0.25">
      <c r="A471" s="1" t="s">
        <v>1114</v>
      </c>
      <c r="B471" s="1" t="s">
        <v>1134</v>
      </c>
      <c r="C471" s="2">
        <v>45217.384722222218</v>
      </c>
      <c r="D471" s="3">
        <v>45217.384722222218</v>
      </c>
      <c r="E471">
        <v>99</v>
      </c>
      <c r="F471" s="1" t="s">
        <v>735</v>
      </c>
      <c r="G471" t="str">
        <f>IFERROR(VLOOKUP(Logs_Registre[[#This Row],[Cell_ID]],Registre_Maintenance[],2,FALSE),"")</f>
        <v>Haut-Lomami</v>
      </c>
      <c r="H471">
        <f>IFERROR(VLOOKUP(Logs_Registre[[#This Row],[Cell_ID]],Registre_Maintenance[],3,FALSE),"")</f>
        <v>-4.8157019999999999</v>
      </c>
      <c r="I471">
        <f>IFERROR(VLOOKUP(Logs_Registre[[#This Row],[Cell_ID]],Registre_Maintenance[],4,FALSE),"")</f>
        <v>27.679798000000002</v>
      </c>
      <c r="J471" t="str">
        <f>IFERROR(VLOOKUP(Logs_Registre[[#This Row],[Cell_ID]],Registre_Maintenance[],5,FALSE),"")</f>
        <v>3G</v>
      </c>
      <c r="K471" t="str">
        <f>IFERROR(VLOOKUP(Logs_Registre[[#This Row],[Cell_ID]],Registre_Maintenance[],6,FALSE),"")</f>
        <v>Ericsson</v>
      </c>
    </row>
    <row r="472" spans="1:11" x14ac:dyDescent="0.25">
      <c r="A472" s="1" t="s">
        <v>978</v>
      </c>
      <c r="B472" s="1" t="s">
        <v>995</v>
      </c>
      <c r="C472" s="2">
        <v>45217.368750000001</v>
      </c>
      <c r="D472" s="3">
        <v>45217.368750000001</v>
      </c>
      <c r="E472">
        <v>8</v>
      </c>
      <c r="F472" s="1" t="s">
        <v>732</v>
      </c>
      <c r="G472" t="str">
        <f>IFERROR(VLOOKUP(Logs_Registre[[#This Row],[Cell_ID]],Registre_Maintenance[],2,FALSE),"")</f>
        <v>Nord-Kivu</v>
      </c>
      <c r="H472">
        <f>IFERROR(VLOOKUP(Logs_Registre[[#This Row],[Cell_ID]],Registre_Maintenance[],3,FALSE),"")</f>
        <v>-4.1754939999999996</v>
      </c>
      <c r="I472">
        <f>IFERROR(VLOOKUP(Logs_Registre[[#This Row],[Cell_ID]],Registre_Maintenance[],4,FALSE),"")</f>
        <v>16.704664999999999</v>
      </c>
      <c r="J472" t="str">
        <f>IFERROR(VLOOKUP(Logs_Registre[[#This Row],[Cell_ID]],Registre_Maintenance[],5,FALSE),"")</f>
        <v>3G</v>
      </c>
      <c r="K472" t="str">
        <f>IFERROR(VLOOKUP(Logs_Registre[[#This Row],[Cell_ID]],Registre_Maintenance[],6,FALSE),"")</f>
        <v>Ericsson</v>
      </c>
    </row>
    <row r="473" spans="1:11" x14ac:dyDescent="0.25">
      <c r="A473" s="1" t="s">
        <v>1382</v>
      </c>
      <c r="B473" s="1" t="s">
        <v>1402</v>
      </c>
      <c r="C473" s="2">
        <v>45217.324305555558</v>
      </c>
      <c r="D473" s="3">
        <v>45217.324305555558</v>
      </c>
      <c r="E473">
        <v>14</v>
      </c>
      <c r="F473" s="1" t="s">
        <v>735</v>
      </c>
      <c r="G473" t="str">
        <f>IFERROR(VLOOKUP(Logs_Registre[[#This Row],[Cell_ID]],Registre_Maintenance[],2,FALSE),"")</f>
        <v/>
      </c>
      <c r="H473" t="str">
        <f>IFERROR(VLOOKUP(Logs_Registre[[#This Row],[Cell_ID]],Registre_Maintenance[],3,FALSE),"")</f>
        <v/>
      </c>
      <c r="I473" t="str">
        <f>IFERROR(VLOOKUP(Logs_Registre[[#This Row],[Cell_ID]],Registre_Maintenance[],4,FALSE),"")</f>
        <v/>
      </c>
      <c r="J473" t="str">
        <f>IFERROR(VLOOKUP(Logs_Registre[[#This Row],[Cell_ID]],Registre_Maintenance[],5,FALSE),"")</f>
        <v/>
      </c>
      <c r="K473" t="str">
        <f>IFERROR(VLOOKUP(Logs_Registre[[#This Row],[Cell_ID]],Registre_Maintenance[],6,FALSE),"")</f>
        <v/>
      </c>
    </row>
    <row r="474" spans="1:11" x14ac:dyDescent="0.25">
      <c r="A474" s="1" t="s">
        <v>730</v>
      </c>
      <c r="B474" s="1" t="s">
        <v>770</v>
      </c>
      <c r="C474" s="2">
        <v>45217.321527777778</v>
      </c>
      <c r="D474" s="3">
        <v>45217.321527777778</v>
      </c>
      <c r="E474">
        <v>118</v>
      </c>
      <c r="F474" s="1" t="s">
        <v>735</v>
      </c>
      <c r="G474" t="str">
        <f>IFERROR(VLOOKUP(Logs_Registre[[#This Row],[Cell_ID]],Registre_Maintenance[],2,FALSE),"")</f>
        <v/>
      </c>
      <c r="H474" t="str">
        <f>IFERROR(VLOOKUP(Logs_Registre[[#This Row],[Cell_ID]],Registre_Maintenance[],3,FALSE),"")</f>
        <v/>
      </c>
      <c r="I474" t="str">
        <f>IFERROR(VLOOKUP(Logs_Registre[[#This Row],[Cell_ID]],Registre_Maintenance[],4,FALSE),"")</f>
        <v/>
      </c>
      <c r="J474" t="str">
        <f>IFERROR(VLOOKUP(Logs_Registre[[#This Row],[Cell_ID]],Registre_Maintenance[],5,FALSE),"")</f>
        <v/>
      </c>
      <c r="K474" t="str">
        <f>IFERROR(VLOOKUP(Logs_Registre[[#This Row],[Cell_ID]],Registre_Maintenance[],6,FALSE),"")</f>
        <v/>
      </c>
    </row>
    <row r="475" spans="1:11" x14ac:dyDescent="0.25">
      <c r="A475" s="1" t="s">
        <v>1288</v>
      </c>
      <c r="B475" s="1" t="s">
        <v>1290</v>
      </c>
      <c r="C475" s="2">
        <v>45217.29583333333</v>
      </c>
      <c r="D475" s="3">
        <v>45217.29583333333</v>
      </c>
      <c r="E475">
        <v>119</v>
      </c>
      <c r="F475" s="1" t="s">
        <v>732</v>
      </c>
      <c r="G475" t="str">
        <f>IFERROR(VLOOKUP(Logs_Registre[[#This Row],[Cell_ID]],Registre_Maintenance[],2,FALSE),"")</f>
        <v/>
      </c>
      <c r="H475" t="str">
        <f>IFERROR(VLOOKUP(Logs_Registre[[#This Row],[Cell_ID]],Registre_Maintenance[],3,FALSE),"")</f>
        <v/>
      </c>
      <c r="I475" t="str">
        <f>IFERROR(VLOOKUP(Logs_Registre[[#This Row],[Cell_ID]],Registre_Maintenance[],4,FALSE),"")</f>
        <v/>
      </c>
      <c r="J475" t="str">
        <f>IFERROR(VLOOKUP(Logs_Registre[[#This Row],[Cell_ID]],Registre_Maintenance[],5,FALSE),"")</f>
        <v/>
      </c>
      <c r="K475" t="str">
        <f>IFERROR(VLOOKUP(Logs_Registre[[#This Row],[Cell_ID]],Registre_Maintenance[],6,FALSE),"")</f>
        <v/>
      </c>
    </row>
    <row r="476" spans="1:11" x14ac:dyDescent="0.25">
      <c r="A476" s="1" t="s">
        <v>730</v>
      </c>
      <c r="B476" s="1" t="s">
        <v>742</v>
      </c>
      <c r="C476" s="2">
        <v>45217.28125</v>
      </c>
      <c r="D476" s="3">
        <v>45217.28125</v>
      </c>
      <c r="E476">
        <v>51</v>
      </c>
      <c r="F476" s="1" t="s">
        <v>735</v>
      </c>
      <c r="G476" t="str">
        <f>IFERROR(VLOOKUP(Logs_Registre[[#This Row],[Cell_ID]],Registre_Maintenance[],2,FALSE),"")</f>
        <v/>
      </c>
      <c r="H476" t="str">
        <f>IFERROR(VLOOKUP(Logs_Registre[[#This Row],[Cell_ID]],Registre_Maintenance[],3,FALSE),"")</f>
        <v/>
      </c>
      <c r="I476" t="str">
        <f>IFERROR(VLOOKUP(Logs_Registre[[#This Row],[Cell_ID]],Registre_Maintenance[],4,FALSE),"")</f>
        <v/>
      </c>
      <c r="J476" t="str">
        <f>IFERROR(VLOOKUP(Logs_Registre[[#This Row],[Cell_ID]],Registre_Maintenance[],5,FALSE),"")</f>
        <v/>
      </c>
      <c r="K476" t="str">
        <f>IFERROR(VLOOKUP(Logs_Registre[[#This Row],[Cell_ID]],Registre_Maintenance[],6,FALSE),"")</f>
        <v/>
      </c>
    </row>
    <row r="477" spans="1:11" x14ac:dyDescent="0.25">
      <c r="A477" s="1" t="s">
        <v>1086</v>
      </c>
      <c r="B477" s="1" t="s">
        <v>1040</v>
      </c>
      <c r="C477" s="2">
        <v>45217.193749999999</v>
      </c>
      <c r="D477" s="3">
        <v>45217.193749999999</v>
      </c>
      <c r="E477">
        <v>56</v>
      </c>
      <c r="F477" s="1" t="s">
        <v>732</v>
      </c>
      <c r="G477" t="str">
        <f>IFERROR(VLOOKUP(Logs_Registre[[#This Row],[Cell_ID]],Registre_Maintenance[],2,FALSE),"")</f>
        <v/>
      </c>
      <c r="H477" t="str">
        <f>IFERROR(VLOOKUP(Logs_Registre[[#This Row],[Cell_ID]],Registre_Maintenance[],3,FALSE),"")</f>
        <v/>
      </c>
      <c r="I477" t="str">
        <f>IFERROR(VLOOKUP(Logs_Registre[[#This Row],[Cell_ID]],Registre_Maintenance[],4,FALSE),"")</f>
        <v/>
      </c>
      <c r="J477" t="str">
        <f>IFERROR(VLOOKUP(Logs_Registre[[#This Row],[Cell_ID]],Registre_Maintenance[],5,FALSE),"")</f>
        <v/>
      </c>
      <c r="K477" t="str">
        <f>IFERROR(VLOOKUP(Logs_Registre[[#This Row],[Cell_ID]],Registre_Maintenance[],6,FALSE),"")</f>
        <v/>
      </c>
    </row>
    <row r="478" spans="1:11" x14ac:dyDescent="0.25">
      <c r="A478" s="1" t="s">
        <v>823</v>
      </c>
      <c r="B478" s="1" t="s">
        <v>843</v>
      </c>
      <c r="C478" s="2">
        <v>45217.175000000003</v>
      </c>
      <c r="D478" s="3">
        <v>45217.175000000003</v>
      </c>
      <c r="E478">
        <v>18</v>
      </c>
      <c r="F478" s="1" t="s">
        <v>737</v>
      </c>
      <c r="G478" t="str">
        <f>IFERROR(VLOOKUP(Logs_Registre[[#This Row],[Cell_ID]],Registre_Maintenance[],2,FALSE),"")</f>
        <v>Sud-Kivu</v>
      </c>
      <c r="H478">
        <f>IFERROR(VLOOKUP(Logs_Registre[[#This Row],[Cell_ID]],Registre_Maintenance[],3,FALSE),"")</f>
        <v>-9.4702129999999993</v>
      </c>
      <c r="I478">
        <f>IFERROR(VLOOKUP(Logs_Registre[[#This Row],[Cell_ID]],Registre_Maintenance[],4,FALSE),"")</f>
        <v>12.826158</v>
      </c>
      <c r="J478" t="str">
        <f>IFERROR(VLOOKUP(Logs_Registre[[#This Row],[Cell_ID]],Registre_Maintenance[],5,FALSE),"")</f>
        <v>3G</v>
      </c>
      <c r="K478" t="str">
        <f>IFERROR(VLOOKUP(Logs_Registre[[#This Row],[Cell_ID]],Registre_Maintenance[],6,FALSE),"")</f>
        <v>Ericsson</v>
      </c>
    </row>
    <row r="479" spans="1:11" x14ac:dyDescent="0.25">
      <c r="A479" s="1" t="s">
        <v>1138</v>
      </c>
      <c r="B479" s="1" t="s">
        <v>866</v>
      </c>
      <c r="C479" s="2">
        <v>45217.173611111109</v>
      </c>
      <c r="D479" s="3">
        <v>45217.173611111109</v>
      </c>
      <c r="E479">
        <v>53</v>
      </c>
      <c r="F479" s="1" t="s">
        <v>735</v>
      </c>
      <c r="G479" t="str">
        <f>IFERROR(VLOOKUP(Logs_Registre[[#This Row],[Cell_ID]],Registre_Maintenance[],2,FALSE),"")</f>
        <v>Kinshasa</v>
      </c>
      <c r="H479">
        <f>IFERROR(VLOOKUP(Logs_Registre[[#This Row],[Cell_ID]],Registre_Maintenance[],3,FALSE),"")</f>
        <v>-1.6097570000000001</v>
      </c>
      <c r="I479">
        <f>IFERROR(VLOOKUP(Logs_Registre[[#This Row],[Cell_ID]],Registre_Maintenance[],4,FALSE),"")</f>
        <v>30.661662</v>
      </c>
      <c r="J479" t="str">
        <f>IFERROR(VLOOKUP(Logs_Registre[[#This Row],[Cell_ID]],Registre_Maintenance[],5,FALSE),"")</f>
        <v>4G</v>
      </c>
      <c r="K479" t="str">
        <f>IFERROR(VLOOKUP(Logs_Registre[[#This Row],[Cell_ID]],Registre_Maintenance[],6,FALSE),"")</f>
        <v>Ericsson</v>
      </c>
    </row>
    <row r="480" spans="1:11" x14ac:dyDescent="0.25">
      <c r="A480" s="1" t="s">
        <v>730</v>
      </c>
      <c r="B480" s="1" t="s">
        <v>738</v>
      </c>
      <c r="C480" s="2">
        <v>45217.109027777777</v>
      </c>
      <c r="D480" s="3">
        <v>45217.109027777777</v>
      </c>
      <c r="E480">
        <v>59</v>
      </c>
      <c r="F480" s="1" t="s">
        <v>732</v>
      </c>
      <c r="G480" t="str">
        <f>IFERROR(VLOOKUP(Logs_Registre[[#This Row],[Cell_ID]],Registre_Maintenance[],2,FALSE),"")</f>
        <v/>
      </c>
      <c r="H480" t="str">
        <f>IFERROR(VLOOKUP(Logs_Registre[[#This Row],[Cell_ID]],Registre_Maintenance[],3,FALSE),"")</f>
        <v/>
      </c>
      <c r="I480" t="str">
        <f>IFERROR(VLOOKUP(Logs_Registre[[#This Row],[Cell_ID]],Registre_Maintenance[],4,FALSE),"")</f>
        <v/>
      </c>
      <c r="J480" t="str">
        <f>IFERROR(VLOOKUP(Logs_Registre[[#This Row],[Cell_ID]],Registre_Maintenance[],5,FALSE),"")</f>
        <v/>
      </c>
      <c r="K480" t="str">
        <f>IFERROR(VLOOKUP(Logs_Registre[[#This Row],[Cell_ID]],Registre_Maintenance[],6,FALSE),"")</f>
        <v/>
      </c>
    </row>
    <row r="481" spans="1:11" x14ac:dyDescent="0.25">
      <c r="A481" s="1" t="s">
        <v>939</v>
      </c>
      <c r="B481" s="1" t="s">
        <v>957</v>
      </c>
      <c r="C481" s="2">
        <v>45217.068749999999</v>
      </c>
      <c r="D481" s="3">
        <v>45217.068749999999</v>
      </c>
      <c r="E481">
        <v>77</v>
      </c>
      <c r="F481" s="1" t="s">
        <v>737</v>
      </c>
      <c r="G481" t="str">
        <f>IFERROR(VLOOKUP(Logs_Registre[[#This Row],[Cell_ID]],Registre_Maintenance[],2,FALSE),"")</f>
        <v/>
      </c>
      <c r="H481" t="str">
        <f>IFERROR(VLOOKUP(Logs_Registre[[#This Row],[Cell_ID]],Registre_Maintenance[],3,FALSE),"")</f>
        <v/>
      </c>
      <c r="I481" t="str">
        <f>IFERROR(VLOOKUP(Logs_Registre[[#This Row],[Cell_ID]],Registre_Maintenance[],4,FALSE),"")</f>
        <v/>
      </c>
      <c r="J481" t="str">
        <f>IFERROR(VLOOKUP(Logs_Registre[[#This Row],[Cell_ID]],Registre_Maintenance[],5,FALSE),"")</f>
        <v/>
      </c>
      <c r="K481" t="str">
        <f>IFERROR(VLOOKUP(Logs_Registre[[#This Row],[Cell_ID]],Registre_Maintenance[],6,FALSE),"")</f>
        <v/>
      </c>
    </row>
    <row r="482" spans="1:11" x14ac:dyDescent="0.25">
      <c r="A482" s="1" t="s">
        <v>1404</v>
      </c>
      <c r="B482" s="1" t="s">
        <v>1045</v>
      </c>
      <c r="C482" s="2">
        <v>45217.02847222222</v>
      </c>
      <c r="D482" s="3">
        <v>45217.02847222222</v>
      </c>
      <c r="E482">
        <v>120</v>
      </c>
      <c r="F482" s="1" t="s">
        <v>737</v>
      </c>
      <c r="G482" t="str">
        <f>IFERROR(VLOOKUP(Logs_Registre[[#This Row],[Cell_ID]],Registre_Maintenance[],2,FALSE),"")</f>
        <v>Sud-Kivu</v>
      </c>
      <c r="H482">
        <f>IFERROR(VLOOKUP(Logs_Registre[[#This Row],[Cell_ID]],Registre_Maintenance[],3,FALSE),"")</f>
        <v>-4.1694589999999998</v>
      </c>
      <c r="I482">
        <f>IFERROR(VLOOKUP(Logs_Registre[[#This Row],[Cell_ID]],Registre_Maintenance[],4,FALSE),"")</f>
        <v>23.376487000000001</v>
      </c>
      <c r="J482" t="str">
        <f>IFERROR(VLOOKUP(Logs_Registre[[#This Row],[Cell_ID]],Registre_Maintenance[],5,FALSE),"")</f>
        <v>3G</v>
      </c>
      <c r="K482" t="str">
        <f>IFERROR(VLOOKUP(Logs_Registre[[#This Row],[Cell_ID]],Registre_Maintenance[],6,FALSE),"")</f>
        <v>Nokia</v>
      </c>
    </row>
    <row r="483" spans="1:11" x14ac:dyDescent="0.25">
      <c r="A483" s="1" t="s">
        <v>1059</v>
      </c>
      <c r="B483" s="1" t="s">
        <v>913</v>
      </c>
      <c r="C483" s="2">
        <v>45217.027777777781</v>
      </c>
      <c r="D483" s="3">
        <v>45217.027777777781</v>
      </c>
      <c r="E483">
        <v>54</v>
      </c>
      <c r="F483" s="1" t="s">
        <v>735</v>
      </c>
      <c r="G483" t="str">
        <f>IFERROR(VLOOKUP(Logs_Registre[[#This Row],[Cell_ID]],Registre_Maintenance[],2,FALSE),"")</f>
        <v/>
      </c>
      <c r="H483" t="str">
        <f>IFERROR(VLOOKUP(Logs_Registre[[#This Row],[Cell_ID]],Registre_Maintenance[],3,FALSE),"")</f>
        <v/>
      </c>
      <c r="I483" t="str">
        <f>IFERROR(VLOOKUP(Logs_Registre[[#This Row],[Cell_ID]],Registre_Maintenance[],4,FALSE),"")</f>
        <v/>
      </c>
      <c r="J483" t="str">
        <f>IFERROR(VLOOKUP(Logs_Registre[[#This Row],[Cell_ID]],Registre_Maintenance[],5,FALSE),"")</f>
        <v/>
      </c>
      <c r="K483" t="str">
        <f>IFERROR(VLOOKUP(Logs_Registre[[#This Row],[Cell_ID]],Registre_Maintenance[],6,FALSE),"")</f>
        <v/>
      </c>
    </row>
    <row r="484" spans="1:11" x14ac:dyDescent="0.25">
      <c r="A484" s="1" t="s">
        <v>1241</v>
      </c>
      <c r="B484" s="1" t="s">
        <v>1057</v>
      </c>
      <c r="C484" s="2">
        <v>45216.970138888893</v>
      </c>
      <c r="D484" s="3">
        <v>45216.970138888893</v>
      </c>
      <c r="E484">
        <v>13</v>
      </c>
      <c r="F484" s="1" t="s">
        <v>737</v>
      </c>
      <c r="G484" t="str">
        <f>IFERROR(VLOOKUP(Logs_Registre[[#This Row],[Cell_ID]],Registre_Maintenance[],2,FALSE),"")</f>
        <v>Bas-Uele</v>
      </c>
      <c r="H484">
        <f>IFERROR(VLOOKUP(Logs_Registre[[#This Row],[Cell_ID]],Registre_Maintenance[],3,FALSE),"")</f>
        <v>-6.4197189999999997</v>
      </c>
      <c r="I484">
        <f>IFERROR(VLOOKUP(Logs_Registre[[#This Row],[Cell_ID]],Registre_Maintenance[],4,FALSE),"")</f>
        <v>22.287264</v>
      </c>
      <c r="J484" t="str">
        <f>IFERROR(VLOOKUP(Logs_Registre[[#This Row],[Cell_ID]],Registre_Maintenance[],5,FALSE),"")</f>
        <v>3G</v>
      </c>
      <c r="K484" t="str">
        <f>IFERROR(VLOOKUP(Logs_Registre[[#This Row],[Cell_ID]],Registre_Maintenance[],6,FALSE),"")</f>
        <v>Ericsson</v>
      </c>
    </row>
    <row r="485" spans="1:11" x14ac:dyDescent="0.25">
      <c r="A485" s="1" t="s">
        <v>1382</v>
      </c>
      <c r="B485" s="1" t="s">
        <v>1385</v>
      </c>
      <c r="C485" s="2">
        <v>45216.960416666669</v>
      </c>
      <c r="D485" s="3">
        <v>45216.960416666669</v>
      </c>
      <c r="E485">
        <v>41</v>
      </c>
      <c r="F485" s="1" t="s">
        <v>735</v>
      </c>
      <c r="G485" t="str">
        <f>IFERROR(VLOOKUP(Logs_Registre[[#This Row],[Cell_ID]],Registre_Maintenance[],2,FALSE),"")</f>
        <v/>
      </c>
      <c r="H485" t="str">
        <f>IFERROR(VLOOKUP(Logs_Registre[[#This Row],[Cell_ID]],Registre_Maintenance[],3,FALSE),"")</f>
        <v/>
      </c>
      <c r="I485" t="str">
        <f>IFERROR(VLOOKUP(Logs_Registre[[#This Row],[Cell_ID]],Registre_Maintenance[],4,FALSE),"")</f>
        <v/>
      </c>
      <c r="J485" t="str">
        <f>IFERROR(VLOOKUP(Logs_Registre[[#This Row],[Cell_ID]],Registre_Maintenance[],5,FALSE),"")</f>
        <v/>
      </c>
      <c r="K485" t="str">
        <f>IFERROR(VLOOKUP(Logs_Registre[[#This Row],[Cell_ID]],Registre_Maintenance[],6,FALSE),"")</f>
        <v/>
      </c>
    </row>
    <row r="486" spans="1:11" x14ac:dyDescent="0.25">
      <c r="A486" s="1" t="s">
        <v>1138</v>
      </c>
      <c r="B486" s="1" t="s">
        <v>733</v>
      </c>
      <c r="C486" s="2">
        <v>45216.950694444437</v>
      </c>
      <c r="D486" s="3">
        <v>45216.950694444437</v>
      </c>
      <c r="E486">
        <v>12</v>
      </c>
      <c r="F486" s="1" t="s">
        <v>732</v>
      </c>
      <c r="G486" t="str">
        <f>IFERROR(VLOOKUP(Logs_Registre[[#This Row],[Cell_ID]],Registre_Maintenance[],2,FALSE),"")</f>
        <v/>
      </c>
      <c r="H486" t="str">
        <f>IFERROR(VLOOKUP(Logs_Registre[[#This Row],[Cell_ID]],Registre_Maintenance[],3,FALSE),"")</f>
        <v/>
      </c>
      <c r="I486" t="str">
        <f>IFERROR(VLOOKUP(Logs_Registre[[#This Row],[Cell_ID]],Registre_Maintenance[],4,FALSE),"")</f>
        <v/>
      </c>
      <c r="J486" t="str">
        <f>IFERROR(VLOOKUP(Logs_Registre[[#This Row],[Cell_ID]],Registre_Maintenance[],5,FALSE),"")</f>
        <v/>
      </c>
      <c r="K486" t="str">
        <f>IFERROR(VLOOKUP(Logs_Registre[[#This Row],[Cell_ID]],Registre_Maintenance[],6,FALSE),"")</f>
        <v/>
      </c>
    </row>
    <row r="487" spans="1:11" x14ac:dyDescent="0.25">
      <c r="A487" s="1" t="s">
        <v>823</v>
      </c>
      <c r="B487" s="1" t="s">
        <v>854</v>
      </c>
      <c r="C487" s="2">
        <v>45216.902777777781</v>
      </c>
      <c r="D487" s="3">
        <v>45216.902777777781</v>
      </c>
      <c r="E487">
        <v>20</v>
      </c>
      <c r="F487" s="1" t="s">
        <v>737</v>
      </c>
      <c r="G487" t="str">
        <f>IFERROR(VLOOKUP(Logs_Registre[[#This Row],[Cell_ID]],Registre_Maintenance[],2,FALSE),"")</f>
        <v>Kwilu</v>
      </c>
      <c r="H487">
        <f>IFERROR(VLOOKUP(Logs_Registre[[#This Row],[Cell_ID]],Registre_Maintenance[],3,FALSE),"")</f>
        <v>-4.2408359999999998</v>
      </c>
      <c r="I487">
        <f>IFERROR(VLOOKUP(Logs_Registre[[#This Row],[Cell_ID]],Registre_Maintenance[],4,FALSE),"")</f>
        <v>26.210014000000001</v>
      </c>
      <c r="J487" t="str">
        <f>IFERROR(VLOOKUP(Logs_Registre[[#This Row],[Cell_ID]],Registre_Maintenance[],5,FALSE),"")</f>
        <v>4G</v>
      </c>
      <c r="K487" t="str">
        <f>IFERROR(VLOOKUP(Logs_Registre[[#This Row],[Cell_ID]],Registre_Maintenance[],6,FALSE),"")</f>
        <v>Huawei</v>
      </c>
    </row>
    <row r="488" spans="1:11" x14ac:dyDescent="0.25">
      <c r="A488" s="1" t="s">
        <v>1114</v>
      </c>
      <c r="B488" s="1" t="s">
        <v>1125</v>
      </c>
      <c r="C488" s="2">
        <v>45216.865277777782</v>
      </c>
      <c r="D488" s="3">
        <v>45216.865277777782</v>
      </c>
      <c r="E488">
        <v>10</v>
      </c>
      <c r="F488" s="1" t="s">
        <v>735</v>
      </c>
      <c r="G488" t="str">
        <f>IFERROR(VLOOKUP(Logs_Registre[[#This Row],[Cell_ID]],Registre_Maintenance[],2,FALSE),"")</f>
        <v>Kasai-Oriental</v>
      </c>
      <c r="H488">
        <f>IFERROR(VLOOKUP(Logs_Registre[[#This Row],[Cell_ID]],Registre_Maintenance[],3,FALSE),"")</f>
        <v>-1.648326</v>
      </c>
      <c r="I488">
        <f>IFERROR(VLOOKUP(Logs_Registre[[#This Row],[Cell_ID]],Registre_Maintenance[],4,FALSE),"")</f>
        <v>25.528901999999999</v>
      </c>
      <c r="J488" t="str">
        <f>IFERROR(VLOOKUP(Logs_Registre[[#This Row],[Cell_ID]],Registre_Maintenance[],5,FALSE),"")</f>
        <v>4G</v>
      </c>
      <c r="K488" t="str">
        <f>IFERROR(VLOOKUP(Logs_Registre[[#This Row],[Cell_ID]],Registre_Maintenance[],6,FALSE),"")</f>
        <v>Huawei</v>
      </c>
    </row>
    <row r="489" spans="1:11" x14ac:dyDescent="0.25">
      <c r="A489" s="1" t="s">
        <v>730</v>
      </c>
      <c r="B489" s="1" t="s">
        <v>741</v>
      </c>
      <c r="C489" s="2">
        <v>45216.792361111111</v>
      </c>
      <c r="D489" s="3">
        <v>45216.792361111111</v>
      </c>
      <c r="E489">
        <v>56</v>
      </c>
      <c r="F489" s="1" t="s">
        <v>732</v>
      </c>
      <c r="G489" t="str">
        <f>IFERROR(VLOOKUP(Logs_Registre[[#This Row],[Cell_ID]],Registre_Maintenance[],2,FALSE),"")</f>
        <v/>
      </c>
      <c r="H489" t="str">
        <f>IFERROR(VLOOKUP(Logs_Registre[[#This Row],[Cell_ID]],Registre_Maintenance[],3,FALSE),"")</f>
        <v/>
      </c>
      <c r="I489" t="str">
        <f>IFERROR(VLOOKUP(Logs_Registre[[#This Row],[Cell_ID]],Registre_Maintenance[],4,FALSE),"")</f>
        <v/>
      </c>
      <c r="J489" t="str">
        <f>IFERROR(VLOOKUP(Logs_Registre[[#This Row],[Cell_ID]],Registre_Maintenance[],5,FALSE),"")</f>
        <v/>
      </c>
      <c r="K489" t="str">
        <f>IFERROR(VLOOKUP(Logs_Registre[[#This Row],[Cell_ID]],Registre_Maintenance[],6,FALSE),"")</f>
        <v/>
      </c>
    </row>
    <row r="490" spans="1:11" x14ac:dyDescent="0.25">
      <c r="A490" s="1" t="s">
        <v>939</v>
      </c>
      <c r="B490" s="1" t="s">
        <v>810</v>
      </c>
      <c r="C490" s="2">
        <v>45216.76458333333</v>
      </c>
      <c r="D490" s="3">
        <v>45216.76458333333</v>
      </c>
      <c r="E490">
        <v>53</v>
      </c>
      <c r="F490" s="1" t="s">
        <v>735</v>
      </c>
      <c r="G490" t="str">
        <f>IFERROR(VLOOKUP(Logs_Registre[[#This Row],[Cell_ID]],Registre_Maintenance[],2,FALSE),"")</f>
        <v>Sud-Ubangi</v>
      </c>
      <c r="H490">
        <f>IFERROR(VLOOKUP(Logs_Registre[[#This Row],[Cell_ID]],Registre_Maintenance[],3,FALSE),"")</f>
        <v>-10.914952</v>
      </c>
      <c r="I490">
        <f>IFERROR(VLOOKUP(Logs_Registre[[#This Row],[Cell_ID]],Registre_Maintenance[],4,FALSE),"")</f>
        <v>26.409648000000001</v>
      </c>
      <c r="J490" t="str">
        <f>IFERROR(VLOOKUP(Logs_Registre[[#This Row],[Cell_ID]],Registre_Maintenance[],5,FALSE),"")</f>
        <v>4G</v>
      </c>
      <c r="K490" t="str">
        <f>IFERROR(VLOOKUP(Logs_Registre[[#This Row],[Cell_ID]],Registre_Maintenance[],6,FALSE),"")</f>
        <v>Huawei</v>
      </c>
    </row>
    <row r="491" spans="1:11" x14ac:dyDescent="0.25">
      <c r="A491" s="1" t="s">
        <v>1059</v>
      </c>
      <c r="B491" s="1" t="s">
        <v>1063</v>
      </c>
      <c r="C491" s="2">
        <v>45216.760416666657</v>
      </c>
      <c r="D491" s="3">
        <v>45216.760416666657</v>
      </c>
      <c r="E491">
        <v>48</v>
      </c>
      <c r="F491" s="1" t="s">
        <v>732</v>
      </c>
      <c r="G491" t="str">
        <f>IFERROR(VLOOKUP(Logs_Registre[[#This Row],[Cell_ID]],Registre_Maintenance[],2,FALSE),"")</f>
        <v>Ituri</v>
      </c>
      <c r="H491">
        <f>IFERROR(VLOOKUP(Logs_Registre[[#This Row],[Cell_ID]],Registre_Maintenance[],3,FALSE),"")</f>
        <v>-11.002602</v>
      </c>
      <c r="I491">
        <f>IFERROR(VLOOKUP(Logs_Registre[[#This Row],[Cell_ID]],Registre_Maintenance[],4,FALSE),"")</f>
        <v>23.918247999999998</v>
      </c>
      <c r="J491" t="str">
        <f>IFERROR(VLOOKUP(Logs_Registre[[#This Row],[Cell_ID]],Registre_Maintenance[],5,FALSE),"")</f>
        <v>5G</v>
      </c>
      <c r="K491" t="str">
        <f>IFERROR(VLOOKUP(Logs_Registre[[#This Row],[Cell_ID]],Registre_Maintenance[],6,FALSE),"")</f>
        <v>ZTE</v>
      </c>
    </row>
    <row r="492" spans="1:11" x14ac:dyDescent="0.25">
      <c r="A492" s="1" t="s">
        <v>902</v>
      </c>
      <c r="B492" s="1" t="s">
        <v>935</v>
      </c>
      <c r="C492" s="2">
        <v>45216.729861111111</v>
      </c>
      <c r="D492" s="3">
        <v>45216.729861111111</v>
      </c>
      <c r="E492">
        <v>109</v>
      </c>
      <c r="F492" s="1" t="s">
        <v>737</v>
      </c>
      <c r="G492" t="str">
        <f>IFERROR(VLOOKUP(Logs_Registre[[#This Row],[Cell_ID]],Registre_Maintenance[],2,FALSE),"")</f>
        <v>Kasai-Oriental</v>
      </c>
      <c r="H492">
        <f>IFERROR(VLOOKUP(Logs_Registre[[#This Row],[Cell_ID]],Registre_Maintenance[],3,FALSE),"")</f>
        <v>0.639208</v>
      </c>
      <c r="I492">
        <f>IFERROR(VLOOKUP(Logs_Registre[[#This Row],[Cell_ID]],Registre_Maintenance[],4,FALSE),"")</f>
        <v>20.701739</v>
      </c>
      <c r="J492" t="str">
        <f>IFERROR(VLOOKUP(Logs_Registre[[#This Row],[Cell_ID]],Registre_Maintenance[],5,FALSE),"")</f>
        <v>4G</v>
      </c>
      <c r="K492" t="str">
        <f>IFERROR(VLOOKUP(Logs_Registre[[#This Row],[Cell_ID]],Registre_Maintenance[],6,FALSE),"")</f>
        <v>Huawei</v>
      </c>
    </row>
    <row r="493" spans="1:11" x14ac:dyDescent="0.25">
      <c r="A493" s="1" t="s">
        <v>1114</v>
      </c>
      <c r="B493" s="1" t="s">
        <v>916</v>
      </c>
      <c r="C493" s="2">
        <v>45216.729861111111</v>
      </c>
      <c r="D493" s="3">
        <v>45216.729861111111</v>
      </c>
      <c r="E493">
        <v>78</v>
      </c>
      <c r="F493" s="1" t="s">
        <v>735</v>
      </c>
      <c r="G493" t="str">
        <f>IFERROR(VLOOKUP(Logs_Registre[[#This Row],[Cell_ID]],Registre_Maintenance[],2,FALSE),"")</f>
        <v>Lualaba</v>
      </c>
      <c r="H493">
        <f>IFERROR(VLOOKUP(Logs_Registre[[#This Row],[Cell_ID]],Registre_Maintenance[],3,FALSE),"")</f>
        <v>-9.5243310000000001</v>
      </c>
      <c r="I493">
        <f>IFERROR(VLOOKUP(Logs_Registre[[#This Row],[Cell_ID]],Registre_Maintenance[],4,FALSE),"")</f>
        <v>30.541212000000002</v>
      </c>
      <c r="J493" t="str">
        <f>IFERROR(VLOOKUP(Logs_Registre[[#This Row],[Cell_ID]],Registre_Maintenance[],5,FALSE),"")</f>
        <v>3G</v>
      </c>
      <c r="K493" t="str">
        <f>IFERROR(VLOOKUP(Logs_Registre[[#This Row],[Cell_ID]],Registre_Maintenance[],6,FALSE),"")</f>
        <v>Ericsson</v>
      </c>
    </row>
    <row r="494" spans="1:11" x14ac:dyDescent="0.25">
      <c r="A494" s="1" t="s">
        <v>1059</v>
      </c>
      <c r="B494" s="1" t="s">
        <v>1068</v>
      </c>
      <c r="C494" s="2">
        <v>45216.709027777782</v>
      </c>
      <c r="D494" s="3">
        <v>45216.709027777782</v>
      </c>
      <c r="E494">
        <v>39</v>
      </c>
      <c r="F494" s="1" t="s">
        <v>732</v>
      </c>
      <c r="G494" t="str">
        <f>IFERROR(VLOOKUP(Logs_Registre[[#This Row],[Cell_ID]],Registre_Maintenance[],2,FALSE),"")</f>
        <v>Ituri</v>
      </c>
      <c r="H494">
        <f>IFERROR(VLOOKUP(Logs_Registre[[#This Row],[Cell_ID]],Registre_Maintenance[],3,FALSE),"")</f>
        <v>-0.34051900000000002</v>
      </c>
      <c r="I494">
        <f>IFERROR(VLOOKUP(Logs_Registre[[#This Row],[Cell_ID]],Registre_Maintenance[],4,FALSE),"")</f>
        <v>17.079799000000001</v>
      </c>
      <c r="J494" t="str">
        <f>IFERROR(VLOOKUP(Logs_Registre[[#This Row],[Cell_ID]],Registre_Maintenance[],5,FALSE),"")</f>
        <v>5G</v>
      </c>
      <c r="K494" t="str">
        <f>IFERROR(VLOOKUP(Logs_Registre[[#This Row],[Cell_ID]],Registre_Maintenance[],6,FALSE),"")</f>
        <v>Ericsson</v>
      </c>
    </row>
    <row r="495" spans="1:11" x14ac:dyDescent="0.25">
      <c r="A495" s="1" t="s">
        <v>1261</v>
      </c>
      <c r="B495" s="1" t="s">
        <v>862</v>
      </c>
      <c r="C495" s="2">
        <v>45216.701388888891</v>
      </c>
      <c r="D495" s="3">
        <v>45216.701388888891</v>
      </c>
      <c r="E495">
        <v>80</v>
      </c>
      <c r="F495" s="1" t="s">
        <v>732</v>
      </c>
      <c r="G495" t="str">
        <f>IFERROR(VLOOKUP(Logs_Registre[[#This Row],[Cell_ID]],Registre_Maintenance[],2,FALSE),"")</f>
        <v>Tshuapa</v>
      </c>
      <c r="H495">
        <f>IFERROR(VLOOKUP(Logs_Registre[[#This Row],[Cell_ID]],Registre_Maintenance[],3,FALSE),"")</f>
        <v>-11.622688999999999</v>
      </c>
      <c r="I495">
        <f>IFERROR(VLOOKUP(Logs_Registre[[#This Row],[Cell_ID]],Registre_Maintenance[],4,FALSE),"")</f>
        <v>18.483874</v>
      </c>
      <c r="J495" t="str">
        <f>IFERROR(VLOOKUP(Logs_Registre[[#This Row],[Cell_ID]],Registre_Maintenance[],5,FALSE),"")</f>
        <v>5G</v>
      </c>
      <c r="K495" t="str">
        <f>IFERROR(VLOOKUP(Logs_Registre[[#This Row],[Cell_ID]],Registre_Maintenance[],6,FALSE),"")</f>
        <v>ZTE</v>
      </c>
    </row>
    <row r="496" spans="1:11" x14ac:dyDescent="0.25">
      <c r="A496" s="1" t="s">
        <v>1024</v>
      </c>
      <c r="B496" s="1" t="s">
        <v>851</v>
      </c>
      <c r="C496" s="2">
        <v>45216.693749999999</v>
      </c>
      <c r="D496" s="3">
        <v>45216.693749999999</v>
      </c>
      <c r="E496">
        <v>24</v>
      </c>
      <c r="F496" s="1" t="s">
        <v>737</v>
      </c>
      <c r="G496" t="str">
        <f>IFERROR(VLOOKUP(Logs_Registre[[#This Row],[Cell_ID]],Registre_Maintenance[],2,FALSE),"")</f>
        <v/>
      </c>
      <c r="H496" t="str">
        <f>IFERROR(VLOOKUP(Logs_Registre[[#This Row],[Cell_ID]],Registre_Maintenance[],3,FALSE),"")</f>
        <v/>
      </c>
      <c r="I496" t="str">
        <f>IFERROR(VLOOKUP(Logs_Registre[[#This Row],[Cell_ID]],Registre_Maintenance[],4,FALSE),"")</f>
        <v/>
      </c>
      <c r="J496" t="str">
        <f>IFERROR(VLOOKUP(Logs_Registre[[#This Row],[Cell_ID]],Registre_Maintenance[],5,FALSE),"")</f>
        <v/>
      </c>
      <c r="K496" t="str">
        <f>IFERROR(VLOOKUP(Logs_Registre[[#This Row],[Cell_ID]],Registre_Maintenance[],6,FALSE),"")</f>
        <v/>
      </c>
    </row>
    <row r="497" spans="1:11" x14ac:dyDescent="0.25">
      <c r="A497" s="1" t="s">
        <v>779</v>
      </c>
      <c r="B497" s="1" t="s">
        <v>806</v>
      </c>
      <c r="C497" s="2">
        <v>45216.673611111109</v>
      </c>
      <c r="D497" s="3">
        <v>45216.673611111109</v>
      </c>
      <c r="E497">
        <v>117</v>
      </c>
      <c r="F497" s="1" t="s">
        <v>732</v>
      </c>
      <c r="G497" t="str">
        <f>IFERROR(VLOOKUP(Logs_Registre[[#This Row],[Cell_ID]],Registre_Maintenance[],2,FALSE),"")</f>
        <v>Sud-Ubangi</v>
      </c>
      <c r="H497">
        <f>IFERROR(VLOOKUP(Logs_Registre[[#This Row],[Cell_ID]],Registre_Maintenance[],3,FALSE),"")</f>
        <v>-12.141233</v>
      </c>
      <c r="I497">
        <f>IFERROR(VLOOKUP(Logs_Registre[[#This Row],[Cell_ID]],Registre_Maintenance[],4,FALSE),"")</f>
        <v>15.179043999999999</v>
      </c>
      <c r="J497" t="str">
        <f>IFERROR(VLOOKUP(Logs_Registre[[#This Row],[Cell_ID]],Registre_Maintenance[],5,FALSE),"")</f>
        <v>5G</v>
      </c>
      <c r="K497" t="str">
        <f>IFERROR(VLOOKUP(Logs_Registre[[#This Row],[Cell_ID]],Registre_Maintenance[],6,FALSE),"")</f>
        <v>Ericsson</v>
      </c>
    </row>
    <row r="498" spans="1:11" x14ac:dyDescent="0.25">
      <c r="A498" s="1" t="s">
        <v>939</v>
      </c>
      <c r="B498" s="1" t="s">
        <v>948</v>
      </c>
      <c r="C498" s="2">
        <v>45216.583333333343</v>
      </c>
      <c r="D498" s="3">
        <v>45216.583333333343</v>
      </c>
      <c r="E498">
        <v>78</v>
      </c>
      <c r="F498" s="1" t="s">
        <v>737</v>
      </c>
      <c r="G498" t="str">
        <f>IFERROR(VLOOKUP(Logs_Registre[[#This Row],[Cell_ID]],Registre_Maintenance[],2,FALSE),"")</f>
        <v>Haut-Katanga</v>
      </c>
      <c r="H498">
        <f>IFERROR(VLOOKUP(Logs_Registre[[#This Row],[Cell_ID]],Registre_Maintenance[],3,FALSE),"")</f>
        <v>0.16841400000000001</v>
      </c>
      <c r="I498">
        <f>IFERROR(VLOOKUP(Logs_Registre[[#This Row],[Cell_ID]],Registre_Maintenance[],4,FALSE),"")</f>
        <v>30.029876999999999</v>
      </c>
      <c r="J498" t="str">
        <f>IFERROR(VLOOKUP(Logs_Registre[[#This Row],[Cell_ID]],Registre_Maintenance[],5,FALSE),"")</f>
        <v>5G</v>
      </c>
      <c r="K498" t="str">
        <f>IFERROR(VLOOKUP(Logs_Registre[[#This Row],[Cell_ID]],Registre_Maintenance[],6,FALSE),"")</f>
        <v>Huawei</v>
      </c>
    </row>
    <row r="499" spans="1:11" x14ac:dyDescent="0.25">
      <c r="A499" s="1" t="s">
        <v>1114</v>
      </c>
      <c r="B499" s="1" t="s">
        <v>1130</v>
      </c>
      <c r="C499" s="2">
        <v>45216.513888888891</v>
      </c>
      <c r="D499" s="3">
        <v>45216.513888888891</v>
      </c>
      <c r="E499">
        <v>73</v>
      </c>
      <c r="F499" s="1" t="s">
        <v>735</v>
      </c>
      <c r="G499" t="str">
        <f>IFERROR(VLOOKUP(Logs_Registre[[#This Row],[Cell_ID]],Registre_Maintenance[],2,FALSE),"")</f>
        <v/>
      </c>
      <c r="H499" t="str">
        <f>IFERROR(VLOOKUP(Logs_Registre[[#This Row],[Cell_ID]],Registre_Maintenance[],3,FALSE),"")</f>
        <v/>
      </c>
      <c r="I499" t="str">
        <f>IFERROR(VLOOKUP(Logs_Registre[[#This Row],[Cell_ID]],Registre_Maintenance[],4,FALSE),"")</f>
        <v/>
      </c>
      <c r="J499" t="str">
        <f>IFERROR(VLOOKUP(Logs_Registre[[#This Row],[Cell_ID]],Registre_Maintenance[],5,FALSE),"")</f>
        <v/>
      </c>
      <c r="K499" t="str">
        <f>IFERROR(VLOOKUP(Logs_Registre[[#This Row],[Cell_ID]],Registre_Maintenance[],6,FALSE),"")</f>
        <v/>
      </c>
    </row>
    <row r="500" spans="1:11" x14ac:dyDescent="0.25">
      <c r="A500" s="1" t="s">
        <v>1086</v>
      </c>
      <c r="B500" s="1" t="s">
        <v>1052</v>
      </c>
      <c r="C500" s="2">
        <v>45216.463888888888</v>
      </c>
      <c r="D500" s="3">
        <v>45216.463888888888</v>
      </c>
      <c r="E500">
        <v>58</v>
      </c>
      <c r="F500" s="1" t="s">
        <v>732</v>
      </c>
      <c r="G500" t="str">
        <f>IFERROR(VLOOKUP(Logs_Registre[[#This Row],[Cell_ID]],Registre_Maintenance[],2,FALSE),"")</f>
        <v/>
      </c>
      <c r="H500" t="str">
        <f>IFERROR(VLOOKUP(Logs_Registre[[#This Row],[Cell_ID]],Registre_Maintenance[],3,FALSE),"")</f>
        <v/>
      </c>
      <c r="I500" t="str">
        <f>IFERROR(VLOOKUP(Logs_Registre[[#This Row],[Cell_ID]],Registre_Maintenance[],4,FALSE),"")</f>
        <v/>
      </c>
      <c r="J500" t="str">
        <f>IFERROR(VLOOKUP(Logs_Registre[[#This Row],[Cell_ID]],Registre_Maintenance[],5,FALSE),"")</f>
        <v/>
      </c>
      <c r="K500" t="str">
        <f>IFERROR(VLOOKUP(Logs_Registre[[#This Row],[Cell_ID]],Registre_Maintenance[],6,FALSE),"")</f>
        <v/>
      </c>
    </row>
    <row r="501" spans="1:11" x14ac:dyDescent="0.25">
      <c r="A501" s="1" t="s">
        <v>1261</v>
      </c>
      <c r="B501" s="1" t="s">
        <v>1273</v>
      </c>
      <c r="C501" s="2">
        <v>45216.460416666669</v>
      </c>
      <c r="D501" s="3">
        <v>45216.460416666669</v>
      </c>
      <c r="E501">
        <v>36</v>
      </c>
      <c r="F501" s="1" t="s">
        <v>737</v>
      </c>
      <c r="G501" t="str">
        <f>IFERROR(VLOOKUP(Logs_Registre[[#This Row],[Cell_ID]],Registre_Maintenance[],2,FALSE),"")</f>
        <v>Nord-Kivu</v>
      </c>
      <c r="H501">
        <f>IFERROR(VLOOKUP(Logs_Registre[[#This Row],[Cell_ID]],Registre_Maintenance[],3,FALSE),"")</f>
        <v>-11.231472</v>
      </c>
      <c r="I501">
        <f>IFERROR(VLOOKUP(Logs_Registre[[#This Row],[Cell_ID]],Registre_Maintenance[],4,FALSE),"")</f>
        <v>25.388874000000001</v>
      </c>
      <c r="J501" t="str">
        <f>IFERROR(VLOOKUP(Logs_Registre[[#This Row],[Cell_ID]],Registre_Maintenance[],5,FALSE),"")</f>
        <v>4G</v>
      </c>
      <c r="K501" t="str">
        <f>IFERROR(VLOOKUP(Logs_Registre[[#This Row],[Cell_ID]],Registre_Maintenance[],6,FALSE),"")</f>
        <v>Huawei</v>
      </c>
    </row>
    <row r="502" spans="1:11" x14ac:dyDescent="0.25">
      <c r="A502" s="1" t="s">
        <v>1024</v>
      </c>
      <c r="B502" s="1" t="s">
        <v>880</v>
      </c>
      <c r="C502" s="2">
        <v>45216.459027777782</v>
      </c>
      <c r="D502" s="3">
        <v>45216.459027777782</v>
      </c>
      <c r="E502">
        <v>100</v>
      </c>
      <c r="F502" s="1" t="s">
        <v>735</v>
      </c>
      <c r="G502" t="str">
        <f>IFERROR(VLOOKUP(Logs_Registre[[#This Row],[Cell_ID]],Registre_Maintenance[],2,FALSE),"")</f>
        <v/>
      </c>
      <c r="H502" t="str">
        <f>IFERROR(VLOOKUP(Logs_Registre[[#This Row],[Cell_ID]],Registre_Maintenance[],3,FALSE),"")</f>
        <v/>
      </c>
      <c r="I502" t="str">
        <f>IFERROR(VLOOKUP(Logs_Registre[[#This Row],[Cell_ID]],Registre_Maintenance[],4,FALSE),"")</f>
        <v/>
      </c>
      <c r="J502" t="str">
        <f>IFERROR(VLOOKUP(Logs_Registre[[#This Row],[Cell_ID]],Registre_Maintenance[],5,FALSE),"")</f>
        <v/>
      </c>
      <c r="K502" t="str">
        <f>IFERROR(VLOOKUP(Logs_Registre[[#This Row],[Cell_ID]],Registre_Maintenance[],6,FALSE),"")</f>
        <v/>
      </c>
    </row>
    <row r="503" spans="1:11" x14ac:dyDescent="0.25">
      <c r="A503" s="1" t="s">
        <v>779</v>
      </c>
      <c r="B503" s="1" t="s">
        <v>815</v>
      </c>
      <c r="C503" s="2">
        <v>45216.457638888889</v>
      </c>
      <c r="D503" s="3">
        <v>45216.457638888889</v>
      </c>
      <c r="E503">
        <v>39</v>
      </c>
      <c r="F503" s="1" t="s">
        <v>732</v>
      </c>
      <c r="G503" t="str">
        <f>IFERROR(VLOOKUP(Logs_Registre[[#This Row],[Cell_ID]],Registre_Maintenance[],2,FALSE),"")</f>
        <v>Kasai-Central</v>
      </c>
      <c r="H503">
        <f>IFERROR(VLOOKUP(Logs_Registre[[#This Row],[Cell_ID]],Registre_Maintenance[],3,FALSE),"")</f>
        <v>-9.5266249999999992</v>
      </c>
      <c r="I503">
        <f>IFERROR(VLOOKUP(Logs_Registre[[#This Row],[Cell_ID]],Registre_Maintenance[],4,FALSE),"")</f>
        <v>27.889690999999999</v>
      </c>
      <c r="J503" t="str">
        <f>IFERROR(VLOOKUP(Logs_Registre[[#This Row],[Cell_ID]],Registre_Maintenance[],5,FALSE),"")</f>
        <v>4G</v>
      </c>
      <c r="K503" t="str">
        <f>IFERROR(VLOOKUP(Logs_Registre[[#This Row],[Cell_ID]],Registre_Maintenance[],6,FALSE),"")</f>
        <v>Ericsson</v>
      </c>
    </row>
    <row r="504" spans="1:11" x14ac:dyDescent="0.25">
      <c r="A504" s="1" t="s">
        <v>1345</v>
      </c>
      <c r="B504" s="1" t="s">
        <v>1198</v>
      </c>
      <c r="C504" s="2">
        <v>45216.435416666667</v>
      </c>
      <c r="D504" s="3">
        <v>45216.435416666667</v>
      </c>
      <c r="E504">
        <v>88</v>
      </c>
      <c r="F504" s="1" t="s">
        <v>732</v>
      </c>
      <c r="G504" t="str">
        <f>IFERROR(VLOOKUP(Logs_Registre[[#This Row],[Cell_ID]],Registre_Maintenance[],2,FALSE),"")</f>
        <v/>
      </c>
      <c r="H504" t="str">
        <f>IFERROR(VLOOKUP(Logs_Registre[[#This Row],[Cell_ID]],Registre_Maintenance[],3,FALSE),"")</f>
        <v/>
      </c>
      <c r="I504" t="str">
        <f>IFERROR(VLOOKUP(Logs_Registre[[#This Row],[Cell_ID]],Registre_Maintenance[],4,FALSE),"")</f>
        <v/>
      </c>
      <c r="J504" t="str">
        <f>IFERROR(VLOOKUP(Logs_Registre[[#This Row],[Cell_ID]],Registre_Maintenance[],5,FALSE),"")</f>
        <v/>
      </c>
      <c r="K504" t="str">
        <f>IFERROR(VLOOKUP(Logs_Registre[[#This Row],[Cell_ID]],Registre_Maintenance[],6,FALSE),"")</f>
        <v/>
      </c>
    </row>
    <row r="505" spans="1:11" x14ac:dyDescent="0.25">
      <c r="A505" s="1" t="s">
        <v>1345</v>
      </c>
      <c r="B505" s="1" t="s">
        <v>1351</v>
      </c>
      <c r="C505" s="2">
        <v>45216.393055555563</v>
      </c>
      <c r="D505" s="3">
        <v>45216.393055555563</v>
      </c>
      <c r="E505">
        <v>34</v>
      </c>
      <c r="F505" s="1" t="s">
        <v>737</v>
      </c>
      <c r="G505" t="str">
        <f>IFERROR(VLOOKUP(Logs_Registre[[#This Row],[Cell_ID]],Registre_Maintenance[],2,FALSE),"")</f>
        <v/>
      </c>
      <c r="H505" t="str">
        <f>IFERROR(VLOOKUP(Logs_Registre[[#This Row],[Cell_ID]],Registre_Maintenance[],3,FALSE),"")</f>
        <v/>
      </c>
      <c r="I505" t="str">
        <f>IFERROR(VLOOKUP(Logs_Registre[[#This Row],[Cell_ID]],Registre_Maintenance[],4,FALSE),"")</f>
        <v/>
      </c>
      <c r="J505" t="str">
        <f>IFERROR(VLOOKUP(Logs_Registre[[#This Row],[Cell_ID]],Registre_Maintenance[],5,FALSE),"")</f>
        <v/>
      </c>
      <c r="K505" t="str">
        <f>IFERROR(VLOOKUP(Logs_Registre[[#This Row],[Cell_ID]],Registre_Maintenance[],6,FALSE),"")</f>
        <v/>
      </c>
    </row>
    <row r="506" spans="1:11" x14ac:dyDescent="0.25">
      <c r="A506" s="1" t="s">
        <v>1138</v>
      </c>
      <c r="B506" s="1" t="s">
        <v>1156</v>
      </c>
      <c r="C506" s="2">
        <v>45216.275000000001</v>
      </c>
      <c r="D506" s="3">
        <v>45216.275000000001</v>
      </c>
      <c r="E506">
        <v>119</v>
      </c>
      <c r="F506" s="1" t="s">
        <v>737</v>
      </c>
      <c r="G506" t="str">
        <f>IFERROR(VLOOKUP(Logs_Registre[[#This Row],[Cell_ID]],Registre_Maintenance[],2,FALSE),"")</f>
        <v>Sud-Kivu</v>
      </c>
      <c r="H506">
        <f>IFERROR(VLOOKUP(Logs_Registre[[#This Row],[Cell_ID]],Registre_Maintenance[],3,FALSE),"")</f>
        <v>2.4414509999999998</v>
      </c>
      <c r="I506">
        <f>IFERROR(VLOOKUP(Logs_Registre[[#This Row],[Cell_ID]],Registre_Maintenance[],4,FALSE),"")</f>
        <v>30.167489</v>
      </c>
      <c r="J506" t="str">
        <f>IFERROR(VLOOKUP(Logs_Registre[[#This Row],[Cell_ID]],Registre_Maintenance[],5,FALSE),"")</f>
        <v>5G</v>
      </c>
      <c r="K506" t="str">
        <f>IFERROR(VLOOKUP(Logs_Registre[[#This Row],[Cell_ID]],Registre_Maintenance[],6,FALSE),"")</f>
        <v>Nokia</v>
      </c>
    </row>
    <row r="507" spans="1:11" x14ac:dyDescent="0.25">
      <c r="A507" s="1" t="s">
        <v>1114</v>
      </c>
      <c r="B507" s="1" t="s">
        <v>1124</v>
      </c>
      <c r="C507" s="2">
        <v>45216.274305555547</v>
      </c>
      <c r="D507" s="3">
        <v>45216.274305555547</v>
      </c>
      <c r="E507">
        <v>30</v>
      </c>
      <c r="F507" s="1" t="s">
        <v>735</v>
      </c>
      <c r="G507" t="str">
        <f>IFERROR(VLOOKUP(Logs_Registre[[#This Row],[Cell_ID]],Registre_Maintenance[],2,FALSE),"")</f>
        <v>Equateur</v>
      </c>
      <c r="H507">
        <f>IFERROR(VLOOKUP(Logs_Registre[[#This Row],[Cell_ID]],Registre_Maintenance[],3,FALSE),"")</f>
        <v>-5.7200150000000001</v>
      </c>
      <c r="I507">
        <f>IFERROR(VLOOKUP(Logs_Registre[[#This Row],[Cell_ID]],Registre_Maintenance[],4,FALSE),"")</f>
        <v>25.022109</v>
      </c>
      <c r="J507" t="str">
        <f>IFERROR(VLOOKUP(Logs_Registre[[#This Row],[Cell_ID]],Registre_Maintenance[],5,FALSE),"")</f>
        <v>5G</v>
      </c>
      <c r="K507" t="str">
        <f>IFERROR(VLOOKUP(Logs_Registre[[#This Row],[Cell_ID]],Registre_Maintenance[],6,FALSE),"")</f>
        <v>ZTE</v>
      </c>
    </row>
    <row r="508" spans="1:11" x14ac:dyDescent="0.25">
      <c r="A508" s="1" t="s">
        <v>999</v>
      </c>
      <c r="B508" s="1" t="s">
        <v>890</v>
      </c>
      <c r="C508" s="2">
        <v>45216.26666666667</v>
      </c>
      <c r="D508" s="3">
        <v>45216.26666666667</v>
      </c>
      <c r="E508">
        <v>90</v>
      </c>
      <c r="F508" s="1" t="s">
        <v>737</v>
      </c>
      <c r="G508" t="str">
        <f>IFERROR(VLOOKUP(Logs_Registre[[#This Row],[Cell_ID]],Registre_Maintenance[],2,FALSE),"")</f>
        <v>Maniema</v>
      </c>
      <c r="H508">
        <f>IFERROR(VLOOKUP(Logs_Registre[[#This Row],[Cell_ID]],Registre_Maintenance[],3,FALSE),"")</f>
        <v>-2.3743210000000001</v>
      </c>
      <c r="I508">
        <f>IFERROR(VLOOKUP(Logs_Registre[[#This Row],[Cell_ID]],Registre_Maintenance[],4,FALSE),"")</f>
        <v>22.399491000000001</v>
      </c>
      <c r="J508" t="str">
        <f>IFERROR(VLOOKUP(Logs_Registre[[#This Row],[Cell_ID]],Registre_Maintenance[],5,FALSE),"")</f>
        <v>5G</v>
      </c>
      <c r="K508" t="str">
        <f>IFERROR(VLOOKUP(Logs_Registre[[#This Row],[Cell_ID]],Registre_Maintenance[],6,FALSE),"")</f>
        <v>Ericsson</v>
      </c>
    </row>
    <row r="509" spans="1:11" x14ac:dyDescent="0.25">
      <c r="A509" s="1" t="s">
        <v>1219</v>
      </c>
      <c r="B509" s="1" t="s">
        <v>1229</v>
      </c>
      <c r="C509" s="2">
        <v>45216.232638888891</v>
      </c>
      <c r="D509" s="3">
        <v>45216.232638888891</v>
      </c>
      <c r="E509">
        <v>11</v>
      </c>
      <c r="F509" s="1" t="s">
        <v>737</v>
      </c>
      <c r="G509" t="str">
        <f>IFERROR(VLOOKUP(Logs_Registre[[#This Row],[Cell_ID]],Registre_Maintenance[],2,FALSE),"")</f>
        <v>Kasai</v>
      </c>
      <c r="H509">
        <f>IFERROR(VLOOKUP(Logs_Registre[[#This Row],[Cell_ID]],Registre_Maintenance[],3,FALSE),"")</f>
        <v>-3.8119990000000001</v>
      </c>
      <c r="I509">
        <f>IFERROR(VLOOKUP(Logs_Registre[[#This Row],[Cell_ID]],Registre_Maintenance[],4,FALSE),"")</f>
        <v>20.420048000000001</v>
      </c>
      <c r="J509" t="str">
        <f>IFERROR(VLOOKUP(Logs_Registre[[#This Row],[Cell_ID]],Registre_Maintenance[],5,FALSE),"")</f>
        <v>3G</v>
      </c>
      <c r="K509" t="str">
        <f>IFERROR(VLOOKUP(Logs_Registre[[#This Row],[Cell_ID]],Registre_Maintenance[],6,FALSE),"")</f>
        <v>ZTE</v>
      </c>
    </row>
    <row r="510" spans="1:11" x14ac:dyDescent="0.25">
      <c r="A510" s="1" t="s">
        <v>1165</v>
      </c>
      <c r="B510" s="1" t="s">
        <v>1038</v>
      </c>
      <c r="C510" s="2">
        <v>45216.183333333327</v>
      </c>
      <c r="D510" s="3">
        <v>45216.183333333327</v>
      </c>
      <c r="E510">
        <v>67</v>
      </c>
      <c r="F510" s="1" t="s">
        <v>735</v>
      </c>
      <c r="G510" t="str">
        <f>IFERROR(VLOOKUP(Logs_Registre[[#This Row],[Cell_ID]],Registre_Maintenance[],2,FALSE),"")</f>
        <v>Lualaba</v>
      </c>
      <c r="H510">
        <f>IFERROR(VLOOKUP(Logs_Registre[[#This Row],[Cell_ID]],Registre_Maintenance[],3,FALSE),"")</f>
        <v>-10.967288</v>
      </c>
      <c r="I510">
        <f>IFERROR(VLOOKUP(Logs_Registre[[#This Row],[Cell_ID]],Registre_Maintenance[],4,FALSE),"")</f>
        <v>17.617781000000001</v>
      </c>
      <c r="J510" t="str">
        <f>IFERROR(VLOOKUP(Logs_Registre[[#This Row],[Cell_ID]],Registre_Maintenance[],5,FALSE),"")</f>
        <v>4G</v>
      </c>
      <c r="K510" t="str">
        <f>IFERROR(VLOOKUP(Logs_Registre[[#This Row],[Cell_ID]],Registre_Maintenance[],6,FALSE),"")</f>
        <v>Ericsson</v>
      </c>
    </row>
    <row r="511" spans="1:11" x14ac:dyDescent="0.25">
      <c r="A511" s="1" t="s">
        <v>1219</v>
      </c>
      <c r="B511" s="1" t="s">
        <v>1221</v>
      </c>
      <c r="C511" s="2">
        <v>45216.181944444441</v>
      </c>
      <c r="D511" s="3">
        <v>45216.181944444441</v>
      </c>
      <c r="E511">
        <v>86</v>
      </c>
      <c r="F511" s="1" t="s">
        <v>735</v>
      </c>
      <c r="G511" t="str">
        <f>IFERROR(VLOOKUP(Logs_Registre[[#This Row],[Cell_ID]],Registre_Maintenance[],2,FALSE),"")</f>
        <v/>
      </c>
      <c r="H511" t="str">
        <f>IFERROR(VLOOKUP(Logs_Registre[[#This Row],[Cell_ID]],Registre_Maintenance[],3,FALSE),"")</f>
        <v/>
      </c>
      <c r="I511" t="str">
        <f>IFERROR(VLOOKUP(Logs_Registre[[#This Row],[Cell_ID]],Registre_Maintenance[],4,FALSE),"")</f>
        <v/>
      </c>
      <c r="J511" t="str">
        <f>IFERROR(VLOOKUP(Logs_Registre[[#This Row],[Cell_ID]],Registre_Maintenance[],5,FALSE),"")</f>
        <v/>
      </c>
      <c r="K511" t="str">
        <f>IFERROR(VLOOKUP(Logs_Registre[[#This Row],[Cell_ID]],Registre_Maintenance[],6,FALSE),"")</f>
        <v/>
      </c>
    </row>
    <row r="512" spans="1:11" x14ac:dyDescent="0.25">
      <c r="A512" s="1" t="s">
        <v>823</v>
      </c>
      <c r="B512" s="1" t="s">
        <v>830</v>
      </c>
      <c r="C512" s="2">
        <v>45216.14166666667</v>
      </c>
      <c r="D512" s="3">
        <v>45216.14166666667</v>
      </c>
      <c r="E512">
        <v>94</v>
      </c>
      <c r="F512" s="1" t="s">
        <v>732</v>
      </c>
      <c r="G512" t="str">
        <f>IFERROR(VLOOKUP(Logs_Registre[[#This Row],[Cell_ID]],Registre_Maintenance[],2,FALSE),"")</f>
        <v>Nord-Kivu</v>
      </c>
      <c r="H512">
        <f>IFERROR(VLOOKUP(Logs_Registre[[#This Row],[Cell_ID]],Registre_Maintenance[],3,FALSE),"")</f>
        <v>1.8103860000000001</v>
      </c>
      <c r="I512">
        <f>IFERROR(VLOOKUP(Logs_Registre[[#This Row],[Cell_ID]],Registre_Maintenance[],4,FALSE),"")</f>
        <v>15.175582</v>
      </c>
      <c r="J512" t="str">
        <f>IFERROR(VLOOKUP(Logs_Registre[[#This Row],[Cell_ID]],Registre_Maintenance[],5,FALSE),"")</f>
        <v>3G</v>
      </c>
      <c r="K512" t="str">
        <f>IFERROR(VLOOKUP(Logs_Registre[[#This Row],[Cell_ID]],Registre_Maintenance[],6,FALSE),"")</f>
        <v>Huawei</v>
      </c>
    </row>
    <row r="513" spans="1:11" x14ac:dyDescent="0.25">
      <c r="A513" s="1" t="s">
        <v>1404</v>
      </c>
      <c r="B513" s="1" t="s">
        <v>1410</v>
      </c>
      <c r="C513" s="2">
        <v>45216.137499999997</v>
      </c>
      <c r="D513" s="3">
        <v>45216.137499999997</v>
      </c>
      <c r="E513">
        <v>120</v>
      </c>
      <c r="F513" s="1" t="s">
        <v>735</v>
      </c>
      <c r="G513" t="str">
        <f>IFERROR(VLOOKUP(Logs_Registre[[#This Row],[Cell_ID]],Registre_Maintenance[],2,FALSE),"")</f>
        <v>Mongala</v>
      </c>
      <c r="H513">
        <f>IFERROR(VLOOKUP(Logs_Registre[[#This Row],[Cell_ID]],Registre_Maintenance[],3,FALSE),"")</f>
        <v>-7.2267089999999996</v>
      </c>
      <c r="I513">
        <f>IFERROR(VLOOKUP(Logs_Registre[[#This Row],[Cell_ID]],Registre_Maintenance[],4,FALSE),"")</f>
        <v>28.421362999999999</v>
      </c>
      <c r="J513" t="str">
        <f>IFERROR(VLOOKUP(Logs_Registre[[#This Row],[Cell_ID]],Registre_Maintenance[],5,FALSE),"")</f>
        <v>5G</v>
      </c>
      <c r="K513" t="str">
        <f>IFERROR(VLOOKUP(Logs_Registre[[#This Row],[Cell_ID]],Registre_Maintenance[],6,FALSE),"")</f>
        <v>Ericsson</v>
      </c>
    </row>
    <row r="514" spans="1:11" x14ac:dyDescent="0.25">
      <c r="A514" s="1" t="s">
        <v>1261</v>
      </c>
      <c r="B514" s="1" t="s">
        <v>1270</v>
      </c>
      <c r="C514" s="2">
        <v>45216.094444444447</v>
      </c>
      <c r="D514" s="3">
        <v>45216.094444444447</v>
      </c>
      <c r="E514">
        <v>74</v>
      </c>
      <c r="F514" s="1" t="s">
        <v>732</v>
      </c>
      <c r="G514" t="str">
        <f>IFERROR(VLOOKUP(Logs_Registre[[#This Row],[Cell_ID]],Registre_Maintenance[],2,FALSE),"")</f>
        <v>Lomami</v>
      </c>
      <c r="H514">
        <f>IFERROR(VLOOKUP(Logs_Registre[[#This Row],[Cell_ID]],Registre_Maintenance[],3,FALSE),"")</f>
        <v>4.8265669999999998</v>
      </c>
      <c r="I514">
        <f>IFERROR(VLOOKUP(Logs_Registre[[#This Row],[Cell_ID]],Registre_Maintenance[],4,FALSE),"")</f>
        <v>28.535277000000001</v>
      </c>
      <c r="J514" t="str">
        <f>IFERROR(VLOOKUP(Logs_Registre[[#This Row],[Cell_ID]],Registre_Maintenance[],5,FALSE),"")</f>
        <v>3G</v>
      </c>
      <c r="K514" t="str">
        <f>IFERROR(VLOOKUP(Logs_Registre[[#This Row],[Cell_ID]],Registre_Maintenance[],6,FALSE),"")</f>
        <v>Huawei</v>
      </c>
    </row>
    <row r="515" spans="1:11" x14ac:dyDescent="0.25">
      <c r="A515" s="1" t="s">
        <v>1086</v>
      </c>
      <c r="B515" s="1" t="s">
        <v>1103</v>
      </c>
      <c r="C515" s="2">
        <v>45216.078472222223</v>
      </c>
      <c r="D515" s="3">
        <v>45216.078472222223</v>
      </c>
      <c r="E515">
        <v>48</v>
      </c>
      <c r="F515" s="1" t="s">
        <v>735</v>
      </c>
      <c r="G515" t="str">
        <f>IFERROR(VLOOKUP(Logs_Registre[[#This Row],[Cell_ID]],Registre_Maintenance[],2,FALSE),"")</f>
        <v/>
      </c>
      <c r="H515" t="str">
        <f>IFERROR(VLOOKUP(Logs_Registre[[#This Row],[Cell_ID]],Registre_Maintenance[],3,FALSE),"")</f>
        <v/>
      </c>
      <c r="I515" t="str">
        <f>IFERROR(VLOOKUP(Logs_Registre[[#This Row],[Cell_ID]],Registre_Maintenance[],4,FALSE),"")</f>
        <v/>
      </c>
      <c r="J515" t="str">
        <f>IFERROR(VLOOKUP(Logs_Registre[[#This Row],[Cell_ID]],Registre_Maintenance[],5,FALSE),"")</f>
        <v/>
      </c>
      <c r="K515" t="str">
        <f>IFERROR(VLOOKUP(Logs_Registre[[#This Row],[Cell_ID]],Registre_Maintenance[],6,FALSE),"")</f>
        <v/>
      </c>
    </row>
    <row r="516" spans="1:11" x14ac:dyDescent="0.25">
      <c r="A516" s="1" t="s">
        <v>1261</v>
      </c>
      <c r="B516" s="1" t="s">
        <v>1278</v>
      </c>
      <c r="C516" s="2">
        <v>45216.001388888893</v>
      </c>
      <c r="D516" s="3">
        <v>45216.001388888893</v>
      </c>
      <c r="E516">
        <v>74</v>
      </c>
      <c r="F516" s="1" t="s">
        <v>737</v>
      </c>
      <c r="G516" t="str">
        <f>IFERROR(VLOOKUP(Logs_Registre[[#This Row],[Cell_ID]],Registre_Maintenance[],2,FALSE),"")</f>
        <v/>
      </c>
      <c r="H516" t="str">
        <f>IFERROR(VLOOKUP(Logs_Registre[[#This Row],[Cell_ID]],Registre_Maintenance[],3,FALSE),"")</f>
        <v/>
      </c>
      <c r="I516" t="str">
        <f>IFERROR(VLOOKUP(Logs_Registre[[#This Row],[Cell_ID]],Registre_Maintenance[],4,FALSE),"")</f>
        <v/>
      </c>
      <c r="J516" t="str">
        <f>IFERROR(VLOOKUP(Logs_Registre[[#This Row],[Cell_ID]],Registre_Maintenance[],5,FALSE),"")</f>
        <v/>
      </c>
      <c r="K516" t="str">
        <f>IFERROR(VLOOKUP(Logs_Registre[[#This Row],[Cell_ID]],Registre_Maintenance[],6,FALSE),"")</f>
        <v/>
      </c>
    </row>
    <row r="517" spans="1:11" x14ac:dyDescent="0.25">
      <c r="A517" s="1" t="s">
        <v>1114</v>
      </c>
      <c r="B517" s="1" t="s">
        <v>1042</v>
      </c>
      <c r="C517" s="2">
        <v>45215.990277777782</v>
      </c>
      <c r="D517" s="3">
        <v>45215.990277777782</v>
      </c>
      <c r="E517">
        <v>66</v>
      </c>
      <c r="F517" s="1" t="s">
        <v>737</v>
      </c>
      <c r="G517" t="str">
        <f>IFERROR(VLOOKUP(Logs_Registre[[#This Row],[Cell_ID]],Registre_Maintenance[],2,FALSE),"")</f>
        <v>Sankuru</v>
      </c>
      <c r="H517">
        <f>IFERROR(VLOOKUP(Logs_Registre[[#This Row],[Cell_ID]],Registre_Maintenance[],3,FALSE),"")</f>
        <v>-1.4110389999999999</v>
      </c>
      <c r="I517">
        <f>IFERROR(VLOOKUP(Logs_Registre[[#This Row],[Cell_ID]],Registre_Maintenance[],4,FALSE),"")</f>
        <v>21.261644</v>
      </c>
      <c r="J517" t="str">
        <f>IFERROR(VLOOKUP(Logs_Registre[[#This Row],[Cell_ID]],Registre_Maintenance[],5,FALSE),"")</f>
        <v>4G</v>
      </c>
      <c r="K517" t="str">
        <f>IFERROR(VLOOKUP(Logs_Registre[[#This Row],[Cell_ID]],Registre_Maintenance[],6,FALSE),"")</f>
        <v>ZTE</v>
      </c>
    </row>
    <row r="518" spans="1:11" x14ac:dyDescent="0.25">
      <c r="A518" s="1" t="s">
        <v>861</v>
      </c>
      <c r="B518" s="1" t="s">
        <v>880</v>
      </c>
      <c r="C518" s="2">
        <v>45215.879861111112</v>
      </c>
      <c r="D518" s="3">
        <v>45215.879861111112</v>
      </c>
      <c r="E518">
        <v>16</v>
      </c>
      <c r="F518" s="1" t="s">
        <v>735</v>
      </c>
      <c r="G518" t="str">
        <f>IFERROR(VLOOKUP(Logs_Registre[[#This Row],[Cell_ID]],Registre_Maintenance[],2,FALSE),"")</f>
        <v/>
      </c>
      <c r="H518" t="str">
        <f>IFERROR(VLOOKUP(Logs_Registre[[#This Row],[Cell_ID]],Registre_Maintenance[],3,FALSE),"")</f>
        <v/>
      </c>
      <c r="I518" t="str">
        <f>IFERROR(VLOOKUP(Logs_Registre[[#This Row],[Cell_ID]],Registre_Maintenance[],4,FALSE),"")</f>
        <v/>
      </c>
      <c r="J518" t="str">
        <f>IFERROR(VLOOKUP(Logs_Registre[[#This Row],[Cell_ID]],Registre_Maintenance[],5,FALSE),"")</f>
        <v/>
      </c>
      <c r="K518" t="str">
        <f>IFERROR(VLOOKUP(Logs_Registre[[#This Row],[Cell_ID]],Registre_Maintenance[],6,FALSE),"")</f>
        <v/>
      </c>
    </row>
    <row r="519" spans="1:11" x14ac:dyDescent="0.25">
      <c r="A519" s="1" t="s">
        <v>999</v>
      </c>
      <c r="B519" s="1" t="s">
        <v>899</v>
      </c>
      <c r="C519" s="2">
        <v>45215.811111111107</v>
      </c>
      <c r="D519" s="3">
        <v>45215.811111111107</v>
      </c>
      <c r="E519">
        <v>7</v>
      </c>
      <c r="F519" s="1" t="s">
        <v>737</v>
      </c>
      <c r="G519" t="str">
        <f>IFERROR(VLOOKUP(Logs_Registre[[#This Row],[Cell_ID]],Registre_Maintenance[],2,FALSE),"")</f>
        <v/>
      </c>
      <c r="H519" t="str">
        <f>IFERROR(VLOOKUP(Logs_Registre[[#This Row],[Cell_ID]],Registre_Maintenance[],3,FALSE),"")</f>
        <v/>
      </c>
      <c r="I519" t="str">
        <f>IFERROR(VLOOKUP(Logs_Registre[[#This Row],[Cell_ID]],Registre_Maintenance[],4,FALSE),"")</f>
        <v/>
      </c>
      <c r="J519" t="str">
        <f>IFERROR(VLOOKUP(Logs_Registre[[#This Row],[Cell_ID]],Registre_Maintenance[],5,FALSE),"")</f>
        <v/>
      </c>
      <c r="K519" t="str">
        <f>IFERROR(VLOOKUP(Logs_Registre[[#This Row],[Cell_ID]],Registre_Maintenance[],6,FALSE),"")</f>
        <v/>
      </c>
    </row>
    <row r="520" spans="1:11" x14ac:dyDescent="0.25">
      <c r="A520" s="1" t="s">
        <v>1330</v>
      </c>
      <c r="B520" s="1" t="s">
        <v>918</v>
      </c>
      <c r="C520" s="2">
        <v>45215.811111111107</v>
      </c>
      <c r="D520" s="3">
        <v>45215.811111111107</v>
      </c>
      <c r="E520">
        <v>49</v>
      </c>
      <c r="F520" s="1" t="s">
        <v>735</v>
      </c>
      <c r="G520" t="str">
        <f>IFERROR(VLOOKUP(Logs_Registre[[#This Row],[Cell_ID]],Registre_Maintenance[],2,FALSE),"")</f>
        <v/>
      </c>
      <c r="H520" t="str">
        <f>IFERROR(VLOOKUP(Logs_Registre[[#This Row],[Cell_ID]],Registre_Maintenance[],3,FALSE),"")</f>
        <v/>
      </c>
      <c r="I520" t="str">
        <f>IFERROR(VLOOKUP(Logs_Registre[[#This Row],[Cell_ID]],Registre_Maintenance[],4,FALSE),"")</f>
        <v/>
      </c>
      <c r="J520" t="str">
        <f>IFERROR(VLOOKUP(Logs_Registre[[#This Row],[Cell_ID]],Registre_Maintenance[],5,FALSE),"")</f>
        <v/>
      </c>
      <c r="K520" t="str">
        <f>IFERROR(VLOOKUP(Logs_Registre[[#This Row],[Cell_ID]],Registre_Maintenance[],6,FALSE),"")</f>
        <v/>
      </c>
    </row>
    <row r="521" spans="1:11" x14ac:dyDescent="0.25">
      <c r="A521" s="1" t="s">
        <v>1330</v>
      </c>
      <c r="B521" s="1" t="s">
        <v>1331</v>
      </c>
      <c r="C521" s="2">
        <v>45215.776388888888</v>
      </c>
      <c r="D521" s="3">
        <v>45215.776388888888</v>
      </c>
      <c r="E521">
        <v>87</v>
      </c>
      <c r="F521" s="1" t="s">
        <v>737</v>
      </c>
      <c r="G521" t="str">
        <f>IFERROR(VLOOKUP(Logs_Registre[[#This Row],[Cell_ID]],Registre_Maintenance[],2,FALSE),"")</f>
        <v>Kasai</v>
      </c>
      <c r="H521">
        <f>IFERROR(VLOOKUP(Logs_Registre[[#This Row],[Cell_ID]],Registre_Maintenance[],3,FALSE),"")</f>
        <v>2.5665840000000002</v>
      </c>
      <c r="I521">
        <f>IFERROR(VLOOKUP(Logs_Registre[[#This Row],[Cell_ID]],Registre_Maintenance[],4,FALSE),"")</f>
        <v>15.764796</v>
      </c>
      <c r="J521" t="str">
        <f>IFERROR(VLOOKUP(Logs_Registre[[#This Row],[Cell_ID]],Registre_Maintenance[],5,FALSE),"")</f>
        <v>3G</v>
      </c>
      <c r="K521" t="str">
        <f>IFERROR(VLOOKUP(Logs_Registre[[#This Row],[Cell_ID]],Registre_Maintenance[],6,FALSE),"")</f>
        <v>ZTE</v>
      </c>
    </row>
    <row r="522" spans="1:11" x14ac:dyDescent="0.25">
      <c r="A522" s="1" t="s">
        <v>1382</v>
      </c>
      <c r="B522" s="1" t="s">
        <v>1094</v>
      </c>
      <c r="C522" s="2">
        <v>45215.775000000001</v>
      </c>
      <c r="D522" s="3">
        <v>45215.775000000001</v>
      </c>
      <c r="E522">
        <v>95</v>
      </c>
      <c r="F522" s="1" t="s">
        <v>735</v>
      </c>
      <c r="G522" t="str">
        <f>IFERROR(VLOOKUP(Logs_Registre[[#This Row],[Cell_ID]],Registre_Maintenance[],2,FALSE),"")</f>
        <v/>
      </c>
      <c r="H522" t="str">
        <f>IFERROR(VLOOKUP(Logs_Registre[[#This Row],[Cell_ID]],Registre_Maintenance[],3,FALSE),"")</f>
        <v/>
      </c>
      <c r="I522" t="str">
        <f>IFERROR(VLOOKUP(Logs_Registre[[#This Row],[Cell_ID]],Registre_Maintenance[],4,FALSE),"")</f>
        <v/>
      </c>
      <c r="J522" t="str">
        <f>IFERROR(VLOOKUP(Logs_Registre[[#This Row],[Cell_ID]],Registre_Maintenance[],5,FALSE),"")</f>
        <v/>
      </c>
      <c r="K522" t="str">
        <f>IFERROR(VLOOKUP(Logs_Registre[[#This Row],[Cell_ID]],Registre_Maintenance[],6,FALSE),"")</f>
        <v/>
      </c>
    </row>
    <row r="523" spans="1:11" x14ac:dyDescent="0.25">
      <c r="A523" s="1" t="s">
        <v>1261</v>
      </c>
      <c r="B523" s="1" t="s">
        <v>1274</v>
      </c>
      <c r="C523" s="2">
        <v>45215.756944444453</v>
      </c>
      <c r="D523" s="3">
        <v>45215.756944444453</v>
      </c>
      <c r="E523">
        <v>24</v>
      </c>
      <c r="F523" s="1" t="s">
        <v>737</v>
      </c>
      <c r="G523" t="str">
        <f>IFERROR(VLOOKUP(Logs_Registre[[#This Row],[Cell_ID]],Registre_Maintenance[],2,FALSE),"")</f>
        <v/>
      </c>
      <c r="H523" t="str">
        <f>IFERROR(VLOOKUP(Logs_Registre[[#This Row],[Cell_ID]],Registre_Maintenance[],3,FALSE),"")</f>
        <v/>
      </c>
      <c r="I523" t="str">
        <f>IFERROR(VLOOKUP(Logs_Registre[[#This Row],[Cell_ID]],Registre_Maintenance[],4,FALSE),"")</f>
        <v/>
      </c>
      <c r="J523" t="str">
        <f>IFERROR(VLOOKUP(Logs_Registre[[#This Row],[Cell_ID]],Registre_Maintenance[],5,FALSE),"")</f>
        <v/>
      </c>
      <c r="K523" t="str">
        <f>IFERROR(VLOOKUP(Logs_Registre[[#This Row],[Cell_ID]],Registre_Maintenance[],6,FALSE),"")</f>
        <v/>
      </c>
    </row>
    <row r="524" spans="1:11" x14ac:dyDescent="0.25">
      <c r="A524" s="1" t="s">
        <v>1138</v>
      </c>
      <c r="B524" s="1" t="s">
        <v>1150</v>
      </c>
      <c r="C524" s="2">
        <v>45215.743750000001</v>
      </c>
      <c r="D524" s="3">
        <v>45215.743750000001</v>
      </c>
      <c r="E524">
        <v>103</v>
      </c>
      <c r="F524" s="1" t="s">
        <v>732</v>
      </c>
      <c r="G524" t="str">
        <f>IFERROR(VLOOKUP(Logs_Registre[[#This Row],[Cell_ID]],Registre_Maintenance[],2,FALSE),"")</f>
        <v/>
      </c>
      <c r="H524" t="str">
        <f>IFERROR(VLOOKUP(Logs_Registre[[#This Row],[Cell_ID]],Registre_Maintenance[],3,FALSE),"")</f>
        <v/>
      </c>
      <c r="I524" t="str">
        <f>IFERROR(VLOOKUP(Logs_Registre[[#This Row],[Cell_ID]],Registre_Maintenance[],4,FALSE),"")</f>
        <v/>
      </c>
      <c r="J524" t="str">
        <f>IFERROR(VLOOKUP(Logs_Registre[[#This Row],[Cell_ID]],Registre_Maintenance[],5,FALSE),"")</f>
        <v/>
      </c>
      <c r="K524" t="str">
        <f>IFERROR(VLOOKUP(Logs_Registre[[#This Row],[Cell_ID]],Registre_Maintenance[],6,FALSE),"")</f>
        <v/>
      </c>
    </row>
    <row r="525" spans="1:11" x14ac:dyDescent="0.25">
      <c r="A525" s="1" t="s">
        <v>1330</v>
      </c>
      <c r="B525" s="1" t="s">
        <v>975</v>
      </c>
      <c r="C525" s="2">
        <v>45215.704861111109</v>
      </c>
      <c r="D525" s="3">
        <v>45215.704861111109</v>
      </c>
      <c r="E525">
        <v>107</v>
      </c>
      <c r="F525" s="1" t="s">
        <v>732</v>
      </c>
      <c r="G525" t="str">
        <f>IFERROR(VLOOKUP(Logs_Registre[[#This Row],[Cell_ID]],Registre_Maintenance[],2,FALSE),"")</f>
        <v>Kongo-Central</v>
      </c>
      <c r="H525">
        <f>IFERROR(VLOOKUP(Logs_Registre[[#This Row],[Cell_ID]],Registre_Maintenance[],3,FALSE),"")</f>
        <v>-12.564277000000001</v>
      </c>
      <c r="I525">
        <f>IFERROR(VLOOKUP(Logs_Registre[[#This Row],[Cell_ID]],Registre_Maintenance[],4,FALSE),"")</f>
        <v>28.480798</v>
      </c>
      <c r="J525" t="str">
        <f>IFERROR(VLOOKUP(Logs_Registre[[#This Row],[Cell_ID]],Registre_Maintenance[],5,FALSE),"")</f>
        <v>5G</v>
      </c>
      <c r="K525" t="str">
        <f>IFERROR(VLOOKUP(Logs_Registre[[#This Row],[Cell_ID]],Registre_Maintenance[],6,FALSE),"")</f>
        <v>ZTE</v>
      </c>
    </row>
    <row r="526" spans="1:11" x14ac:dyDescent="0.25">
      <c r="A526" s="1" t="s">
        <v>1024</v>
      </c>
      <c r="B526" s="1" t="s">
        <v>778</v>
      </c>
      <c r="C526" s="2">
        <v>45215.67291666667</v>
      </c>
      <c r="D526" s="3">
        <v>45215.67291666667</v>
      </c>
      <c r="E526">
        <v>117</v>
      </c>
      <c r="F526" s="1" t="s">
        <v>737</v>
      </c>
      <c r="G526" t="str">
        <f>IFERROR(VLOOKUP(Logs_Registre[[#This Row],[Cell_ID]],Registre_Maintenance[],2,FALSE),"")</f>
        <v>Nord-Kivu</v>
      </c>
      <c r="H526">
        <f>IFERROR(VLOOKUP(Logs_Registre[[#This Row],[Cell_ID]],Registre_Maintenance[],3,FALSE),"")</f>
        <v>-11.866133</v>
      </c>
      <c r="I526">
        <f>IFERROR(VLOOKUP(Logs_Registre[[#This Row],[Cell_ID]],Registre_Maintenance[],4,FALSE),"")</f>
        <v>27.068932</v>
      </c>
      <c r="J526" t="str">
        <f>IFERROR(VLOOKUP(Logs_Registre[[#This Row],[Cell_ID]],Registre_Maintenance[],5,FALSE),"")</f>
        <v>3G</v>
      </c>
      <c r="K526" t="str">
        <f>IFERROR(VLOOKUP(Logs_Registre[[#This Row],[Cell_ID]],Registre_Maintenance[],6,FALSE),"")</f>
        <v>Huawei</v>
      </c>
    </row>
    <row r="527" spans="1:11" x14ac:dyDescent="0.25">
      <c r="A527" s="1" t="s">
        <v>902</v>
      </c>
      <c r="B527" s="1" t="s">
        <v>903</v>
      </c>
      <c r="C527" s="2">
        <v>45215.597916666673</v>
      </c>
      <c r="D527" s="3">
        <v>45215.597916666673</v>
      </c>
      <c r="E527">
        <v>7</v>
      </c>
      <c r="F527" s="1" t="s">
        <v>737</v>
      </c>
      <c r="G527" t="str">
        <f>IFERROR(VLOOKUP(Logs_Registre[[#This Row],[Cell_ID]],Registre_Maintenance[],2,FALSE),"")</f>
        <v/>
      </c>
      <c r="H527" t="str">
        <f>IFERROR(VLOOKUP(Logs_Registre[[#This Row],[Cell_ID]],Registre_Maintenance[],3,FALSE),"")</f>
        <v/>
      </c>
      <c r="I527" t="str">
        <f>IFERROR(VLOOKUP(Logs_Registre[[#This Row],[Cell_ID]],Registre_Maintenance[],4,FALSE),"")</f>
        <v/>
      </c>
      <c r="J527" t="str">
        <f>IFERROR(VLOOKUP(Logs_Registre[[#This Row],[Cell_ID]],Registre_Maintenance[],5,FALSE),"")</f>
        <v/>
      </c>
      <c r="K527" t="str">
        <f>IFERROR(VLOOKUP(Logs_Registre[[#This Row],[Cell_ID]],Registre_Maintenance[],6,FALSE),"")</f>
        <v/>
      </c>
    </row>
    <row r="528" spans="1:11" x14ac:dyDescent="0.25">
      <c r="A528" s="1" t="s">
        <v>1165</v>
      </c>
      <c r="B528" s="1" t="s">
        <v>1184</v>
      </c>
      <c r="C528" s="2">
        <v>45215.587500000001</v>
      </c>
      <c r="D528" s="3">
        <v>45215.587500000001</v>
      </c>
      <c r="E528">
        <v>24</v>
      </c>
      <c r="F528" s="1" t="s">
        <v>735</v>
      </c>
      <c r="G528" t="str">
        <f>IFERROR(VLOOKUP(Logs_Registre[[#This Row],[Cell_ID]],Registre_Maintenance[],2,FALSE),"")</f>
        <v>Maniema</v>
      </c>
      <c r="H528">
        <f>IFERROR(VLOOKUP(Logs_Registre[[#This Row],[Cell_ID]],Registre_Maintenance[],3,FALSE),"")</f>
        <v>2.5458379999999998</v>
      </c>
      <c r="I528">
        <f>IFERROR(VLOOKUP(Logs_Registre[[#This Row],[Cell_ID]],Registre_Maintenance[],4,FALSE),"")</f>
        <v>13.308655</v>
      </c>
      <c r="J528" t="str">
        <f>IFERROR(VLOOKUP(Logs_Registre[[#This Row],[Cell_ID]],Registre_Maintenance[],5,FALSE),"")</f>
        <v>5G</v>
      </c>
      <c r="K528" t="str">
        <f>IFERROR(VLOOKUP(Logs_Registre[[#This Row],[Cell_ID]],Registre_Maintenance[],6,FALSE),"")</f>
        <v>ZTE</v>
      </c>
    </row>
    <row r="529" spans="1:11" x14ac:dyDescent="0.25">
      <c r="A529" s="1" t="s">
        <v>1288</v>
      </c>
      <c r="B529" s="1" t="s">
        <v>962</v>
      </c>
      <c r="C529" s="2">
        <v>45215.580555555563</v>
      </c>
      <c r="D529" s="3">
        <v>45215.580555555563</v>
      </c>
      <c r="E529">
        <v>102</v>
      </c>
      <c r="F529" s="1" t="s">
        <v>737</v>
      </c>
      <c r="G529" t="str">
        <f>IFERROR(VLOOKUP(Logs_Registre[[#This Row],[Cell_ID]],Registre_Maintenance[],2,FALSE),"")</f>
        <v>Tshopo</v>
      </c>
      <c r="H529">
        <f>IFERROR(VLOOKUP(Logs_Registre[[#This Row],[Cell_ID]],Registre_Maintenance[],3,FALSE),"")</f>
        <v>2.4425979999999998</v>
      </c>
      <c r="I529">
        <f>IFERROR(VLOOKUP(Logs_Registre[[#This Row],[Cell_ID]],Registre_Maintenance[],4,FALSE),"")</f>
        <v>24.924308</v>
      </c>
      <c r="J529" t="str">
        <f>IFERROR(VLOOKUP(Logs_Registre[[#This Row],[Cell_ID]],Registre_Maintenance[],5,FALSE),"")</f>
        <v>5G</v>
      </c>
      <c r="K529" t="str">
        <f>IFERROR(VLOOKUP(Logs_Registre[[#This Row],[Cell_ID]],Registre_Maintenance[],6,FALSE),"")</f>
        <v>Ericsson</v>
      </c>
    </row>
    <row r="530" spans="1:11" x14ac:dyDescent="0.25">
      <c r="A530" s="1" t="s">
        <v>1219</v>
      </c>
      <c r="B530" s="1" t="s">
        <v>850</v>
      </c>
      <c r="C530" s="2">
        <v>45215.479166666657</v>
      </c>
      <c r="D530" s="3">
        <v>45215.479166666657</v>
      </c>
      <c r="E530">
        <v>67</v>
      </c>
      <c r="F530" s="1" t="s">
        <v>737</v>
      </c>
      <c r="G530" t="str">
        <f>IFERROR(VLOOKUP(Logs_Registre[[#This Row],[Cell_ID]],Registre_Maintenance[],2,FALSE),"")</f>
        <v/>
      </c>
      <c r="H530" t="str">
        <f>IFERROR(VLOOKUP(Logs_Registre[[#This Row],[Cell_ID]],Registre_Maintenance[],3,FALSE),"")</f>
        <v/>
      </c>
      <c r="I530" t="str">
        <f>IFERROR(VLOOKUP(Logs_Registre[[#This Row],[Cell_ID]],Registre_Maintenance[],4,FALSE),"")</f>
        <v/>
      </c>
      <c r="J530" t="str">
        <f>IFERROR(VLOOKUP(Logs_Registre[[#This Row],[Cell_ID]],Registre_Maintenance[],5,FALSE),"")</f>
        <v/>
      </c>
      <c r="K530" t="str">
        <f>IFERROR(VLOOKUP(Logs_Registre[[#This Row],[Cell_ID]],Registre_Maintenance[],6,FALSE),"")</f>
        <v/>
      </c>
    </row>
    <row r="531" spans="1:11" x14ac:dyDescent="0.25">
      <c r="A531" s="1" t="s">
        <v>1138</v>
      </c>
      <c r="B531" s="1" t="s">
        <v>1141</v>
      </c>
      <c r="C531" s="2">
        <v>45215.457638888889</v>
      </c>
      <c r="D531" s="3">
        <v>45215.457638888889</v>
      </c>
      <c r="E531">
        <v>100</v>
      </c>
      <c r="F531" s="1" t="s">
        <v>732</v>
      </c>
      <c r="G531" t="str">
        <f>IFERROR(VLOOKUP(Logs_Registre[[#This Row],[Cell_ID]],Registre_Maintenance[],2,FALSE),"")</f>
        <v>Tanganyika</v>
      </c>
      <c r="H531">
        <f>IFERROR(VLOOKUP(Logs_Registre[[#This Row],[Cell_ID]],Registre_Maintenance[],3,FALSE),"")</f>
        <v>-11.793894</v>
      </c>
      <c r="I531">
        <f>IFERROR(VLOOKUP(Logs_Registre[[#This Row],[Cell_ID]],Registre_Maintenance[],4,FALSE),"")</f>
        <v>20.433340999999999</v>
      </c>
      <c r="J531" t="str">
        <f>IFERROR(VLOOKUP(Logs_Registre[[#This Row],[Cell_ID]],Registre_Maintenance[],5,FALSE),"")</f>
        <v>5G</v>
      </c>
      <c r="K531" t="str">
        <f>IFERROR(VLOOKUP(Logs_Registre[[#This Row],[Cell_ID]],Registre_Maintenance[],6,FALSE),"")</f>
        <v>Nokia</v>
      </c>
    </row>
    <row r="532" spans="1:11" x14ac:dyDescent="0.25">
      <c r="A532" s="1" t="s">
        <v>902</v>
      </c>
      <c r="B532" s="1" t="s">
        <v>749</v>
      </c>
      <c r="C532" s="2">
        <v>45215.376388888893</v>
      </c>
      <c r="D532" s="3">
        <v>45215.376388888893</v>
      </c>
      <c r="E532">
        <v>65</v>
      </c>
      <c r="F532" s="1" t="s">
        <v>737</v>
      </c>
      <c r="G532" t="str">
        <f>IFERROR(VLOOKUP(Logs_Registre[[#This Row],[Cell_ID]],Registre_Maintenance[],2,FALSE),"")</f>
        <v>Lomami</v>
      </c>
      <c r="H532">
        <f>IFERROR(VLOOKUP(Logs_Registre[[#This Row],[Cell_ID]],Registre_Maintenance[],3,FALSE),"")</f>
        <v>-2.2371569999999998</v>
      </c>
      <c r="I532">
        <f>IFERROR(VLOOKUP(Logs_Registre[[#This Row],[Cell_ID]],Registre_Maintenance[],4,FALSE),"")</f>
        <v>25.926188</v>
      </c>
      <c r="J532" t="str">
        <f>IFERROR(VLOOKUP(Logs_Registre[[#This Row],[Cell_ID]],Registre_Maintenance[],5,FALSE),"")</f>
        <v>3G</v>
      </c>
      <c r="K532" t="str">
        <f>IFERROR(VLOOKUP(Logs_Registre[[#This Row],[Cell_ID]],Registre_Maintenance[],6,FALSE),"")</f>
        <v>Nokia</v>
      </c>
    </row>
    <row r="533" spans="1:11" x14ac:dyDescent="0.25">
      <c r="A533" s="1" t="s">
        <v>1330</v>
      </c>
      <c r="B533" s="1" t="s">
        <v>1003</v>
      </c>
      <c r="C533" s="2">
        <v>45215.372916666667</v>
      </c>
      <c r="D533" s="3">
        <v>45215.372916666667</v>
      </c>
      <c r="E533">
        <v>70</v>
      </c>
      <c r="F533" s="1" t="s">
        <v>735</v>
      </c>
      <c r="G533" t="str">
        <f>IFERROR(VLOOKUP(Logs_Registre[[#This Row],[Cell_ID]],Registre_Maintenance[],2,FALSE),"")</f>
        <v/>
      </c>
      <c r="H533" t="str">
        <f>IFERROR(VLOOKUP(Logs_Registre[[#This Row],[Cell_ID]],Registre_Maintenance[],3,FALSE),"")</f>
        <v/>
      </c>
      <c r="I533" t="str">
        <f>IFERROR(VLOOKUP(Logs_Registre[[#This Row],[Cell_ID]],Registre_Maintenance[],4,FALSE),"")</f>
        <v/>
      </c>
      <c r="J533" t="str">
        <f>IFERROR(VLOOKUP(Logs_Registre[[#This Row],[Cell_ID]],Registre_Maintenance[],5,FALSE),"")</f>
        <v/>
      </c>
      <c r="K533" t="str">
        <f>IFERROR(VLOOKUP(Logs_Registre[[#This Row],[Cell_ID]],Registre_Maintenance[],6,FALSE),"")</f>
        <v/>
      </c>
    </row>
    <row r="534" spans="1:11" x14ac:dyDescent="0.25">
      <c r="A534" s="1" t="s">
        <v>1165</v>
      </c>
      <c r="B534" s="1" t="s">
        <v>1180</v>
      </c>
      <c r="C534" s="2">
        <v>45215.322222222218</v>
      </c>
      <c r="D534" s="3">
        <v>45215.322222222218</v>
      </c>
      <c r="E534">
        <v>57</v>
      </c>
      <c r="F534" s="1" t="s">
        <v>737</v>
      </c>
      <c r="G534" t="str">
        <f>IFERROR(VLOOKUP(Logs_Registre[[#This Row],[Cell_ID]],Registre_Maintenance[],2,FALSE),"")</f>
        <v/>
      </c>
      <c r="H534" t="str">
        <f>IFERROR(VLOOKUP(Logs_Registre[[#This Row],[Cell_ID]],Registre_Maintenance[],3,FALSE),"")</f>
        <v/>
      </c>
      <c r="I534" t="str">
        <f>IFERROR(VLOOKUP(Logs_Registre[[#This Row],[Cell_ID]],Registre_Maintenance[],4,FALSE),"")</f>
        <v/>
      </c>
      <c r="J534" t="str">
        <f>IFERROR(VLOOKUP(Logs_Registre[[#This Row],[Cell_ID]],Registre_Maintenance[],5,FALSE),"")</f>
        <v/>
      </c>
      <c r="K534" t="str">
        <f>IFERROR(VLOOKUP(Logs_Registre[[#This Row],[Cell_ID]],Registre_Maintenance[],6,FALSE),"")</f>
        <v/>
      </c>
    </row>
    <row r="535" spans="1:11" x14ac:dyDescent="0.25">
      <c r="A535" s="1" t="s">
        <v>1165</v>
      </c>
      <c r="B535" s="1" t="s">
        <v>1178</v>
      </c>
      <c r="C535" s="2">
        <v>45215.288194444453</v>
      </c>
      <c r="D535" s="3">
        <v>45215.288194444453</v>
      </c>
      <c r="E535">
        <v>109</v>
      </c>
      <c r="F535" s="1" t="s">
        <v>732</v>
      </c>
      <c r="G535" t="str">
        <f>IFERROR(VLOOKUP(Logs_Registre[[#This Row],[Cell_ID]],Registre_Maintenance[],2,FALSE),"")</f>
        <v>Kongo-Central</v>
      </c>
      <c r="H535">
        <f>IFERROR(VLOOKUP(Logs_Registre[[#This Row],[Cell_ID]],Registre_Maintenance[],3,FALSE),"")</f>
        <v>-11.157245</v>
      </c>
      <c r="I535">
        <f>IFERROR(VLOOKUP(Logs_Registre[[#This Row],[Cell_ID]],Registre_Maintenance[],4,FALSE),"")</f>
        <v>21.262627999999999</v>
      </c>
      <c r="J535" t="str">
        <f>IFERROR(VLOOKUP(Logs_Registre[[#This Row],[Cell_ID]],Registre_Maintenance[],5,FALSE),"")</f>
        <v>5G</v>
      </c>
      <c r="K535" t="str">
        <f>IFERROR(VLOOKUP(Logs_Registre[[#This Row],[Cell_ID]],Registre_Maintenance[],6,FALSE),"")</f>
        <v>ZTE</v>
      </c>
    </row>
    <row r="536" spans="1:11" x14ac:dyDescent="0.25">
      <c r="A536" s="1" t="s">
        <v>1345</v>
      </c>
      <c r="B536" s="1" t="s">
        <v>1350</v>
      </c>
      <c r="C536" s="2">
        <v>45215.272222222222</v>
      </c>
      <c r="D536" s="3">
        <v>45215.272222222222</v>
      </c>
      <c r="E536">
        <v>56</v>
      </c>
      <c r="F536" s="1" t="s">
        <v>737</v>
      </c>
      <c r="G536" t="str">
        <f>IFERROR(VLOOKUP(Logs_Registre[[#This Row],[Cell_ID]],Registre_Maintenance[],2,FALSE),"")</f>
        <v/>
      </c>
      <c r="H536" t="str">
        <f>IFERROR(VLOOKUP(Logs_Registre[[#This Row],[Cell_ID]],Registre_Maintenance[],3,FALSE),"")</f>
        <v/>
      </c>
      <c r="I536" t="str">
        <f>IFERROR(VLOOKUP(Logs_Registre[[#This Row],[Cell_ID]],Registre_Maintenance[],4,FALSE),"")</f>
        <v/>
      </c>
      <c r="J536" t="str">
        <f>IFERROR(VLOOKUP(Logs_Registre[[#This Row],[Cell_ID]],Registre_Maintenance[],5,FALSE),"")</f>
        <v/>
      </c>
      <c r="K536" t="str">
        <f>IFERROR(VLOOKUP(Logs_Registre[[#This Row],[Cell_ID]],Registre_Maintenance[],6,FALSE),"")</f>
        <v/>
      </c>
    </row>
    <row r="537" spans="1:11" x14ac:dyDescent="0.25">
      <c r="A537" s="1" t="s">
        <v>1404</v>
      </c>
      <c r="B537" s="1" t="s">
        <v>1070</v>
      </c>
      <c r="C537" s="2">
        <v>45215.231944444437</v>
      </c>
      <c r="D537" s="3">
        <v>45215.231944444437</v>
      </c>
      <c r="E537">
        <v>25</v>
      </c>
      <c r="F537" s="1" t="s">
        <v>735</v>
      </c>
      <c r="G537" t="str">
        <f>IFERROR(VLOOKUP(Logs_Registre[[#This Row],[Cell_ID]],Registre_Maintenance[],2,FALSE),"")</f>
        <v/>
      </c>
      <c r="H537" t="str">
        <f>IFERROR(VLOOKUP(Logs_Registre[[#This Row],[Cell_ID]],Registre_Maintenance[],3,FALSE),"")</f>
        <v/>
      </c>
      <c r="I537" t="str">
        <f>IFERROR(VLOOKUP(Logs_Registre[[#This Row],[Cell_ID]],Registre_Maintenance[],4,FALSE),"")</f>
        <v/>
      </c>
      <c r="J537" t="str">
        <f>IFERROR(VLOOKUP(Logs_Registre[[#This Row],[Cell_ID]],Registre_Maintenance[],5,FALSE),"")</f>
        <v/>
      </c>
      <c r="K537" t="str">
        <f>IFERROR(VLOOKUP(Logs_Registre[[#This Row],[Cell_ID]],Registre_Maintenance[],6,FALSE),"")</f>
        <v/>
      </c>
    </row>
    <row r="538" spans="1:11" x14ac:dyDescent="0.25">
      <c r="A538" s="1" t="s">
        <v>1361</v>
      </c>
      <c r="B538" s="1" t="s">
        <v>1375</v>
      </c>
      <c r="C538" s="2">
        <v>45215.163888888892</v>
      </c>
      <c r="D538" s="3">
        <v>45215.163888888892</v>
      </c>
      <c r="E538">
        <v>109</v>
      </c>
      <c r="F538" s="1" t="s">
        <v>735</v>
      </c>
      <c r="G538" t="str">
        <f>IFERROR(VLOOKUP(Logs_Registre[[#This Row],[Cell_ID]],Registre_Maintenance[],2,FALSE),"")</f>
        <v/>
      </c>
      <c r="H538" t="str">
        <f>IFERROR(VLOOKUP(Logs_Registre[[#This Row],[Cell_ID]],Registre_Maintenance[],3,FALSE),"")</f>
        <v/>
      </c>
      <c r="I538" t="str">
        <f>IFERROR(VLOOKUP(Logs_Registre[[#This Row],[Cell_ID]],Registre_Maintenance[],4,FALSE),"")</f>
        <v/>
      </c>
      <c r="J538" t="str">
        <f>IFERROR(VLOOKUP(Logs_Registre[[#This Row],[Cell_ID]],Registre_Maintenance[],5,FALSE),"")</f>
        <v/>
      </c>
      <c r="K538" t="str">
        <f>IFERROR(VLOOKUP(Logs_Registre[[#This Row],[Cell_ID]],Registre_Maintenance[],6,FALSE),"")</f>
        <v/>
      </c>
    </row>
    <row r="539" spans="1:11" x14ac:dyDescent="0.25">
      <c r="A539" s="1" t="s">
        <v>861</v>
      </c>
      <c r="B539" s="1" t="s">
        <v>899</v>
      </c>
      <c r="C539" s="2">
        <v>45215.143750000003</v>
      </c>
      <c r="D539" s="3">
        <v>45215.143750000003</v>
      </c>
      <c r="E539">
        <v>107</v>
      </c>
      <c r="F539" s="1" t="s">
        <v>735</v>
      </c>
      <c r="G539" t="str">
        <f>IFERROR(VLOOKUP(Logs_Registre[[#This Row],[Cell_ID]],Registre_Maintenance[],2,FALSE),"")</f>
        <v/>
      </c>
      <c r="H539" t="str">
        <f>IFERROR(VLOOKUP(Logs_Registre[[#This Row],[Cell_ID]],Registre_Maintenance[],3,FALSE),"")</f>
        <v/>
      </c>
      <c r="I539" t="str">
        <f>IFERROR(VLOOKUP(Logs_Registre[[#This Row],[Cell_ID]],Registre_Maintenance[],4,FALSE),"")</f>
        <v/>
      </c>
      <c r="J539" t="str">
        <f>IFERROR(VLOOKUP(Logs_Registre[[#This Row],[Cell_ID]],Registre_Maintenance[],5,FALSE),"")</f>
        <v/>
      </c>
      <c r="K539" t="str">
        <f>IFERROR(VLOOKUP(Logs_Registre[[#This Row],[Cell_ID]],Registre_Maintenance[],6,FALSE),"")</f>
        <v/>
      </c>
    </row>
    <row r="540" spans="1:11" x14ac:dyDescent="0.25">
      <c r="A540" s="1" t="s">
        <v>902</v>
      </c>
      <c r="B540" s="1" t="s">
        <v>906</v>
      </c>
      <c r="C540" s="2">
        <v>45215.10833333333</v>
      </c>
      <c r="D540" s="3">
        <v>45215.10833333333</v>
      </c>
      <c r="E540">
        <v>39</v>
      </c>
      <c r="F540" s="1" t="s">
        <v>737</v>
      </c>
      <c r="G540" t="str">
        <f>IFERROR(VLOOKUP(Logs_Registre[[#This Row],[Cell_ID]],Registre_Maintenance[],2,FALSE),"")</f>
        <v/>
      </c>
      <c r="H540" t="str">
        <f>IFERROR(VLOOKUP(Logs_Registre[[#This Row],[Cell_ID]],Registre_Maintenance[],3,FALSE),"")</f>
        <v/>
      </c>
      <c r="I540" t="str">
        <f>IFERROR(VLOOKUP(Logs_Registre[[#This Row],[Cell_ID]],Registre_Maintenance[],4,FALSE),"")</f>
        <v/>
      </c>
      <c r="J540" t="str">
        <f>IFERROR(VLOOKUP(Logs_Registre[[#This Row],[Cell_ID]],Registre_Maintenance[],5,FALSE),"")</f>
        <v/>
      </c>
      <c r="K540" t="str">
        <f>IFERROR(VLOOKUP(Logs_Registre[[#This Row],[Cell_ID]],Registre_Maintenance[],6,FALSE),"")</f>
        <v/>
      </c>
    </row>
    <row r="541" spans="1:11" x14ac:dyDescent="0.25">
      <c r="A541" s="1" t="s">
        <v>1241</v>
      </c>
      <c r="B541" s="1" t="s">
        <v>1258</v>
      </c>
      <c r="C541" s="2">
        <v>45215.093055555553</v>
      </c>
      <c r="D541" s="3">
        <v>45215.093055555553</v>
      </c>
      <c r="E541">
        <v>87</v>
      </c>
      <c r="F541" s="1" t="s">
        <v>732</v>
      </c>
      <c r="G541" t="str">
        <f>IFERROR(VLOOKUP(Logs_Registre[[#This Row],[Cell_ID]],Registre_Maintenance[],2,FALSE),"")</f>
        <v>Mongala</v>
      </c>
      <c r="H541">
        <f>IFERROR(VLOOKUP(Logs_Registre[[#This Row],[Cell_ID]],Registre_Maintenance[],3,FALSE),"")</f>
        <v>-7.6951369999999999</v>
      </c>
      <c r="I541">
        <f>IFERROR(VLOOKUP(Logs_Registre[[#This Row],[Cell_ID]],Registre_Maintenance[],4,FALSE),"")</f>
        <v>13.346605</v>
      </c>
      <c r="J541" t="str">
        <f>IFERROR(VLOOKUP(Logs_Registre[[#This Row],[Cell_ID]],Registre_Maintenance[],5,FALSE),"")</f>
        <v>4G</v>
      </c>
      <c r="K541" t="str">
        <f>IFERROR(VLOOKUP(Logs_Registre[[#This Row],[Cell_ID]],Registre_Maintenance[],6,FALSE),"")</f>
        <v>Ericsson</v>
      </c>
    </row>
    <row r="542" spans="1:11" x14ac:dyDescent="0.25">
      <c r="A542" s="1" t="s">
        <v>1241</v>
      </c>
      <c r="B542" s="1" t="s">
        <v>1118</v>
      </c>
      <c r="C542" s="2">
        <v>45215.088888888888</v>
      </c>
      <c r="D542" s="3">
        <v>45215.088888888888</v>
      </c>
      <c r="E542">
        <v>59</v>
      </c>
      <c r="F542" s="1" t="s">
        <v>737</v>
      </c>
      <c r="G542" t="str">
        <f>IFERROR(VLOOKUP(Logs_Registre[[#This Row],[Cell_ID]],Registre_Maintenance[],2,FALSE),"")</f>
        <v/>
      </c>
      <c r="H542" t="str">
        <f>IFERROR(VLOOKUP(Logs_Registre[[#This Row],[Cell_ID]],Registre_Maintenance[],3,FALSE),"")</f>
        <v/>
      </c>
      <c r="I542" t="str">
        <f>IFERROR(VLOOKUP(Logs_Registre[[#This Row],[Cell_ID]],Registre_Maintenance[],4,FALSE),"")</f>
        <v/>
      </c>
      <c r="J542" t="str">
        <f>IFERROR(VLOOKUP(Logs_Registre[[#This Row],[Cell_ID]],Registre_Maintenance[],5,FALSE),"")</f>
        <v/>
      </c>
      <c r="K542" t="str">
        <f>IFERROR(VLOOKUP(Logs_Registre[[#This Row],[Cell_ID]],Registre_Maintenance[],6,FALSE),"")</f>
        <v/>
      </c>
    </row>
    <row r="543" spans="1:11" x14ac:dyDescent="0.25">
      <c r="A543" s="1" t="s">
        <v>1165</v>
      </c>
      <c r="B543" s="1" t="s">
        <v>1151</v>
      </c>
      <c r="C543" s="2">
        <v>45215.056944444441</v>
      </c>
      <c r="D543" s="3">
        <v>45215.056944444441</v>
      </c>
      <c r="E543">
        <v>99</v>
      </c>
      <c r="F543" s="1" t="s">
        <v>735</v>
      </c>
      <c r="G543" t="str">
        <f>IFERROR(VLOOKUP(Logs_Registre[[#This Row],[Cell_ID]],Registre_Maintenance[],2,FALSE),"")</f>
        <v>Kinshasa</v>
      </c>
      <c r="H543">
        <f>IFERROR(VLOOKUP(Logs_Registre[[#This Row],[Cell_ID]],Registre_Maintenance[],3,FALSE),"")</f>
        <v>-2.6665070000000002</v>
      </c>
      <c r="I543">
        <f>IFERROR(VLOOKUP(Logs_Registre[[#This Row],[Cell_ID]],Registre_Maintenance[],4,FALSE),"")</f>
        <v>18.623692999999999</v>
      </c>
      <c r="J543" t="str">
        <f>IFERROR(VLOOKUP(Logs_Registre[[#This Row],[Cell_ID]],Registre_Maintenance[],5,FALSE),"")</f>
        <v>3G</v>
      </c>
      <c r="K543" t="str">
        <f>IFERROR(VLOOKUP(Logs_Registre[[#This Row],[Cell_ID]],Registre_Maintenance[],6,FALSE),"")</f>
        <v>ZTE</v>
      </c>
    </row>
    <row r="544" spans="1:11" x14ac:dyDescent="0.25">
      <c r="A544" s="1" t="s">
        <v>1330</v>
      </c>
      <c r="B544" s="1" t="s">
        <v>1184</v>
      </c>
      <c r="C544" s="2">
        <v>45215.049305555563</v>
      </c>
      <c r="D544" s="3">
        <v>45215.049305555563</v>
      </c>
      <c r="E544">
        <v>33</v>
      </c>
      <c r="F544" s="1" t="s">
        <v>735</v>
      </c>
      <c r="G544" t="str">
        <f>IFERROR(VLOOKUP(Logs_Registre[[#This Row],[Cell_ID]],Registre_Maintenance[],2,FALSE),"")</f>
        <v>Maniema</v>
      </c>
      <c r="H544">
        <f>IFERROR(VLOOKUP(Logs_Registre[[#This Row],[Cell_ID]],Registre_Maintenance[],3,FALSE),"")</f>
        <v>2.5458379999999998</v>
      </c>
      <c r="I544">
        <f>IFERROR(VLOOKUP(Logs_Registre[[#This Row],[Cell_ID]],Registre_Maintenance[],4,FALSE),"")</f>
        <v>13.308655</v>
      </c>
      <c r="J544" t="str">
        <f>IFERROR(VLOOKUP(Logs_Registre[[#This Row],[Cell_ID]],Registre_Maintenance[],5,FALSE),"")</f>
        <v>5G</v>
      </c>
      <c r="K544" t="str">
        <f>IFERROR(VLOOKUP(Logs_Registre[[#This Row],[Cell_ID]],Registre_Maintenance[],6,FALSE),"")</f>
        <v>ZTE</v>
      </c>
    </row>
    <row r="545" spans="1:11" x14ac:dyDescent="0.25">
      <c r="A545" s="1" t="s">
        <v>939</v>
      </c>
      <c r="B545" s="1" t="s">
        <v>946</v>
      </c>
      <c r="C545" s="2">
        <v>45215.047222222223</v>
      </c>
      <c r="D545" s="3">
        <v>45215.047222222223</v>
      </c>
      <c r="E545">
        <v>35</v>
      </c>
      <c r="F545" s="1" t="s">
        <v>732</v>
      </c>
      <c r="G545" t="str">
        <f>IFERROR(VLOOKUP(Logs_Registre[[#This Row],[Cell_ID]],Registre_Maintenance[],2,FALSE),"")</f>
        <v/>
      </c>
      <c r="H545" t="str">
        <f>IFERROR(VLOOKUP(Logs_Registre[[#This Row],[Cell_ID]],Registre_Maintenance[],3,FALSE),"")</f>
        <v/>
      </c>
      <c r="I545" t="str">
        <f>IFERROR(VLOOKUP(Logs_Registre[[#This Row],[Cell_ID]],Registre_Maintenance[],4,FALSE),"")</f>
        <v/>
      </c>
      <c r="J545" t="str">
        <f>IFERROR(VLOOKUP(Logs_Registre[[#This Row],[Cell_ID]],Registre_Maintenance[],5,FALSE),"")</f>
        <v/>
      </c>
      <c r="K545" t="str">
        <f>IFERROR(VLOOKUP(Logs_Registre[[#This Row],[Cell_ID]],Registre_Maintenance[],6,FALSE),"")</f>
        <v/>
      </c>
    </row>
    <row r="546" spans="1:11" x14ac:dyDescent="0.25">
      <c r="A546" s="1" t="s">
        <v>1288</v>
      </c>
      <c r="B546" s="1" t="s">
        <v>1298</v>
      </c>
      <c r="C546" s="2">
        <v>45215.01666666667</v>
      </c>
      <c r="D546" s="3">
        <v>45215.01666666667</v>
      </c>
      <c r="E546">
        <v>35</v>
      </c>
      <c r="F546" s="1" t="s">
        <v>735</v>
      </c>
      <c r="G546" t="str">
        <f>IFERROR(VLOOKUP(Logs_Registre[[#This Row],[Cell_ID]],Registre_Maintenance[],2,FALSE),"")</f>
        <v/>
      </c>
      <c r="H546" t="str">
        <f>IFERROR(VLOOKUP(Logs_Registre[[#This Row],[Cell_ID]],Registre_Maintenance[],3,FALSE),"")</f>
        <v/>
      </c>
      <c r="I546" t="str">
        <f>IFERROR(VLOOKUP(Logs_Registre[[#This Row],[Cell_ID]],Registre_Maintenance[],4,FALSE),"")</f>
        <v/>
      </c>
      <c r="J546" t="str">
        <f>IFERROR(VLOOKUP(Logs_Registre[[#This Row],[Cell_ID]],Registre_Maintenance[],5,FALSE),"")</f>
        <v/>
      </c>
      <c r="K546" t="str">
        <f>IFERROR(VLOOKUP(Logs_Registre[[#This Row],[Cell_ID]],Registre_Maintenance[],6,FALSE),"")</f>
        <v/>
      </c>
    </row>
    <row r="547" spans="1:11" x14ac:dyDescent="0.25">
      <c r="A547" s="1" t="s">
        <v>1114</v>
      </c>
      <c r="B547" s="1" t="s">
        <v>1121</v>
      </c>
      <c r="C547" s="2">
        <v>45215.015972222223</v>
      </c>
      <c r="D547" s="3">
        <v>45215.015972222223</v>
      </c>
      <c r="E547">
        <v>74</v>
      </c>
      <c r="F547" s="1" t="s">
        <v>732</v>
      </c>
      <c r="G547" t="str">
        <f>IFERROR(VLOOKUP(Logs_Registre[[#This Row],[Cell_ID]],Registre_Maintenance[],2,FALSE),"")</f>
        <v>Kasai-Central</v>
      </c>
      <c r="H547">
        <f>IFERROR(VLOOKUP(Logs_Registre[[#This Row],[Cell_ID]],Registre_Maintenance[],3,FALSE),"")</f>
        <v>-5.8352820000000003</v>
      </c>
      <c r="I547">
        <f>IFERROR(VLOOKUP(Logs_Registre[[#This Row],[Cell_ID]],Registre_Maintenance[],4,FALSE),"")</f>
        <v>26.603978000000001</v>
      </c>
      <c r="J547" t="str">
        <f>IFERROR(VLOOKUP(Logs_Registre[[#This Row],[Cell_ID]],Registre_Maintenance[],5,FALSE),"")</f>
        <v>4G</v>
      </c>
      <c r="K547" t="str">
        <f>IFERROR(VLOOKUP(Logs_Registre[[#This Row],[Cell_ID]],Registre_Maintenance[],6,FALSE),"")</f>
        <v>Huawei</v>
      </c>
    </row>
    <row r="548" spans="1:11" x14ac:dyDescent="0.25">
      <c r="A548" s="1" t="s">
        <v>779</v>
      </c>
      <c r="B548" s="1" t="s">
        <v>784</v>
      </c>
      <c r="C548" s="2">
        <v>45214.960416666669</v>
      </c>
      <c r="D548" s="3">
        <v>45214.960416666669</v>
      </c>
      <c r="E548">
        <v>38</v>
      </c>
      <c r="F548" s="1" t="s">
        <v>732</v>
      </c>
      <c r="G548" t="str">
        <f>IFERROR(VLOOKUP(Logs_Registre[[#This Row],[Cell_ID]],Registre_Maintenance[],2,FALSE),"")</f>
        <v>Lualaba</v>
      </c>
      <c r="H548">
        <f>IFERROR(VLOOKUP(Logs_Registre[[#This Row],[Cell_ID]],Registre_Maintenance[],3,FALSE),"")</f>
        <v>-11.710407999999999</v>
      </c>
      <c r="I548">
        <f>IFERROR(VLOOKUP(Logs_Registre[[#This Row],[Cell_ID]],Registre_Maintenance[],4,FALSE),"")</f>
        <v>23.741330999999999</v>
      </c>
      <c r="J548" t="str">
        <f>IFERROR(VLOOKUP(Logs_Registre[[#This Row],[Cell_ID]],Registre_Maintenance[],5,FALSE),"")</f>
        <v>3G</v>
      </c>
      <c r="K548" t="str">
        <f>IFERROR(VLOOKUP(Logs_Registre[[#This Row],[Cell_ID]],Registre_Maintenance[],6,FALSE),"")</f>
        <v>Huawei</v>
      </c>
    </row>
    <row r="549" spans="1:11" x14ac:dyDescent="0.25">
      <c r="A549" s="1" t="s">
        <v>902</v>
      </c>
      <c r="B549" s="1" t="s">
        <v>923</v>
      </c>
      <c r="C549" s="2">
        <v>45214.943055555559</v>
      </c>
      <c r="D549" s="3">
        <v>45214.943055555559</v>
      </c>
      <c r="E549">
        <v>16</v>
      </c>
      <c r="F549" s="1" t="s">
        <v>732</v>
      </c>
      <c r="G549" t="str">
        <f>IFERROR(VLOOKUP(Logs_Registre[[#This Row],[Cell_ID]],Registre_Maintenance[],2,FALSE),"")</f>
        <v>Haut-Lomami</v>
      </c>
      <c r="H549">
        <f>IFERROR(VLOOKUP(Logs_Registre[[#This Row],[Cell_ID]],Registre_Maintenance[],3,FALSE),"")</f>
        <v>1.210869</v>
      </c>
      <c r="I549">
        <f>IFERROR(VLOOKUP(Logs_Registre[[#This Row],[Cell_ID]],Registre_Maintenance[],4,FALSE),"")</f>
        <v>25.598741</v>
      </c>
      <c r="J549" t="str">
        <f>IFERROR(VLOOKUP(Logs_Registre[[#This Row],[Cell_ID]],Registre_Maintenance[],5,FALSE),"")</f>
        <v>4G</v>
      </c>
      <c r="K549" t="str">
        <f>IFERROR(VLOOKUP(Logs_Registre[[#This Row],[Cell_ID]],Registre_Maintenance[],6,FALSE),"")</f>
        <v>Ericsson</v>
      </c>
    </row>
    <row r="550" spans="1:11" x14ac:dyDescent="0.25">
      <c r="A550" s="1" t="s">
        <v>1404</v>
      </c>
      <c r="B550" s="1" t="s">
        <v>1199</v>
      </c>
      <c r="C550" s="2">
        <v>45214.931250000001</v>
      </c>
      <c r="D550" s="3">
        <v>45214.931250000001</v>
      </c>
      <c r="E550">
        <v>81</v>
      </c>
      <c r="F550" s="1" t="s">
        <v>735</v>
      </c>
      <c r="G550" t="str">
        <f>IFERROR(VLOOKUP(Logs_Registre[[#This Row],[Cell_ID]],Registre_Maintenance[],2,FALSE),"")</f>
        <v/>
      </c>
      <c r="H550" t="str">
        <f>IFERROR(VLOOKUP(Logs_Registre[[#This Row],[Cell_ID]],Registre_Maintenance[],3,FALSE),"")</f>
        <v/>
      </c>
      <c r="I550" t="str">
        <f>IFERROR(VLOOKUP(Logs_Registre[[#This Row],[Cell_ID]],Registre_Maintenance[],4,FALSE),"")</f>
        <v/>
      </c>
      <c r="J550" t="str">
        <f>IFERROR(VLOOKUP(Logs_Registre[[#This Row],[Cell_ID]],Registre_Maintenance[],5,FALSE),"")</f>
        <v/>
      </c>
      <c r="K550" t="str">
        <f>IFERROR(VLOOKUP(Logs_Registre[[#This Row],[Cell_ID]],Registre_Maintenance[],6,FALSE),"")</f>
        <v/>
      </c>
    </row>
    <row r="551" spans="1:11" x14ac:dyDescent="0.25">
      <c r="A551" s="1" t="s">
        <v>902</v>
      </c>
      <c r="B551" s="1" t="s">
        <v>933</v>
      </c>
      <c r="C551" s="2">
        <v>45214.929861111108</v>
      </c>
      <c r="D551" s="3">
        <v>45214.929861111108</v>
      </c>
      <c r="E551">
        <v>89</v>
      </c>
      <c r="F551" s="1" t="s">
        <v>737</v>
      </c>
      <c r="G551" t="str">
        <f>IFERROR(VLOOKUP(Logs_Registre[[#This Row],[Cell_ID]],Registre_Maintenance[],2,FALSE),"")</f>
        <v/>
      </c>
      <c r="H551" t="str">
        <f>IFERROR(VLOOKUP(Logs_Registre[[#This Row],[Cell_ID]],Registre_Maintenance[],3,FALSE),"")</f>
        <v/>
      </c>
      <c r="I551" t="str">
        <f>IFERROR(VLOOKUP(Logs_Registre[[#This Row],[Cell_ID]],Registre_Maintenance[],4,FALSE),"")</f>
        <v/>
      </c>
      <c r="J551" t="str">
        <f>IFERROR(VLOOKUP(Logs_Registre[[#This Row],[Cell_ID]],Registre_Maintenance[],5,FALSE),"")</f>
        <v/>
      </c>
      <c r="K551" t="str">
        <f>IFERROR(VLOOKUP(Logs_Registre[[#This Row],[Cell_ID]],Registre_Maintenance[],6,FALSE),"")</f>
        <v/>
      </c>
    </row>
    <row r="552" spans="1:11" x14ac:dyDescent="0.25">
      <c r="A552" s="1" t="s">
        <v>999</v>
      </c>
      <c r="B552" s="1" t="s">
        <v>1019</v>
      </c>
      <c r="C552" s="2">
        <v>45214.893750000003</v>
      </c>
      <c r="D552" s="3">
        <v>45214.893750000003</v>
      </c>
      <c r="E552">
        <v>60</v>
      </c>
      <c r="F552" s="1" t="s">
        <v>735</v>
      </c>
      <c r="G552" t="str">
        <f>IFERROR(VLOOKUP(Logs_Registre[[#This Row],[Cell_ID]],Registre_Maintenance[],2,FALSE),"")</f>
        <v/>
      </c>
      <c r="H552" t="str">
        <f>IFERROR(VLOOKUP(Logs_Registre[[#This Row],[Cell_ID]],Registre_Maintenance[],3,FALSE),"")</f>
        <v/>
      </c>
      <c r="I552" t="str">
        <f>IFERROR(VLOOKUP(Logs_Registre[[#This Row],[Cell_ID]],Registre_Maintenance[],4,FALSE),"")</f>
        <v/>
      </c>
      <c r="J552" t="str">
        <f>IFERROR(VLOOKUP(Logs_Registre[[#This Row],[Cell_ID]],Registre_Maintenance[],5,FALSE),"")</f>
        <v/>
      </c>
      <c r="K552" t="str">
        <f>IFERROR(VLOOKUP(Logs_Registre[[#This Row],[Cell_ID]],Registre_Maintenance[],6,FALSE),"")</f>
        <v/>
      </c>
    </row>
    <row r="553" spans="1:11" x14ac:dyDescent="0.25">
      <c r="A553" s="1" t="s">
        <v>730</v>
      </c>
      <c r="B553" s="1" t="s">
        <v>761</v>
      </c>
      <c r="C553" s="2">
        <v>45214.870138888888</v>
      </c>
      <c r="D553" s="3">
        <v>45214.870138888888</v>
      </c>
      <c r="E553">
        <v>72</v>
      </c>
      <c r="F553" s="1" t="s">
        <v>732</v>
      </c>
      <c r="G553" t="str">
        <f>IFERROR(VLOOKUP(Logs_Registre[[#This Row],[Cell_ID]],Registre_Maintenance[],2,FALSE),"")</f>
        <v/>
      </c>
      <c r="H553" t="str">
        <f>IFERROR(VLOOKUP(Logs_Registre[[#This Row],[Cell_ID]],Registre_Maintenance[],3,FALSE),"")</f>
        <v/>
      </c>
      <c r="I553" t="str">
        <f>IFERROR(VLOOKUP(Logs_Registre[[#This Row],[Cell_ID]],Registre_Maintenance[],4,FALSE),"")</f>
        <v/>
      </c>
      <c r="J553" t="str">
        <f>IFERROR(VLOOKUP(Logs_Registre[[#This Row],[Cell_ID]],Registre_Maintenance[],5,FALSE),"")</f>
        <v/>
      </c>
      <c r="K553" t="str">
        <f>IFERROR(VLOOKUP(Logs_Registre[[#This Row],[Cell_ID]],Registre_Maintenance[],6,FALSE),"")</f>
        <v/>
      </c>
    </row>
    <row r="554" spans="1:11" x14ac:dyDescent="0.25">
      <c r="A554" s="1" t="s">
        <v>1404</v>
      </c>
      <c r="B554" s="1" t="s">
        <v>1090</v>
      </c>
      <c r="C554" s="2">
        <v>45214.850694444453</v>
      </c>
      <c r="D554" s="3">
        <v>45214.850694444453</v>
      </c>
      <c r="E554">
        <v>31</v>
      </c>
      <c r="F554" s="1" t="s">
        <v>737</v>
      </c>
      <c r="G554" t="str">
        <f>IFERROR(VLOOKUP(Logs_Registre[[#This Row],[Cell_ID]],Registre_Maintenance[],2,FALSE),"")</f>
        <v>Kasai-Oriental</v>
      </c>
      <c r="H554">
        <f>IFERROR(VLOOKUP(Logs_Registre[[#This Row],[Cell_ID]],Registre_Maintenance[],3,FALSE),"")</f>
        <v>-5.4073029999999997</v>
      </c>
      <c r="I554">
        <f>IFERROR(VLOOKUP(Logs_Registre[[#This Row],[Cell_ID]],Registre_Maintenance[],4,FALSE),"")</f>
        <v>29.762294000000001</v>
      </c>
      <c r="J554" t="str">
        <f>IFERROR(VLOOKUP(Logs_Registre[[#This Row],[Cell_ID]],Registre_Maintenance[],5,FALSE),"")</f>
        <v>3G</v>
      </c>
      <c r="K554" t="str">
        <f>IFERROR(VLOOKUP(Logs_Registre[[#This Row],[Cell_ID]],Registre_Maintenance[],6,FALSE),"")</f>
        <v>Ericsson</v>
      </c>
    </row>
    <row r="555" spans="1:11" x14ac:dyDescent="0.25">
      <c r="A555" s="1" t="s">
        <v>779</v>
      </c>
      <c r="B555" s="1" t="s">
        <v>822</v>
      </c>
      <c r="C555" s="2">
        <v>45214.816666666673</v>
      </c>
      <c r="D555" s="3">
        <v>45214.816666666673</v>
      </c>
      <c r="E555">
        <v>92</v>
      </c>
      <c r="F555" s="1" t="s">
        <v>737</v>
      </c>
      <c r="G555" t="str">
        <f>IFERROR(VLOOKUP(Logs_Registre[[#This Row],[Cell_ID]],Registre_Maintenance[],2,FALSE),"")</f>
        <v/>
      </c>
      <c r="H555" t="str">
        <f>IFERROR(VLOOKUP(Logs_Registre[[#This Row],[Cell_ID]],Registre_Maintenance[],3,FALSE),"")</f>
        <v/>
      </c>
      <c r="I555" t="str">
        <f>IFERROR(VLOOKUP(Logs_Registre[[#This Row],[Cell_ID]],Registre_Maintenance[],4,FALSE),"")</f>
        <v/>
      </c>
      <c r="J555" t="str">
        <f>IFERROR(VLOOKUP(Logs_Registre[[#This Row],[Cell_ID]],Registre_Maintenance[],5,FALSE),"")</f>
        <v/>
      </c>
      <c r="K555" t="str">
        <f>IFERROR(VLOOKUP(Logs_Registre[[#This Row],[Cell_ID]],Registre_Maintenance[],6,FALSE),"")</f>
        <v/>
      </c>
    </row>
    <row r="556" spans="1:11" x14ac:dyDescent="0.25">
      <c r="A556" s="1" t="s">
        <v>1219</v>
      </c>
      <c r="B556" s="1" t="s">
        <v>1237</v>
      </c>
      <c r="C556" s="2">
        <v>45214.799305555563</v>
      </c>
      <c r="D556" s="3">
        <v>45214.799305555563</v>
      </c>
      <c r="E556">
        <v>67</v>
      </c>
      <c r="F556" s="1" t="s">
        <v>732</v>
      </c>
      <c r="G556" t="str">
        <f>IFERROR(VLOOKUP(Logs_Registre[[#This Row],[Cell_ID]],Registre_Maintenance[],2,FALSE),"")</f>
        <v/>
      </c>
      <c r="H556" t="str">
        <f>IFERROR(VLOOKUP(Logs_Registre[[#This Row],[Cell_ID]],Registre_Maintenance[],3,FALSE),"")</f>
        <v/>
      </c>
      <c r="I556" t="str">
        <f>IFERROR(VLOOKUP(Logs_Registre[[#This Row],[Cell_ID]],Registre_Maintenance[],4,FALSE),"")</f>
        <v/>
      </c>
      <c r="J556" t="str">
        <f>IFERROR(VLOOKUP(Logs_Registre[[#This Row],[Cell_ID]],Registre_Maintenance[],5,FALSE),"")</f>
        <v/>
      </c>
      <c r="K556" t="str">
        <f>IFERROR(VLOOKUP(Logs_Registre[[#This Row],[Cell_ID]],Registre_Maintenance[],6,FALSE),"")</f>
        <v/>
      </c>
    </row>
    <row r="557" spans="1:11" x14ac:dyDescent="0.25">
      <c r="A557" s="1" t="s">
        <v>1024</v>
      </c>
      <c r="B557" s="1" t="s">
        <v>810</v>
      </c>
      <c r="C557" s="2">
        <v>45214.774305555547</v>
      </c>
      <c r="D557" s="3">
        <v>45214.774305555547</v>
      </c>
      <c r="E557">
        <v>118</v>
      </c>
      <c r="F557" s="1" t="s">
        <v>732</v>
      </c>
      <c r="G557" t="str">
        <f>IFERROR(VLOOKUP(Logs_Registre[[#This Row],[Cell_ID]],Registre_Maintenance[],2,FALSE),"")</f>
        <v>Sud-Ubangi</v>
      </c>
      <c r="H557">
        <f>IFERROR(VLOOKUP(Logs_Registre[[#This Row],[Cell_ID]],Registre_Maintenance[],3,FALSE),"")</f>
        <v>-10.914952</v>
      </c>
      <c r="I557">
        <f>IFERROR(VLOOKUP(Logs_Registre[[#This Row],[Cell_ID]],Registre_Maintenance[],4,FALSE),"")</f>
        <v>26.409648000000001</v>
      </c>
      <c r="J557" t="str">
        <f>IFERROR(VLOOKUP(Logs_Registre[[#This Row],[Cell_ID]],Registre_Maintenance[],5,FALSE),"")</f>
        <v>4G</v>
      </c>
      <c r="K557" t="str">
        <f>IFERROR(VLOOKUP(Logs_Registre[[#This Row],[Cell_ID]],Registre_Maintenance[],6,FALSE),"")</f>
        <v>Huawei</v>
      </c>
    </row>
    <row r="558" spans="1:11" x14ac:dyDescent="0.25">
      <c r="A558" s="1" t="s">
        <v>1138</v>
      </c>
      <c r="B558" s="1" t="s">
        <v>1162</v>
      </c>
      <c r="C558" s="2">
        <v>45214.752083333333</v>
      </c>
      <c r="D558" s="3">
        <v>45214.752083333333</v>
      </c>
      <c r="E558">
        <v>89</v>
      </c>
      <c r="F558" s="1" t="s">
        <v>735</v>
      </c>
      <c r="G558" t="str">
        <f>IFERROR(VLOOKUP(Logs_Registre[[#This Row],[Cell_ID]],Registre_Maintenance[],2,FALSE),"")</f>
        <v/>
      </c>
      <c r="H558" t="str">
        <f>IFERROR(VLOOKUP(Logs_Registre[[#This Row],[Cell_ID]],Registre_Maintenance[],3,FALSE),"")</f>
        <v/>
      </c>
      <c r="I558" t="str">
        <f>IFERROR(VLOOKUP(Logs_Registre[[#This Row],[Cell_ID]],Registre_Maintenance[],4,FALSE),"")</f>
        <v/>
      </c>
      <c r="J558" t="str">
        <f>IFERROR(VLOOKUP(Logs_Registre[[#This Row],[Cell_ID]],Registre_Maintenance[],5,FALSE),"")</f>
        <v/>
      </c>
      <c r="K558" t="str">
        <f>IFERROR(VLOOKUP(Logs_Registre[[#This Row],[Cell_ID]],Registre_Maintenance[],6,FALSE),"")</f>
        <v/>
      </c>
    </row>
    <row r="559" spans="1:11" x14ac:dyDescent="0.25">
      <c r="A559" s="1" t="s">
        <v>1288</v>
      </c>
      <c r="B559" s="1" t="s">
        <v>977</v>
      </c>
      <c r="C559" s="2">
        <v>45214.740972222222</v>
      </c>
      <c r="D559" s="3">
        <v>45214.740972222222</v>
      </c>
      <c r="E559">
        <v>8</v>
      </c>
      <c r="F559" s="1" t="s">
        <v>732</v>
      </c>
      <c r="G559" t="str">
        <f>IFERROR(VLOOKUP(Logs_Registre[[#This Row],[Cell_ID]],Registre_Maintenance[],2,FALSE),"")</f>
        <v>Nord-Kivu</v>
      </c>
      <c r="H559">
        <f>IFERROR(VLOOKUP(Logs_Registre[[#This Row],[Cell_ID]],Registre_Maintenance[],3,FALSE),"")</f>
        <v>-10.846306999999999</v>
      </c>
      <c r="I559">
        <f>IFERROR(VLOOKUP(Logs_Registre[[#This Row],[Cell_ID]],Registre_Maintenance[],4,FALSE),"")</f>
        <v>19.201827999999999</v>
      </c>
      <c r="J559" t="str">
        <f>IFERROR(VLOOKUP(Logs_Registre[[#This Row],[Cell_ID]],Registre_Maintenance[],5,FALSE),"")</f>
        <v>4G</v>
      </c>
      <c r="K559" t="str">
        <f>IFERROR(VLOOKUP(Logs_Registre[[#This Row],[Cell_ID]],Registre_Maintenance[],6,FALSE),"")</f>
        <v>Ericsson</v>
      </c>
    </row>
    <row r="560" spans="1:11" x14ac:dyDescent="0.25">
      <c r="A560" s="1" t="s">
        <v>1165</v>
      </c>
      <c r="B560" s="1" t="s">
        <v>1182</v>
      </c>
      <c r="C560" s="2">
        <v>45214.736805555563</v>
      </c>
      <c r="D560" s="3">
        <v>45214.736805555563</v>
      </c>
      <c r="E560">
        <v>34</v>
      </c>
      <c r="F560" s="1" t="s">
        <v>737</v>
      </c>
      <c r="G560" t="str">
        <f>IFERROR(VLOOKUP(Logs_Registre[[#This Row],[Cell_ID]],Registre_Maintenance[],2,FALSE),"")</f>
        <v>Kwilu</v>
      </c>
      <c r="H560">
        <f>IFERROR(VLOOKUP(Logs_Registre[[#This Row],[Cell_ID]],Registre_Maintenance[],3,FALSE),"")</f>
        <v>5.3608999999999997E-2</v>
      </c>
      <c r="I560">
        <f>IFERROR(VLOOKUP(Logs_Registre[[#This Row],[Cell_ID]],Registre_Maintenance[],4,FALSE),"")</f>
        <v>28.346852999999999</v>
      </c>
      <c r="J560" t="str">
        <f>IFERROR(VLOOKUP(Logs_Registre[[#This Row],[Cell_ID]],Registre_Maintenance[],5,FALSE),"")</f>
        <v>3G</v>
      </c>
      <c r="K560" t="str">
        <f>IFERROR(VLOOKUP(Logs_Registre[[#This Row],[Cell_ID]],Registre_Maintenance[],6,FALSE),"")</f>
        <v>ZTE</v>
      </c>
    </row>
    <row r="561" spans="1:11" x14ac:dyDescent="0.25">
      <c r="A561" s="1" t="s">
        <v>730</v>
      </c>
      <c r="B561" s="1" t="s">
        <v>753</v>
      </c>
      <c r="C561" s="2">
        <v>45214.713194444441</v>
      </c>
      <c r="D561" s="3">
        <v>45214.713194444441</v>
      </c>
      <c r="E561">
        <v>25</v>
      </c>
      <c r="F561" s="1" t="s">
        <v>732</v>
      </c>
      <c r="G561" t="str">
        <f>IFERROR(VLOOKUP(Logs_Registre[[#This Row],[Cell_ID]],Registre_Maintenance[],2,FALSE),"")</f>
        <v>Haut-Katanga</v>
      </c>
      <c r="H561">
        <f>IFERROR(VLOOKUP(Logs_Registre[[#This Row],[Cell_ID]],Registre_Maintenance[],3,FALSE),"")</f>
        <v>0.172153</v>
      </c>
      <c r="I561">
        <f>IFERROR(VLOOKUP(Logs_Registre[[#This Row],[Cell_ID]],Registre_Maintenance[],4,FALSE),"")</f>
        <v>21.091376</v>
      </c>
      <c r="J561" t="str">
        <f>IFERROR(VLOOKUP(Logs_Registre[[#This Row],[Cell_ID]],Registre_Maintenance[],5,FALSE),"")</f>
        <v>3G</v>
      </c>
      <c r="K561" t="str">
        <f>IFERROR(VLOOKUP(Logs_Registre[[#This Row],[Cell_ID]],Registre_Maintenance[],6,FALSE),"")</f>
        <v>Ericsson</v>
      </c>
    </row>
    <row r="562" spans="1:11" x14ac:dyDescent="0.25">
      <c r="A562" s="1" t="s">
        <v>1138</v>
      </c>
      <c r="B562" s="1" t="s">
        <v>1154</v>
      </c>
      <c r="C562" s="2">
        <v>45214.697916666657</v>
      </c>
      <c r="D562" s="3">
        <v>45214.697916666657</v>
      </c>
      <c r="E562">
        <v>98</v>
      </c>
      <c r="F562" s="1" t="s">
        <v>737</v>
      </c>
      <c r="G562" t="str">
        <f>IFERROR(VLOOKUP(Logs_Registre[[#This Row],[Cell_ID]],Registre_Maintenance[],2,FALSE),"")</f>
        <v>Mai-Ndombe</v>
      </c>
      <c r="H562">
        <f>IFERROR(VLOOKUP(Logs_Registre[[#This Row],[Cell_ID]],Registre_Maintenance[],3,FALSE),"")</f>
        <v>-12.192204</v>
      </c>
      <c r="I562">
        <f>IFERROR(VLOOKUP(Logs_Registre[[#This Row],[Cell_ID]],Registre_Maintenance[],4,FALSE),"")</f>
        <v>28.468682000000001</v>
      </c>
      <c r="J562" t="str">
        <f>IFERROR(VLOOKUP(Logs_Registre[[#This Row],[Cell_ID]],Registre_Maintenance[],5,FALSE),"")</f>
        <v>3G</v>
      </c>
      <c r="K562" t="str">
        <f>IFERROR(VLOOKUP(Logs_Registre[[#This Row],[Cell_ID]],Registre_Maintenance[],6,FALSE),"")</f>
        <v>ZTE</v>
      </c>
    </row>
    <row r="563" spans="1:11" x14ac:dyDescent="0.25">
      <c r="A563" s="1" t="s">
        <v>1330</v>
      </c>
      <c r="B563" s="1" t="s">
        <v>833</v>
      </c>
      <c r="C563" s="2">
        <v>45214.684027777781</v>
      </c>
      <c r="D563" s="3">
        <v>45214.684027777781</v>
      </c>
      <c r="E563">
        <v>119</v>
      </c>
      <c r="F563" s="1" t="s">
        <v>737</v>
      </c>
      <c r="G563" t="str">
        <f>IFERROR(VLOOKUP(Logs_Registre[[#This Row],[Cell_ID]],Registre_Maintenance[],2,FALSE),"")</f>
        <v>Lomami</v>
      </c>
      <c r="H563">
        <f>IFERROR(VLOOKUP(Logs_Registre[[#This Row],[Cell_ID]],Registre_Maintenance[],3,FALSE),"")</f>
        <v>-11.218453999999999</v>
      </c>
      <c r="I563">
        <f>IFERROR(VLOOKUP(Logs_Registre[[#This Row],[Cell_ID]],Registre_Maintenance[],4,FALSE),"")</f>
        <v>28.230025000000001</v>
      </c>
      <c r="J563" t="str">
        <f>IFERROR(VLOOKUP(Logs_Registre[[#This Row],[Cell_ID]],Registre_Maintenance[],5,FALSE),"")</f>
        <v>5G</v>
      </c>
      <c r="K563" t="str">
        <f>IFERROR(VLOOKUP(Logs_Registre[[#This Row],[Cell_ID]],Registre_Maintenance[],6,FALSE),"")</f>
        <v>ZTE</v>
      </c>
    </row>
    <row r="564" spans="1:11" x14ac:dyDescent="0.25">
      <c r="A564" s="1" t="s">
        <v>1193</v>
      </c>
      <c r="B564" s="1" t="s">
        <v>1200</v>
      </c>
      <c r="C564" s="2">
        <v>45214.634722222218</v>
      </c>
      <c r="D564" s="3">
        <v>45214.634722222218</v>
      </c>
      <c r="E564">
        <v>112</v>
      </c>
      <c r="F564" s="1" t="s">
        <v>735</v>
      </c>
      <c r="G564" t="str">
        <f>IFERROR(VLOOKUP(Logs_Registre[[#This Row],[Cell_ID]],Registre_Maintenance[],2,FALSE),"")</f>
        <v>Equateur</v>
      </c>
      <c r="H564">
        <f>IFERROR(VLOOKUP(Logs_Registre[[#This Row],[Cell_ID]],Registre_Maintenance[],3,FALSE),"")</f>
        <v>-6.1490739999999997</v>
      </c>
      <c r="I564">
        <f>IFERROR(VLOOKUP(Logs_Registre[[#This Row],[Cell_ID]],Registre_Maintenance[],4,FALSE),"")</f>
        <v>23.304411000000002</v>
      </c>
      <c r="J564" t="str">
        <f>IFERROR(VLOOKUP(Logs_Registre[[#This Row],[Cell_ID]],Registre_Maintenance[],5,FALSE),"")</f>
        <v>5G</v>
      </c>
      <c r="K564" t="str">
        <f>IFERROR(VLOOKUP(Logs_Registre[[#This Row],[Cell_ID]],Registre_Maintenance[],6,FALSE),"")</f>
        <v>ZTE</v>
      </c>
    </row>
    <row r="565" spans="1:11" x14ac:dyDescent="0.25">
      <c r="A565" s="1" t="s">
        <v>823</v>
      </c>
      <c r="B565" s="1" t="s">
        <v>850</v>
      </c>
      <c r="C565" s="2">
        <v>45214.613194444442</v>
      </c>
      <c r="D565" s="3">
        <v>45214.613194444442</v>
      </c>
      <c r="E565">
        <v>11</v>
      </c>
      <c r="F565" s="1" t="s">
        <v>737</v>
      </c>
      <c r="G565" t="str">
        <f>IFERROR(VLOOKUP(Logs_Registre[[#This Row],[Cell_ID]],Registre_Maintenance[],2,FALSE),"")</f>
        <v/>
      </c>
      <c r="H565" t="str">
        <f>IFERROR(VLOOKUP(Logs_Registre[[#This Row],[Cell_ID]],Registre_Maintenance[],3,FALSE),"")</f>
        <v/>
      </c>
      <c r="I565" t="str">
        <f>IFERROR(VLOOKUP(Logs_Registre[[#This Row],[Cell_ID]],Registre_Maintenance[],4,FALSE),"")</f>
        <v/>
      </c>
      <c r="J565" t="str">
        <f>IFERROR(VLOOKUP(Logs_Registre[[#This Row],[Cell_ID]],Registre_Maintenance[],5,FALSE),"")</f>
        <v/>
      </c>
      <c r="K565" t="str">
        <f>IFERROR(VLOOKUP(Logs_Registre[[#This Row],[Cell_ID]],Registre_Maintenance[],6,FALSE),"")</f>
        <v/>
      </c>
    </row>
    <row r="566" spans="1:11" x14ac:dyDescent="0.25">
      <c r="A566" s="1" t="s">
        <v>1086</v>
      </c>
      <c r="B566" s="1" t="s">
        <v>1100</v>
      </c>
      <c r="C566" s="2">
        <v>45214.613194444442</v>
      </c>
      <c r="D566" s="3">
        <v>45214.613194444442</v>
      </c>
      <c r="E566">
        <v>61</v>
      </c>
      <c r="F566" s="1" t="s">
        <v>737</v>
      </c>
      <c r="G566" t="str">
        <f>IFERROR(VLOOKUP(Logs_Registre[[#This Row],[Cell_ID]],Registre_Maintenance[],2,FALSE),"")</f>
        <v/>
      </c>
      <c r="H566" t="str">
        <f>IFERROR(VLOOKUP(Logs_Registre[[#This Row],[Cell_ID]],Registre_Maintenance[],3,FALSE),"")</f>
        <v/>
      </c>
      <c r="I566" t="str">
        <f>IFERROR(VLOOKUP(Logs_Registre[[#This Row],[Cell_ID]],Registre_Maintenance[],4,FALSE),"")</f>
        <v/>
      </c>
      <c r="J566" t="str">
        <f>IFERROR(VLOOKUP(Logs_Registre[[#This Row],[Cell_ID]],Registre_Maintenance[],5,FALSE),"")</f>
        <v/>
      </c>
      <c r="K566" t="str">
        <f>IFERROR(VLOOKUP(Logs_Registre[[#This Row],[Cell_ID]],Registre_Maintenance[],6,FALSE),"")</f>
        <v/>
      </c>
    </row>
    <row r="567" spans="1:11" x14ac:dyDescent="0.25">
      <c r="A567" s="1" t="s">
        <v>902</v>
      </c>
      <c r="B567" s="1" t="s">
        <v>914</v>
      </c>
      <c r="C567" s="2">
        <v>45214.59652777778</v>
      </c>
      <c r="D567" s="3">
        <v>45214.59652777778</v>
      </c>
      <c r="E567">
        <v>88</v>
      </c>
      <c r="F567" s="1" t="s">
        <v>737</v>
      </c>
      <c r="G567" t="str">
        <f>IFERROR(VLOOKUP(Logs_Registre[[#This Row],[Cell_ID]],Registre_Maintenance[],2,FALSE),"")</f>
        <v/>
      </c>
      <c r="H567" t="str">
        <f>IFERROR(VLOOKUP(Logs_Registre[[#This Row],[Cell_ID]],Registre_Maintenance[],3,FALSE),"")</f>
        <v/>
      </c>
      <c r="I567" t="str">
        <f>IFERROR(VLOOKUP(Logs_Registre[[#This Row],[Cell_ID]],Registre_Maintenance[],4,FALSE),"")</f>
        <v/>
      </c>
      <c r="J567" t="str">
        <f>IFERROR(VLOOKUP(Logs_Registre[[#This Row],[Cell_ID]],Registre_Maintenance[],5,FALSE),"")</f>
        <v/>
      </c>
      <c r="K567" t="str">
        <f>IFERROR(VLOOKUP(Logs_Registre[[#This Row],[Cell_ID]],Registre_Maintenance[],6,FALSE),"")</f>
        <v/>
      </c>
    </row>
    <row r="568" spans="1:11" x14ac:dyDescent="0.25">
      <c r="A568" s="1" t="s">
        <v>978</v>
      </c>
      <c r="B568" s="1" t="s">
        <v>986</v>
      </c>
      <c r="C568" s="2">
        <v>45214.59375</v>
      </c>
      <c r="D568" s="3">
        <v>45214.59375</v>
      </c>
      <c r="E568">
        <v>51</v>
      </c>
      <c r="F568" s="1" t="s">
        <v>737</v>
      </c>
      <c r="G568" t="str">
        <f>IFERROR(VLOOKUP(Logs_Registre[[#This Row],[Cell_ID]],Registre_Maintenance[],2,FALSE),"")</f>
        <v/>
      </c>
      <c r="H568" t="str">
        <f>IFERROR(VLOOKUP(Logs_Registre[[#This Row],[Cell_ID]],Registre_Maintenance[],3,FALSE),"")</f>
        <v/>
      </c>
      <c r="I568" t="str">
        <f>IFERROR(VLOOKUP(Logs_Registre[[#This Row],[Cell_ID]],Registre_Maintenance[],4,FALSE),"")</f>
        <v/>
      </c>
      <c r="J568" t="str">
        <f>IFERROR(VLOOKUP(Logs_Registre[[#This Row],[Cell_ID]],Registre_Maintenance[],5,FALSE),"")</f>
        <v/>
      </c>
      <c r="K568" t="str">
        <f>IFERROR(VLOOKUP(Logs_Registre[[#This Row],[Cell_ID]],Registre_Maintenance[],6,FALSE),"")</f>
        <v/>
      </c>
    </row>
    <row r="569" spans="1:11" x14ac:dyDescent="0.25">
      <c r="A569" s="1" t="s">
        <v>779</v>
      </c>
      <c r="B569" s="1" t="s">
        <v>820</v>
      </c>
      <c r="C569" s="2">
        <v>45214.457638888889</v>
      </c>
      <c r="D569" s="3">
        <v>45214.457638888889</v>
      </c>
      <c r="E569">
        <v>48</v>
      </c>
      <c r="F569" s="1" t="s">
        <v>737</v>
      </c>
      <c r="G569" t="str">
        <f>IFERROR(VLOOKUP(Logs_Registre[[#This Row],[Cell_ID]],Registre_Maintenance[],2,FALSE),"")</f>
        <v>Sud-Ubangi</v>
      </c>
      <c r="H569">
        <f>IFERROR(VLOOKUP(Logs_Registre[[#This Row],[Cell_ID]],Registre_Maintenance[],3,FALSE),"")</f>
        <v>-9.3652239999999995</v>
      </c>
      <c r="I569">
        <f>IFERROR(VLOOKUP(Logs_Registre[[#This Row],[Cell_ID]],Registre_Maintenance[],4,FALSE),"")</f>
        <v>22.593423999999999</v>
      </c>
      <c r="J569" t="str">
        <f>IFERROR(VLOOKUP(Logs_Registre[[#This Row],[Cell_ID]],Registre_Maintenance[],5,FALSE),"")</f>
        <v>5G</v>
      </c>
      <c r="K569" t="str">
        <f>IFERROR(VLOOKUP(Logs_Registre[[#This Row],[Cell_ID]],Registre_Maintenance[],6,FALSE),"")</f>
        <v>Nokia</v>
      </c>
    </row>
    <row r="570" spans="1:11" x14ac:dyDescent="0.25">
      <c r="A570" s="1" t="s">
        <v>1114</v>
      </c>
      <c r="B570" s="1" t="s">
        <v>771</v>
      </c>
      <c r="C570" s="2">
        <v>45214.43472222222</v>
      </c>
      <c r="D570" s="3">
        <v>45214.43472222222</v>
      </c>
      <c r="E570">
        <v>61</v>
      </c>
      <c r="F570" s="1" t="s">
        <v>737</v>
      </c>
      <c r="G570" t="str">
        <f>IFERROR(VLOOKUP(Logs_Registre[[#This Row],[Cell_ID]],Registre_Maintenance[],2,FALSE),"")</f>
        <v>Tanganyika</v>
      </c>
      <c r="H570">
        <f>IFERROR(VLOOKUP(Logs_Registre[[#This Row],[Cell_ID]],Registre_Maintenance[],3,FALSE),"")</f>
        <v>-10.776204</v>
      </c>
      <c r="I570">
        <f>IFERROR(VLOOKUP(Logs_Registre[[#This Row],[Cell_ID]],Registre_Maintenance[],4,FALSE),"")</f>
        <v>24.672934000000001</v>
      </c>
      <c r="J570" t="str">
        <f>IFERROR(VLOOKUP(Logs_Registre[[#This Row],[Cell_ID]],Registre_Maintenance[],5,FALSE),"")</f>
        <v>4G</v>
      </c>
      <c r="K570" t="str">
        <f>IFERROR(VLOOKUP(Logs_Registre[[#This Row],[Cell_ID]],Registre_Maintenance[],6,FALSE),"")</f>
        <v>Ericsson</v>
      </c>
    </row>
    <row r="571" spans="1:11" x14ac:dyDescent="0.25">
      <c r="A571" s="1" t="s">
        <v>1330</v>
      </c>
      <c r="B571" s="1" t="s">
        <v>1190</v>
      </c>
      <c r="C571" s="2">
        <v>45214.290277777778</v>
      </c>
      <c r="D571" s="3">
        <v>45214.290277777778</v>
      </c>
      <c r="E571">
        <v>27</v>
      </c>
      <c r="F571" s="1" t="s">
        <v>735</v>
      </c>
      <c r="G571" t="str">
        <f>IFERROR(VLOOKUP(Logs_Registre[[#This Row],[Cell_ID]],Registre_Maintenance[],2,FALSE),"")</f>
        <v>Equateur</v>
      </c>
      <c r="H571">
        <f>IFERROR(VLOOKUP(Logs_Registre[[#This Row],[Cell_ID]],Registre_Maintenance[],3,FALSE),"")</f>
        <v>-12.839263000000001</v>
      </c>
      <c r="I571">
        <f>IFERROR(VLOOKUP(Logs_Registre[[#This Row],[Cell_ID]],Registre_Maintenance[],4,FALSE),"")</f>
        <v>12.355677</v>
      </c>
      <c r="J571" t="str">
        <f>IFERROR(VLOOKUP(Logs_Registre[[#This Row],[Cell_ID]],Registre_Maintenance[],5,FALSE),"")</f>
        <v>3G</v>
      </c>
      <c r="K571" t="str">
        <f>IFERROR(VLOOKUP(Logs_Registre[[#This Row],[Cell_ID]],Registre_Maintenance[],6,FALSE),"")</f>
        <v>Huawei</v>
      </c>
    </row>
    <row r="572" spans="1:11" x14ac:dyDescent="0.25">
      <c r="A572" s="1" t="s">
        <v>1219</v>
      </c>
      <c r="B572" s="1" t="s">
        <v>906</v>
      </c>
      <c r="C572" s="2">
        <v>45214.272916666669</v>
      </c>
      <c r="D572" s="3">
        <v>45214.272916666669</v>
      </c>
      <c r="E572">
        <v>26</v>
      </c>
      <c r="F572" s="1" t="s">
        <v>735</v>
      </c>
      <c r="G572" t="str">
        <f>IFERROR(VLOOKUP(Logs_Registre[[#This Row],[Cell_ID]],Registre_Maintenance[],2,FALSE),"")</f>
        <v/>
      </c>
      <c r="H572" t="str">
        <f>IFERROR(VLOOKUP(Logs_Registre[[#This Row],[Cell_ID]],Registre_Maintenance[],3,FALSE),"")</f>
        <v/>
      </c>
      <c r="I572" t="str">
        <f>IFERROR(VLOOKUP(Logs_Registre[[#This Row],[Cell_ID]],Registre_Maintenance[],4,FALSE),"")</f>
        <v/>
      </c>
      <c r="J572" t="str">
        <f>IFERROR(VLOOKUP(Logs_Registre[[#This Row],[Cell_ID]],Registre_Maintenance[],5,FALSE),"")</f>
        <v/>
      </c>
      <c r="K572" t="str">
        <f>IFERROR(VLOOKUP(Logs_Registre[[#This Row],[Cell_ID]],Registre_Maintenance[],6,FALSE),"")</f>
        <v/>
      </c>
    </row>
    <row r="573" spans="1:11" x14ac:dyDescent="0.25">
      <c r="A573" s="1" t="s">
        <v>1361</v>
      </c>
      <c r="B573" s="1" t="s">
        <v>1371</v>
      </c>
      <c r="C573" s="2">
        <v>45214.23541666667</v>
      </c>
      <c r="D573" s="3">
        <v>45214.23541666667</v>
      </c>
      <c r="E573">
        <v>33</v>
      </c>
      <c r="F573" s="1" t="s">
        <v>732</v>
      </c>
      <c r="G573" t="str">
        <f>IFERROR(VLOOKUP(Logs_Registre[[#This Row],[Cell_ID]],Registre_Maintenance[],2,FALSE),"")</f>
        <v>Maniema</v>
      </c>
      <c r="H573">
        <f>IFERROR(VLOOKUP(Logs_Registre[[#This Row],[Cell_ID]],Registre_Maintenance[],3,FALSE),"")</f>
        <v>-10.318835</v>
      </c>
      <c r="I573">
        <f>IFERROR(VLOOKUP(Logs_Registre[[#This Row],[Cell_ID]],Registre_Maintenance[],4,FALSE),"")</f>
        <v>21.252382000000001</v>
      </c>
      <c r="J573" t="str">
        <f>IFERROR(VLOOKUP(Logs_Registre[[#This Row],[Cell_ID]],Registre_Maintenance[],5,FALSE),"")</f>
        <v>4G</v>
      </c>
      <c r="K573" t="str">
        <f>IFERROR(VLOOKUP(Logs_Registre[[#This Row],[Cell_ID]],Registre_Maintenance[],6,FALSE),"")</f>
        <v>Ericsson</v>
      </c>
    </row>
    <row r="574" spans="1:11" x14ac:dyDescent="0.25">
      <c r="A574" s="1" t="s">
        <v>1114</v>
      </c>
      <c r="B574" s="1" t="s">
        <v>761</v>
      </c>
      <c r="C574" s="2">
        <v>45214.193055555559</v>
      </c>
      <c r="D574" s="3">
        <v>45214.193055555559</v>
      </c>
      <c r="E574">
        <v>76</v>
      </c>
      <c r="F574" s="1" t="s">
        <v>737</v>
      </c>
      <c r="G574" t="str">
        <f>IFERROR(VLOOKUP(Logs_Registre[[#This Row],[Cell_ID]],Registre_Maintenance[],2,FALSE),"")</f>
        <v/>
      </c>
      <c r="H574" t="str">
        <f>IFERROR(VLOOKUP(Logs_Registre[[#This Row],[Cell_ID]],Registre_Maintenance[],3,FALSE),"")</f>
        <v/>
      </c>
      <c r="I574" t="str">
        <f>IFERROR(VLOOKUP(Logs_Registre[[#This Row],[Cell_ID]],Registre_Maintenance[],4,FALSE),"")</f>
        <v/>
      </c>
      <c r="J574" t="str">
        <f>IFERROR(VLOOKUP(Logs_Registre[[#This Row],[Cell_ID]],Registre_Maintenance[],5,FALSE),"")</f>
        <v/>
      </c>
      <c r="K574" t="str">
        <f>IFERROR(VLOOKUP(Logs_Registre[[#This Row],[Cell_ID]],Registre_Maintenance[],6,FALSE),"")</f>
        <v/>
      </c>
    </row>
    <row r="575" spans="1:11" x14ac:dyDescent="0.25">
      <c r="A575" s="1" t="s">
        <v>779</v>
      </c>
      <c r="B575" s="1" t="s">
        <v>780</v>
      </c>
      <c r="C575" s="2">
        <v>45214.185416666667</v>
      </c>
      <c r="D575" s="3">
        <v>45214.185416666667</v>
      </c>
      <c r="E575">
        <v>36</v>
      </c>
      <c r="F575" s="1" t="s">
        <v>735</v>
      </c>
      <c r="G575" t="str">
        <f>IFERROR(VLOOKUP(Logs_Registre[[#This Row],[Cell_ID]],Registre_Maintenance[],2,FALSE),"")</f>
        <v/>
      </c>
      <c r="H575" t="str">
        <f>IFERROR(VLOOKUP(Logs_Registre[[#This Row],[Cell_ID]],Registre_Maintenance[],3,FALSE),"")</f>
        <v/>
      </c>
      <c r="I575" t="str">
        <f>IFERROR(VLOOKUP(Logs_Registre[[#This Row],[Cell_ID]],Registre_Maintenance[],4,FALSE),"")</f>
        <v/>
      </c>
      <c r="J575" t="str">
        <f>IFERROR(VLOOKUP(Logs_Registre[[#This Row],[Cell_ID]],Registre_Maintenance[],5,FALSE),"")</f>
        <v/>
      </c>
      <c r="K575" t="str">
        <f>IFERROR(VLOOKUP(Logs_Registre[[#This Row],[Cell_ID]],Registre_Maintenance[],6,FALSE),"")</f>
        <v/>
      </c>
    </row>
    <row r="576" spans="1:11" x14ac:dyDescent="0.25">
      <c r="A576" s="1" t="s">
        <v>1382</v>
      </c>
      <c r="B576" s="1" t="s">
        <v>901</v>
      </c>
      <c r="C576" s="2">
        <v>45214.172222222223</v>
      </c>
      <c r="D576" s="3">
        <v>45214.172222222223</v>
      </c>
      <c r="E576">
        <v>6</v>
      </c>
      <c r="F576" s="1" t="s">
        <v>732</v>
      </c>
      <c r="G576" t="str">
        <f>IFERROR(VLOOKUP(Logs_Registre[[#This Row],[Cell_ID]],Registre_Maintenance[],2,FALSE),"")</f>
        <v>Bas-Uele</v>
      </c>
      <c r="H576">
        <f>IFERROR(VLOOKUP(Logs_Registre[[#This Row],[Cell_ID]],Registre_Maintenance[],3,FALSE),"")</f>
        <v>-3.6945459999999999</v>
      </c>
      <c r="I576">
        <f>IFERROR(VLOOKUP(Logs_Registre[[#This Row],[Cell_ID]],Registre_Maintenance[],4,FALSE),"")</f>
        <v>16.809108999999999</v>
      </c>
      <c r="J576" t="str">
        <f>IFERROR(VLOOKUP(Logs_Registre[[#This Row],[Cell_ID]],Registre_Maintenance[],5,FALSE),"")</f>
        <v>5G</v>
      </c>
      <c r="K576" t="str">
        <f>IFERROR(VLOOKUP(Logs_Registre[[#This Row],[Cell_ID]],Registre_Maintenance[],6,FALSE),"")</f>
        <v>ZTE</v>
      </c>
    </row>
    <row r="577" spans="1:11" x14ac:dyDescent="0.25">
      <c r="A577" s="1" t="s">
        <v>1288</v>
      </c>
      <c r="B577" s="1" t="s">
        <v>1301</v>
      </c>
      <c r="C577" s="2">
        <v>45214.168055555558</v>
      </c>
      <c r="D577" s="3">
        <v>45214.168055555558</v>
      </c>
      <c r="E577">
        <v>106</v>
      </c>
      <c r="F577" s="1" t="s">
        <v>732</v>
      </c>
      <c r="G577" t="str">
        <f>IFERROR(VLOOKUP(Logs_Registre[[#This Row],[Cell_ID]],Registre_Maintenance[],2,FALSE),"")</f>
        <v>Sud-Kivu</v>
      </c>
      <c r="H577">
        <f>IFERROR(VLOOKUP(Logs_Registre[[#This Row],[Cell_ID]],Registre_Maintenance[],3,FALSE),"")</f>
        <v>-11.207139</v>
      </c>
      <c r="I577">
        <f>IFERROR(VLOOKUP(Logs_Registre[[#This Row],[Cell_ID]],Registre_Maintenance[],4,FALSE),"")</f>
        <v>18.702511999999999</v>
      </c>
      <c r="J577" t="str">
        <f>IFERROR(VLOOKUP(Logs_Registre[[#This Row],[Cell_ID]],Registre_Maintenance[],5,FALSE),"")</f>
        <v>5G</v>
      </c>
      <c r="K577" t="str">
        <f>IFERROR(VLOOKUP(Logs_Registre[[#This Row],[Cell_ID]],Registre_Maintenance[],6,FALSE),"")</f>
        <v>Ericsson</v>
      </c>
    </row>
    <row r="578" spans="1:11" x14ac:dyDescent="0.25">
      <c r="A578" s="1" t="s">
        <v>1288</v>
      </c>
      <c r="B578" s="1" t="s">
        <v>1173</v>
      </c>
      <c r="C578" s="2">
        <v>45214.160416666673</v>
      </c>
      <c r="D578" s="3">
        <v>45214.160416666673</v>
      </c>
      <c r="E578">
        <v>108</v>
      </c>
      <c r="F578" s="1" t="s">
        <v>737</v>
      </c>
      <c r="G578" t="str">
        <f>IFERROR(VLOOKUP(Logs_Registre[[#This Row],[Cell_ID]],Registre_Maintenance[],2,FALSE),"")</f>
        <v>Mongala</v>
      </c>
      <c r="H578">
        <f>IFERROR(VLOOKUP(Logs_Registre[[#This Row],[Cell_ID]],Registre_Maintenance[],3,FALSE),"")</f>
        <v>-11.407966</v>
      </c>
      <c r="I578">
        <f>IFERROR(VLOOKUP(Logs_Registre[[#This Row],[Cell_ID]],Registre_Maintenance[],4,FALSE),"")</f>
        <v>28.378274000000001</v>
      </c>
      <c r="J578" t="str">
        <f>IFERROR(VLOOKUP(Logs_Registre[[#This Row],[Cell_ID]],Registre_Maintenance[],5,FALSE),"")</f>
        <v>4G</v>
      </c>
      <c r="K578" t="str">
        <f>IFERROR(VLOOKUP(Logs_Registre[[#This Row],[Cell_ID]],Registre_Maintenance[],6,FALSE),"")</f>
        <v>ZTE</v>
      </c>
    </row>
    <row r="579" spans="1:11" x14ac:dyDescent="0.25">
      <c r="A579" s="1" t="s">
        <v>1345</v>
      </c>
      <c r="B579" s="1" t="s">
        <v>981</v>
      </c>
      <c r="C579" s="2">
        <v>45214.145833333343</v>
      </c>
      <c r="D579" s="3">
        <v>45214.145833333343</v>
      </c>
      <c r="E579">
        <v>29</v>
      </c>
      <c r="F579" s="1" t="s">
        <v>737</v>
      </c>
      <c r="G579" t="str">
        <f>IFERROR(VLOOKUP(Logs_Registre[[#This Row],[Cell_ID]],Registre_Maintenance[],2,FALSE),"")</f>
        <v/>
      </c>
      <c r="H579" t="str">
        <f>IFERROR(VLOOKUP(Logs_Registre[[#This Row],[Cell_ID]],Registre_Maintenance[],3,FALSE),"")</f>
        <v/>
      </c>
      <c r="I579" t="str">
        <f>IFERROR(VLOOKUP(Logs_Registre[[#This Row],[Cell_ID]],Registre_Maintenance[],4,FALSE),"")</f>
        <v/>
      </c>
      <c r="J579" t="str">
        <f>IFERROR(VLOOKUP(Logs_Registre[[#This Row],[Cell_ID]],Registre_Maintenance[],5,FALSE),"")</f>
        <v/>
      </c>
      <c r="K579" t="str">
        <f>IFERROR(VLOOKUP(Logs_Registre[[#This Row],[Cell_ID]],Registre_Maintenance[],6,FALSE),"")</f>
        <v/>
      </c>
    </row>
    <row r="580" spans="1:11" x14ac:dyDescent="0.25">
      <c r="A580" s="1" t="s">
        <v>1219</v>
      </c>
      <c r="B580" s="1" t="s">
        <v>1235</v>
      </c>
      <c r="C580" s="2">
        <v>45214.136111111111</v>
      </c>
      <c r="D580" s="3">
        <v>45214.136111111111</v>
      </c>
      <c r="E580">
        <v>92</v>
      </c>
      <c r="F580" s="1" t="s">
        <v>732</v>
      </c>
      <c r="G580" t="str">
        <f>IFERROR(VLOOKUP(Logs_Registre[[#This Row],[Cell_ID]],Registre_Maintenance[],2,FALSE),"")</f>
        <v/>
      </c>
      <c r="H580" t="str">
        <f>IFERROR(VLOOKUP(Logs_Registre[[#This Row],[Cell_ID]],Registre_Maintenance[],3,FALSE),"")</f>
        <v/>
      </c>
      <c r="I580" t="str">
        <f>IFERROR(VLOOKUP(Logs_Registre[[#This Row],[Cell_ID]],Registre_Maintenance[],4,FALSE),"")</f>
        <v/>
      </c>
      <c r="J580" t="str">
        <f>IFERROR(VLOOKUP(Logs_Registre[[#This Row],[Cell_ID]],Registre_Maintenance[],5,FALSE),"")</f>
        <v/>
      </c>
      <c r="K580" t="str">
        <f>IFERROR(VLOOKUP(Logs_Registre[[#This Row],[Cell_ID]],Registre_Maintenance[],6,FALSE),"")</f>
        <v/>
      </c>
    </row>
    <row r="581" spans="1:11" x14ac:dyDescent="0.25">
      <c r="A581" s="1" t="s">
        <v>902</v>
      </c>
      <c r="B581" s="1" t="s">
        <v>788</v>
      </c>
      <c r="C581" s="2">
        <v>45214.113194444442</v>
      </c>
      <c r="D581" s="3">
        <v>45214.113194444442</v>
      </c>
      <c r="E581">
        <v>47</v>
      </c>
      <c r="F581" s="1" t="s">
        <v>737</v>
      </c>
      <c r="G581" t="str">
        <f>IFERROR(VLOOKUP(Logs_Registre[[#This Row],[Cell_ID]],Registre_Maintenance[],2,FALSE),"")</f>
        <v/>
      </c>
      <c r="H581" t="str">
        <f>IFERROR(VLOOKUP(Logs_Registre[[#This Row],[Cell_ID]],Registre_Maintenance[],3,FALSE),"")</f>
        <v/>
      </c>
      <c r="I581" t="str">
        <f>IFERROR(VLOOKUP(Logs_Registre[[#This Row],[Cell_ID]],Registre_Maintenance[],4,FALSE),"")</f>
        <v/>
      </c>
      <c r="J581" t="str">
        <f>IFERROR(VLOOKUP(Logs_Registre[[#This Row],[Cell_ID]],Registre_Maintenance[],5,FALSE),"")</f>
        <v/>
      </c>
      <c r="K581" t="str">
        <f>IFERROR(VLOOKUP(Logs_Registre[[#This Row],[Cell_ID]],Registre_Maintenance[],6,FALSE),"")</f>
        <v/>
      </c>
    </row>
    <row r="582" spans="1:11" x14ac:dyDescent="0.25">
      <c r="A582" s="1" t="s">
        <v>902</v>
      </c>
      <c r="B582" s="1" t="s">
        <v>936</v>
      </c>
      <c r="C582" s="2">
        <v>45214.109722222223</v>
      </c>
      <c r="D582" s="3">
        <v>45214.109722222223</v>
      </c>
      <c r="E582">
        <v>102</v>
      </c>
      <c r="F582" s="1" t="s">
        <v>735</v>
      </c>
      <c r="G582" t="str">
        <f>IFERROR(VLOOKUP(Logs_Registre[[#This Row],[Cell_ID]],Registre_Maintenance[],2,FALSE),"")</f>
        <v/>
      </c>
      <c r="H582" t="str">
        <f>IFERROR(VLOOKUP(Logs_Registre[[#This Row],[Cell_ID]],Registre_Maintenance[],3,FALSE),"")</f>
        <v/>
      </c>
      <c r="I582" t="str">
        <f>IFERROR(VLOOKUP(Logs_Registre[[#This Row],[Cell_ID]],Registre_Maintenance[],4,FALSE),"")</f>
        <v/>
      </c>
      <c r="J582" t="str">
        <f>IFERROR(VLOOKUP(Logs_Registre[[#This Row],[Cell_ID]],Registre_Maintenance[],5,FALSE),"")</f>
        <v/>
      </c>
      <c r="K582" t="str">
        <f>IFERROR(VLOOKUP(Logs_Registre[[#This Row],[Cell_ID]],Registre_Maintenance[],6,FALSE),"")</f>
        <v/>
      </c>
    </row>
    <row r="583" spans="1:11" x14ac:dyDescent="0.25">
      <c r="A583" s="1" t="s">
        <v>1330</v>
      </c>
      <c r="B583" s="1" t="s">
        <v>1341</v>
      </c>
      <c r="C583" s="2">
        <v>45214.081944444442</v>
      </c>
      <c r="D583" s="3">
        <v>45214.081944444442</v>
      </c>
      <c r="E583">
        <v>87</v>
      </c>
      <c r="F583" s="1" t="s">
        <v>735</v>
      </c>
      <c r="G583" t="str">
        <f>IFERROR(VLOOKUP(Logs_Registre[[#This Row],[Cell_ID]],Registre_Maintenance[],2,FALSE),"")</f>
        <v/>
      </c>
      <c r="H583" t="str">
        <f>IFERROR(VLOOKUP(Logs_Registre[[#This Row],[Cell_ID]],Registre_Maintenance[],3,FALSE),"")</f>
        <v/>
      </c>
      <c r="I583" t="str">
        <f>IFERROR(VLOOKUP(Logs_Registre[[#This Row],[Cell_ID]],Registre_Maintenance[],4,FALSE),"")</f>
        <v/>
      </c>
      <c r="J583" t="str">
        <f>IFERROR(VLOOKUP(Logs_Registre[[#This Row],[Cell_ID]],Registre_Maintenance[],5,FALSE),"")</f>
        <v/>
      </c>
      <c r="K583" t="str">
        <f>IFERROR(VLOOKUP(Logs_Registre[[#This Row],[Cell_ID]],Registre_Maintenance[],6,FALSE),"")</f>
        <v/>
      </c>
    </row>
    <row r="584" spans="1:11" x14ac:dyDescent="0.25">
      <c r="A584" s="1" t="s">
        <v>1241</v>
      </c>
      <c r="B584" s="1" t="s">
        <v>879</v>
      </c>
      <c r="C584" s="2">
        <v>45214.018750000003</v>
      </c>
      <c r="D584" s="3">
        <v>45214.018750000003</v>
      </c>
      <c r="E584">
        <v>115</v>
      </c>
      <c r="F584" s="1" t="s">
        <v>735</v>
      </c>
      <c r="G584" t="str">
        <f>IFERROR(VLOOKUP(Logs_Registre[[#This Row],[Cell_ID]],Registre_Maintenance[],2,FALSE),"")</f>
        <v>Nord-Ubangi</v>
      </c>
      <c r="H584">
        <f>IFERROR(VLOOKUP(Logs_Registre[[#This Row],[Cell_ID]],Registre_Maintenance[],3,FALSE),"")</f>
        <v>-1.342476</v>
      </c>
      <c r="I584">
        <f>IFERROR(VLOOKUP(Logs_Registre[[#This Row],[Cell_ID]],Registre_Maintenance[],4,FALSE),"")</f>
        <v>15.986086</v>
      </c>
      <c r="J584" t="str">
        <f>IFERROR(VLOOKUP(Logs_Registre[[#This Row],[Cell_ID]],Registre_Maintenance[],5,FALSE),"")</f>
        <v>4G</v>
      </c>
      <c r="K584" t="str">
        <f>IFERROR(VLOOKUP(Logs_Registre[[#This Row],[Cell_ID]],Registre_Maintenance[],6,FALSE),"")</f>
        <v>Ericsson</v>
      </c>
    </row>
    <row r="585" spans="1:11" x14ac:dyDescent="0.25">
      <c r="A585" s="1" t="s">
        <v>1361</v>
      </c>
      <c r="B585" s="1" t="s">
        <v>1362</v>
      </c>
      <c r="C585" s="2">
        <v>45213.963194444441</v>
      </c>
      <c r="D585" s="3">
        <v>45213.963194444441</v>
      </c>
      <c r="E585">
        <v>25</v>
      </c>
      <c r="F585" s="1" t="s">
        <v>735</v>
      </c>
      <c r="G585" t="str">
        <f>IFERROR(VLOOKUP(Logs_Registre[[#This Row],[Cell_ID]],Registre_Maintenance[],2,FALSE),"")</f>
        <v/>
      </c>
      <c r="H585" t="str">
        <f>IFERROR(VLOOKUP(Logs_Registre[[#This Row],[Cell_ID]],Registre_Maintenance[],3,FALSE),"")</f>
        <v/>
      </c>
      <c r="I585" t="str">
        <f>IFERROR(VLOOKUP(Logs_Registre[[#This Row],[Cell_ID]],Registre_Maintenance[],4,FALSE),"")</f>
        <v/>
      </c>
      <c r="J585" t="str">
        <f>IFERROR(VLOOKUP(Logs_Registre[[#This Row],[Cell_ID]],Registre_Maintenance[],5,FALSE),"")</f>
        <v/>
      </c>
      <c r="K585" t="str">
        <f>IFERROR(VLOOKUP(Logs_Registre[[#This Row],[Cell_ID]],Registre_Maintenance[],6,FALSE),"")</f>
        <v/>
      </c>
    </row>
    <row r="586" spans="1:11" x14ac:dyDescent="0.25">
      <c r="A586" s="1" t="s">
        <v>999</v>
      </c>
      <c r="B586" s="1" t="s">
        <v>1001</v>
      </c>
      <c r="C586" s="2">
        <v>45213.960416666669</v>
      </c>
      <c r="D586" s="3">
        <v>45213.960416666669</v>
      </c>
      <c r="E586">
        <v>103</v>
      </c>
      <c r="F586" s="1" t="s">
        <v>735</v>
      </c>
      <c r="G586" t="str">
        <f>IFERROR(VLOOKUP(Logs_Registre[[#This Row],[Cell_ID]],Registre_Maintenance[],2,FALSE),"")</f>
        <v/>
      </c>
      <c r="H586" t="str">
        <f>IFERROR(VLOOKUP(Logs_Registre[[#This Row],[Cell_ID]],Registre_Maintenance[],3,FALSE),"")</f>
        <v/>
      </c>
      <c r="I586" t="str">
        <f>IFERROR(VLOOKUP(Logs_Registre[[#This Row],[Cell_ID]],Registre_Maintenance[],4,FALSE),"")</f>
        <v/>
      </c>
      <c r="J586" t="str">
        <f>IFERROR(VLOOKUP(Logs_Registre[[#This Row],[Cell_ID]],Registre_Maintenance[],5,FALSE),"")</f>
        <v/>
      </c>
      <c r="K586" t="str">
        <f>IFERROR(VLOOKUP(Logs_Registre[[#This Row],[Cell_ID]],Registre_Maintenance[],6,FALSE),"")</f>
        <v/>
      </c>
    </row>
    <row r="587" spans="1:11" x14ac:dyDescent="0.25">
      <c r="A587" s="1" t="s">
        <v>779</v>
      </c>
      <c r="B587" s="1" t="s">
        <v>799</v>
      </c>
      <c r="C587" s="2">
        <v>45213.948611111111</v>
      </c>
      <c r="D587" s="3">
        <v>45213.948611111111</v>
      </c>
      <c r="E587">
        <v>72</v>
      </c>
      <c r="F587" s="1" t="s">
        <v>735</v>
      </c>
      <c r="G587" t="str">
        <f>IFERROR(VLOOKUP(Logs_Registre[[#This Row],[Cell_ID]],Registre_Maintenance[],2,FALSE),"")</f>
        <v>Sankuru</v>
      </c>
      <c r="H587">
        <f>IFERROR(VLOOKUP(Logs_Registre[[#This Row],[Cell_ID]],Registre_Maintenance[],3,FALSE),"")</f>
        <v>-2.7140689999999998</v>
      </c>
      <c r="I587">
        <f>IFERROR(VLOOKUP(Logs_Registre[[#This Row],[Cell_ID]],Registre_Maintenance[],4,FALSE),"")</f>
        <v>22.222104000000002</v>
      </c>
      <c r="J587" t="str">
        <f>IFERROR(VLOOKUP(Logs_Registre[[#This Row],[Cell_ID]],Registre_Maintenance[],5,FALSE),"")</f>
        <v>4G</v>
      </c>
      <c r="K587" t="str">
        <f>IFERROR(VLOOKUP(Logs_Registre[[#This Row],[Cell_ID]],Registre_Maintenance[],6,FALSE),"")</f>
        <v>Nokia</v>
      </c>
    </row>
    <row r="588" spans="1:11" x14ac:dyDescent="0.25">
      <c r="A588" s="1" t="s">
        <v>1241</v>
      </c>
      <c r="B588" s="1" t="s">
        <v>1168</v>
      </c>
      <c r="C588" s="2">
        <v>45213.922222222223</v>
      </c>
      <c r="D588" s="3">
        <v>45213.922222222223</v>
      </c>
      <c r="E588">
        <v>40</v>
      </c>
      <c r="F588" s="1" t="s">
        <v>732</v>
      </c>
      <c r="G588" t="str">
        <f>IFERROR(VLOOKUP(Logs_Registre[[#This Row],[Cell_ID]],Registre_Maintenance[],2,FALSE),"")</f>
        <v/>
      </c>
      <c r="H588" t="str">
        <f>IFERROR(VLOOKUP(Logs_Registre[[#This Row],[Cell_ID]],Registre_Maintenance[],3,FALSE),"")</f>
        <v/>
      </c>
      <c r="I588" t="str">
        <f>IFERROR(VLOOKUP(Logs_Registre[[#This Row],[Cell_ID]],Registre_Maintenance[],4,FALSE),"")</f>
        <v/>
      </c>
      <c r="J588" t="str">
        <f>IFERROR(VLOOKUP(Logs_Registre[[#This Row],[Cell_ID]],Registre_Maintenance[],5,FALSE),"")</f>
        <v/>
      </c>
      <c r="K588" t="str">
        <f>IFERROR(VLOOKUP(Logs_Registre[[#This Row],[Cell_ID]],Registre_Maintenance[],6,FALSE),"")</f>
        <v/>
      </c>
    </row>
    <row r="589" spans="1:11" x14ac:dyDescent="0.25">
      <c r="A589" s="1" t="s">
        <v>1382</v>
      </c>
      <c r="B589" s="1" t="s">
        <v>1355</v>
      </c>
      <c r="C589" s="2">
        <v>45213.907638888893</v>
      </c>
      <c r="D589" s="3">
        <v>45213.907638888893</v>
      </c>
      <c r="E589">
        <v>52</v>
      </c>
      <c r="F589" s="1" t="s">
        <v>732</v>
      </c>
      <c r="G589" t="str">
        <f>IFERROR(VLOOKUP(Logs_Registre[[#This Row],[Cell_ID]],Registre_Maintenance[],2,FALSE),"")</f>
        <v>Nord-Kivu</v>
      </c>
      <c r="H589">
        <f>IFERROR(VLOOKUP(Logs_Registre[[#This Row],[Cell_ID]],Registre_Maintenance[],3,FALSE),"")</f>
        <v>-10.298385</v>
      </c>
      <c r="I589">
        <f>IFERROR(VLOOKUP(Logs_Registre[[#This Row],[Cell_ID]],Registre_Maintenance[],4,FALSE),"")</f>
        <v>29.698117</v>
      </c>
      <c r="J589" t="str">
        <f>IFERROR(VLOOKUP(Logs_Registre[[#This Row],[Cell_ID]],Registre_Maintenance[],5,FALSE),"")</f>
        <v>5G</v>
      </c>
      <c r="K589" t="str">
        <f>IFERROR(VLOOKUP(Logs_Registre[[#This Row],[Cell_ID]],Registre_Maintenance[],6,FALSE),"")</f>
        <v>Nokia</v>
      </c>
    </row>
    <row r="590" spans="1:11" x14ac:dyDescent="0.25">
      <c r="A590" s="1" t="s">
        <v>823</v>
      </c>
      <c r="B590" s="1" t="s">
        <v>844</v>
      </c>
      <c r="C590" s="2">
        <v>45213.89166666667</v>
      </c>
      <c r="D590" s="3">
        <v>45213.89166666667</v>
      </c>
      <c r="E590">
        <v>104</v>
      </c>
      <c r="F590" s="1" t="s">
        <v>732</v>
      </c>
      <c r="G590" t="str">
        <f>IFERROR(VLOOKUP(Logs_Registre[[#This Row],[Cell_ID]],Registre_Maintenance[],2,FALSE),"")</f>
        <v/>
      </c>
      <c r="H590" t="str">
        <f>IFERROR(VLOOKUP(Logs_Registre[[#This Row],[Cell_ID]],Registre_Maintenance[],3,FALSE),"")</f>
        <v/>
      </c>
      <c r="I590" t="str">
        <f>IFERROR(VLOOKUP(Logs_Registre[[#This Row],[Cell_ID]],Registre_Maintenance[],4,FALSE),"")</f>
        <v/>
      </c>
      <c r="J590" t="str">
        <f>IFERROR(VLOOKUP(Logs_Registre[[#This Row],[Cell_ID]],Registre_Maintenance[],5,FALSE),"")</f>
        <v/>
      </c>
      <c r="K590" t="str">
        <f>IFERROR(VLOOKUP(Logs_Registre[[#This Row],[Cell_ID]],Registre_Maintenance[],6,FALSE),"")</f>
        <v/>
      </c>
    </row>
    <row r="591" spans="1:11" x14ac:dyDescent="0.25">
      <c r="A591" s="1" t="s">
        <v>1361</v>
      </c>
      <c r="B591" s="1" t="s">
        <v>1366</v>
      </c>
      <c r="C591" s="2">
        <v>45213.87222222222</v>
      </c>
      <c r="D591" s="3">
        <v>45213.87222222222</v>
      </c>
      <c r="E591">
        <v>46</v>
      </c>
      <c r="F591" s="1" t="s">
        <v>735</v>
      </c>
      <c r="G591" t="str">
        <f>IFERROR(VLOOKUP(Logs_Registre[[#This Row],[Cell_ID]],Registre_Maintenance[],2,FALSE),"")</f>
        <v>Sankuru</v>
      </c>
      <c r="H591">
        <f>IFERROR(VLOOKUP(Logs_Registre[[#This Row],[Cell_ID]],Registre_Maintenance[],3,FALSE),"")</f>
        <v>-7.513261</v>
      </c>
      <c r="I591">
        <f>IFERROR(VLOOKUP(Logs_Registre[[#This Row],[Cell_ID]],Registre_Maintenance[],4,FALSE),"")</f>
        <v>24.338812000000001</v>
      </c>
      <c r="J591" t="str">
        <f>IFERROR(VLOOKUP(Logs_Registre[[#This Row],[Cell_ID]],Registre_Maintenance[],5,FALSE),"")</f>
        <v>5G</v>
      </c>
      <c r="K591" t="str">
        <f>IFERROR(VLOOKUP(Logs_Registre[[#This Row],[Cell_ID]],Registre_Maintenance[],6,FALSE),"")</f>
        <v>Huawei</v>
      </c>
    </row>
    <row r="592" spans="1:11" x14ac:dyDescent="0.25">
      <c r="A592" s="1" t="s">
        <v>1382</v>
      </c>
      <c r="B592" s="1" t="s">
        <v>1390</v>
      </c>
      <c r="C592" s="2">
        <v>45213.822222222218</v>
      </c>
      <c r="D592" s="3">
        <v>45213.822222222218</v>
      </c>
      <c r="E592">
        <v>100</v>
      </c>
      <c r="F592" s="1" t="s">
        <v>735</v>
      </c>
      <c r="G592" t="str">
        <f>IFERROR(VLOOKUP(Logs_Registre[[#This Row],[Cell_ID]],Registre_Maintenance[],2,FALSE),"")</f>
        <v/>
      </c>
      <c r="H592" t="str">
        <f>IFERROR(VLOOKUP(Logs_Registre[[#This Row],[Cell_ID]],Registre_Maintenance[],3,FALSE),"")</f>
        <v/>
      </c>
      <c r="I592" t="str">
        <f>IFERROR(VLOOKUP(Logs_Registre[[#This Row],[Cell_ID]],Registre_Maintenance[],4,FALSE),"")</f>
        <v/>
      </c>
      <c r="J592" t="str">
        <f>IFERROR(VLOOKUP(Logs_Registre[[#This Row],[Cell_ID]],Registre_Maintenance[],5,FALSE),"")</f>
        <v/>
      </c>
      <c r="K592" t="str">
        <f>IFERROR(VLOOKUP(Logs_Registre[[#This Row],[Cell_ID]],Registre_Maintenance[],6,FALSE),"")</f>
        <v/>
      </c>
    </row>
    <row r="593" spans="1:11" x14ac:dyDescent="0.25">
      <c r="A593" s="1" t="s">
        <v>939</v>
      </c>
      <c r="B593" s="1" t="s">
        <v>967</v>
      </c>
      <c r="C593" s="2">
        <v>45213.779861111107</v>
      </c>
      <c r="D593" s="3">
        <v>45213.779861111107</v>
      </c>
      <c r="E593">
        <v>120</v>
      </c>
      <c r="F593" s="1" t="s">
        <v>732</v>
      </c>
      <c r="G593" t="str">
        <f>IFERROR(VLOOKUP(Logs_Registre[[#This Row],[Cell_ID]],Registre_Maintenance[],2,FALSE),"")</f>
        <v>Sankuru</v>
      </c>
      <c r="H593">
        <f>IFERROR(VLOOKUP(Logs_Registre[[#This Row],[Cell_ID]],Registre_Maintenance[],3,FALSE),"")</f>
        <v>-7.5969509999999998</v>
      </c>
      <c r="I593">
        <f>IFERROR(VLOOKUP(Logs_Registre[[#This Row],[Cell_ID]],Registre_Maintenance[],4,FALSE),"")</f>
        <v>22.153986</v>
      </c>
      <c r="J593" t="str">
        <f>IFERROR(VLOOKUP(Logs_Registre[[#This Row],[Cell_ID]],Registre_Maintenance[],5,FALSE),"")</f>
        <v>3G</v>
      </c>
      <c r="K593" t="str">
        <f>IFERROR(VLOOKUP(Logs_Registre[[#This Row],[Cell_ID]],Registre_Maintenance[],6,FALSE),"")</f>
        <v>Ericsson</v>
      </c>
    </row>
    <row r="594" spans="1:11" x14ac:dyDescent="0.25">
      <c r="A594" s="1" t="s">
        <v>1361</v>
      </c>
      <c r="B594" s="1" t="s">
        <v>1369</v>
      </c>
      <c r="C594" s="2">
        <v>45213.770833333343</v>
      </c>
      <c r="D594" s="3">
        <v>45213.770833333343</v>
      </c>
      <c r="E594">
        <v>11</v>
      </c>
      <c r="F594" s="1" t="s">
        <v>737</v>
      </c>
      <c r="G594" t="str">
        <f>IFERROR(VLOOKUP(Logs_Registre[[#This Row],[Cell_ID]],Registre_Maintenance[],2,FALSE),"")</f>
        <v/>
      </c>
      <c r="H594" t="str">
        <f>IFERROR(VLOOKUP(Logs_Registre[[#This Row],[Cell_ID]],Registre_Maintenance[],3,FALSE),"")</f>
        <v/>
      </c>
      <c r="I594" t="str">
        <f>IFERROR(VLOOKUP(Logs_Registre[[#This Row],[Cell_ID]],Registre_Maintenance[],4,FALSE),"")</f>
        <v/>
      </c>
      <c r="J594" t="str">
        <f>IFERROR(VLOOKUP(Logs_Registre[[#This Row],[Cell_ID]],Registre_Maintenance[],5,FALSE),"")</f>
        <v/>
      </c>
      <c r="K594" t="str">
        <f>IFERROR(VLOOKUP(Logs_Registre[[#This Row],[Cell_ID]],Registre_Maintenance[],6,FALSE),"")</f>
        <v/>
      </c>
    </row>
    <row r="595" spans="1:11" x14ac:dyDescent="0.25">
      <c r="A595" s="1" t="s">
        <v>1114</v>
      </c>
      <c r="B595" s="1" t="s">
        <v>1120</v>
      </c>
      <c r="C595" s="2">
        <v>45213.763194444437</v>
      </c>
      <c r="D595" s="3">
        <v>45213.763194444437</v>
      </c>
      <c r="E595">
        <v>119</v>
      </c>
      <c r="F595" s="1" t="s">
        <v>737</v>
      </c>
      <c r="G595" t="str">
        <f>IFERROR(VLOOKUP(Logs_Registre[[#This Row],[Cell_ID]],Registre_Maintenance[],2,FALSE),"")</f>
        <v>Equateur</v>
      </c>
      <c r="H595">
        <f>IFERROR(VLOOKUP(Logs_Registre[[#This Row],[Cell_ID]],Registre_Maintenance[],3,FALSE),"")</f>
        <v>-0.79459900000000006</v>
      </c>
      <c r="I595">
        <f>IFERROR(VLOOKUP(Logs_Registre[[#This Row],[Cell_ID]],Registre_Maintenance[],4,FALSE),"")</f>
        <v>26.775570999999999</v>
      </c>
      <c r="J595" t="str">
        <f>IFERROR(VLOOKUP(Logs_Registre[[#This Row],[Cell_ID]],Registre_Maintenance[],5,FALSE),"")</f>
        <v>5G</v>
      </c>
      <c r="K595" t="str">
        <f>IFERROR(VLOOKUP(Logs_Registre[[#This Row],[Cell_ID]],Registre_Maintenance[],6,FALSE),"")</f>
        <v>Huawei</v>
      </c>
    </row>
    <row r="596" spans="1:11" x14ac:dyDescent="0.25">
      <c r="A596" s="1" t="s">
        <v>779</v>
      </c>
      <c r="B596" s="1" t="s">
        <v>795</v>
      </c>
      <c r="C596" s="2">
        <v>45213.645833333343</v>
      </c>
      <c r="D596" s="3">
        <v>45213.645833333343</v>
      </c>
      <c r="E596">
        <v>95</v>
      </c>
      <c r="F596" s="1" t="s">
        <v>732</v>
      </c>
      <c r="G596" t="str">
        <f>IFERROR(VLOOKUP(Logs_Registre[[#This Row],[Cell_ID]],Registre_Maintenance[],2,FALSE),"")</f>
        <v>Haut-Katanga</v>
      </c>
      <c r="H596">
        <f>IFERROR(VLOOKUP(Logs_Registre[[#This Row],[Cell_ID]],Registre_Maintenance[],3,FALSE),"")</f>
        <v>-2.9417719999999998</v>
      </c>
      <c r="I596">
        <f>IFERROR(VLOOKUP(Logs_Registre[[#This Row],[Cell_ID]],Registre_Maintenance[],4,FALSE),"")</f>
        <v>18.587305000000001</v>
      </c>
      <c r="J596" t="str">
        <f>IFERROR(VLOOKUP(Logs_Registre[[#This Row],[Cell_ID]],Registre_Maintenance[],5,FALSE),"")</f>
        <v>5G</v>
      </c>
      <c r="K596" t="str">
        <f>IFERROR(VLOOKUP(Logs_Registre[[#This Row],[Cell_ID]],Registre_Maintenance[],6,FALSE),"")</f>
        <v>Ericsson</v>
      </c>
    </row>
    <row r="597" spans="1:11" x14ac:dyDescent="0.25">
      <c r="A597" s="1" t="s">
        <v>1193</v>
      </c>
      <c r="B597" s="1" t="s">
        <v>1209</v>
      </c>
      <c r="C597" s="2">
        <v>45213.607638888891</v>
      </c>
      <c r="D597" s="3">
        <v>45213.607638888891</v>
      </c>
      <c r="E597">
        <v>22</v>
      </c>
      <c r="F597" s="1" t="s">
        <v>732</v>
      </c>
      <c r="G597" t="str">
        <f>IFERROR(VLOOKUP(Logs_Registre[[#This Row],[Cell_ID]],Registre_Maintenance[],2,FALSE),"")</f>
        <v/>
      </c>
      <c r="H597" t="str">
        <f>IFERROR(VLOOKUP(Logs_Registre[[#This Row],[Cell_ID]],Registre_Maintenance[],3,FALSE),"")</f>
        <v/>
      </c>
      <c r="I597" t="str">
        <f>IFERROR(VLOOKUP(Logs_Registre[[#This Row],[Cell_ID]],Registre_Maintenance[],4,FALSE),"")</f>
        <v/>
      </c>
      <c r="J597" t="str">
        <f>IFERROR(VLOOKUP(Logs_Registre[[#This Row],[Cell_ID]],Registre_Maintenance[],5,FALSE),"")</f>
        <v/>
      </c>
      <c r="K597" t="str">
        <f>IFERROR(VLOOKUP(Logs_Registre[[#This Row],[Cell_ID]],Registre_Maintenance[],6,FALSE),"")</f>
        <v/>
      </c>
    </row>
    <row r="598" spans="1:11" x14ac:dyDescent="0.25">
      <c r="A598" s="1" t="s">
        <v>999</v>
      </c>
      <c r="B598" s="1" t="s">
        <v>1013</v>
      </c>
      <c r="C598" s="2">
        <v>45213.597916666673</v>
      </c>
      <c r="D598" s="3">
        <v>45213.597916666673</v>
      </c>
      <c r="E598">
        <v>108</v>
      </c>
      <c r="F598" s="1" t="s">
        <v>735</v>
      </c>
      <c r="G598" t="str">
        <f>IFERROR(VLOOKUP(Logs_Registre[[#This Row],[Cell_ID]],Registre_Maintenance[],2,FALSE),"")</f>
        <v/>
      </c>
      <c r="H598" t="str">
        <f>IFERROR(VLOOKUP(Logs_Registre[[#This Row],[Cell_ID]],Registre_Maintenance[],3,FALSE),"")</f>
        <v/>
      </c>
      <c r="I598" t="str">
        <f>IFERROR(VLOOKUP(Logs_Registre[[#This Row],[Cell_ID]],Registre_Maintenance[],4,FALSE),"")</f>
        <v/>
      </c>
      <c r="J598" t="str">
        <f>IFERROR(VLOOKUP(Logs_Registre[[#This Row],[Cell_ID]],Registre_Maintenance[],5,FALSE),"")</f>
        <v/>
      </c>
      <c r="K598" t="str">
        <f>IFERROR(VLOOKUP(Logs_Registre[[#This Row],[Cell_ID]],Registre_Maintenance[],6,FALSE),"")</f>
        <v/>
      </c>
    </row>
    <row r="599" spans="1:11" x14ac:dyDescent="0.25">
      <c r="A599" s="1" t="s">
        <v>1219</v>
      </c>
      <c r="B599" s="1" t="s">
        <v>1153</v>
      </c>
      <c r="C599" s="2">
        <v>45213.593055555553</v>
      </c>
      <c r="D599" s="3">
        <v>45213.593055555553</v>
      </c>
      <c r="E599">
        <v>50</v>
      </c>
      <c r="F599" s="1" t="s">
        <v>737</v>
      </c>
      <c r="G599" t="str">
        <f>IFERROR(VLOOKUP(Logs_Registre[[#This Row],[Cell_ID]],Registre_Maintenance[],2,FALSE),"")</f>
        <v/>
      </c>
      <c r="H599" t="str">
        <f>IFERROR(VLOOKUP(Logs_Registre[[#This Row],[Cell_ID]],Registre_Maintenance[],3,FALSE),"")</f>
        <v/>
      </c>
      <c r="I599" t="str">
        <f>IFERROR(VLOOKUP(Logs_Registre[[#This Row],[Cell_ID]],Registre_Maintenance[],4,FALSE),"")</f>
        <v/>
      </c>
      <c r="J599" t="str">
        <f>IFERROR(VLOOKUP(Logs_Registre[[#This Row],[Cell_ID]],Registre_Maintenance[],5,FALSE),"")</f>
        <v/>
      </c>
      <c r="K599" t="str">
        <f>IFERROR(VLOOKUP(Logs_Registre[[#This Row],[Cell_ID]],Registre_Maintenance[],6,FALSE),"")</f>
        <v/>
      </c>
    </row>
    <row r="600" spans="1:11" x14ac:dyDescent="0.25">
      <c r="A600" s="1" t="s">
        <v>1361</v>
      </c>
      <c r="B600" s="1" t="s">
        <v>1376</v>
      </c>
      <c r="C600" s="2">
        <v>45213.584722222222</v>
      </c>
      <c r="D600" s="3">
        <v>45213.584722222222</v>
      </c>
      <c r="E600">
        <v>35</v>
      </c>
      <c r="F600" s="1" t="s">
        <v>735</v>
      </c>
      <c r="G600" t="str">
        <f>IFERROR(VLOOKUP(Logs_Registre[[#This Row],[Cell_ID]],Registre_Maintenance[],2,FALSE),"")</f>
        <v/>
      </c>
      <c r="H600" t="str">
        <f>IFERROR(VLOOKUP(Logs_Registre[[#This Row],[Cell_ID]],Registre_Maintenance[],3,FALSE),"")</f>
        <v/>
      </c>
      <c r="I600" t="str">
        <f>IFERROR(VLOOKUP(Logs_Registre[[#This Row],[Cell_ID]],Registre_Maintenance[],4,FALSE),"")</f>
        <v/>
      </c>
      <c r="J600" t="str">
        <f>IFERROR(VLOOKUP(Logs_Registre[[#This Row],[Cell_ID]],Registre_Maintenance[],5,FALSE),"")</f>
        <v/>
      </c>
      <c r="K600" t="str">
        <f>IFERROR(VLOOKUP(Logs_Registre[[#This Row],[Cell_ID]],Registre_Maintenance[],6,FALSE),"")</f>
        <v/>
      </c>
    </row>
    <row r="601" spans="1:11" x14ac:dyDescent="0.25">
      <c r="A601" s="1" t="s">
        <v>1086</v>
      </c>
      <c r="B601" s="1" t="s">
        <v>1098</v>
      </c>
      <c r="C601" s="2">
        <v>45213.577777777777</v>
      </c>
      <c r="D601" s="3">
        <v>45213.577777777777</v>
      </c>
      <c r="E601">
        <v>93</v>
      </c>
      <c r="F601" s="1" t="s">
        <v>735</v>
      </c>
      <c r="G601" t="str">
        <f>IFERROR(VLOOKUP(Logs_Registre[[#This Row],[Cell_ID]],Registre_Maintenance[],2,FALSE),"")</f>
        <v/>
      </c>
      <c r="H601" t="str">
        <f>IFERROR(VLOOKUP(Logs_Registre[[#This Row],[Cell_ID]],Registre_Maintenance[],3,FALSE),"")</f>
        <v/>
      </c>
      <c r="I601" t="str">
        <f>IFERROR(VLOOKUP(Logs_Registre[[#This Row],[Cell_ID]],Registre_Maintenance[],4,FALSE),"")</f>
        <v/>
      </c>
      <c r="J601" t="str">
        <f>IFERROR(VLOOKUP(Logs_Registre[[#This Row],[Cell_ID]],Registre_Maintenance[],5,FALSE),"")</f>
        <v/>
      </c>
      <c r="K601" t="str">
        <f>IFERROR(VLOOKUP(Logs_Registre[[#This Row],[Cell_ID]],Registre_Maintenance[],6,FALSE),"")</f>
        <v/>
      </c>
    </row>
    <row r="602" spans="1:11" x14ac:dyDescent="0.25">
      <c r="A602" s="1" t="s">
        <v>1345</v>
      </c>
      <c r="B602" s="1" t="s">
        <v>1270</v>
      </c>
      <c r="C602" s="2">
        <v>45213.518750000003</v>
      </c>
      <c r="D602" s="3">
        <v>45213.518750000003</v>
      </c>
      <c r="E602">
        <v>88</v>
      </c>
      <c r="F602" s="1" t="s">
        <v>735</v>
      </c>
      <c r="G602" t="str">
        <f>IFERROR(VLOOKUP(Logs_Registre[[#This Row],[Cell_ID]],Registre_Maintenance[],2,FALSE),"")</f>
        <v>Lomami</v>
      </c>
      <c r="H602">
        <f>IFERROR(VLOOKUP(Logs_Registre[[#This Row],[Cell_ID]],Registre_Maintenance[],3,FALSE),"")</f>
        <v>4.8265669999999998</v>
      </c>
      <c r="I602">
        <f>IFERROR(VLOOKUP(Logs_Registre[[#This Row],[Cell_ID]],Registre_Maintenance[],4,FALSE),"")</f>
        <v>28.535277000000001</v>
      </c>
      <c r="J602" t="str">
        <f>IFERROR(VLOOKUP(Logs_Registre[[#This Row],[Cell_ID]],Registre_Maintenance[],5,FALSE),"")</f>
        <v>3G</v>
      </c>
      <c r="K602" t="str">
        <f>IFERROR(VLOOKUP(Logs_Registre[[#This Row],[Cell_ID]],Registre_Maintenance[],6,FALSE),"")</f>
        <v>Huawei</v>
      </c>
    </row>
    <row r="603" spans="1:11" x14ac:dyDescent="0.25">
      <c r="A603" s="1" t="s">
        <v>1024</v>
      </c>
      <c r="B603" s="1" t="s">
        <v>1039</v>
      </c>
      <c r="C603" s="2">
        <v>45213.446527777778</v>
      </c>
      <c r="D603" s="3">
        <v>45213.446527777778</v>
      </c>
      <c r="E603">
        <v>111</v>
      </c>
      <c r="F603" s="1" t="s">
        <v>732</v>
      </c>
      <c r="G603" t="str">
        <f>IFERROR(VLOOKUP(Logs_Registre[[#This Row],[Cell_ID]],Registre_Maintenance[],2,FALSE),"")</f>
        <v/>
      </c>
      <c r="H603" t="str">
        <f>IFERROR(VLOOKUP(Logs_Registre[[#This Row],[Cell_ID]],Registre_Maintenance[],3,FALSE),"")</f>
        <v/>
      </c>
      <c r="I603" t="str">
        <f>IFERROR(VLOOKUP(Logs_Registre[[#This Row],[Cell_ID]],Registre_Maintenance[],4,FALSE),"")</f>
        <v/>
      </c>
      <c r="J603" t="str">
        <f>IFERROR(VLOOKUP(Logs_Registre[[#This Row],[Cell_ID]],Registre_Maintenance[],5,FALSE),"")</f>
        <v/>
      </c>
      <c r="K603" t="str">
        <f>IFERROR(VLOOKUP(Logs_Registre[[#This Row],[Cell_ID]],Registre_Maintenance[],6,FALSE),"")</f>
        <v/>
      </c>
    </row>
    <row r="604" spans="1:11" x14ac:dyDescent="0.25">
      <c r="A604" s="1" t="s">
        <v>730</v>
      </c>
      <c r="B604" s="1" t="s">
        <v>748</v>
      </c>
      <c r="C604" s="2">
        <v>45213.428472222222</v>
      </c>
      <c r="D604" s="3">
        <v>45213.428472222222</v>
      </c>
      <c r="E604">
        <v>101</v>
      </c>
      <c r="F604" s="1" t="s">
        <v>735</v>
      </c>
      <c r="G604" t="str">
        <f>IFERROR(VLOOKUP(Logs_Registre[[#This Row],[Cell_ID]],Registre_Maintenance[],2,FALSE),"")</f>
        <v/>
      </c>
      <c r="H604" t="str">
        <f>IFERROR(VLOOKUP(Logs_Registre[[#This Row],[Cell_ID]],Registre_Maintenance[],3,FALSE),"")</f>
        <v/>
      </c>
      <c r="I604" t="str">
        <f>IFERROR(VLOOKUP(Logs_Registre[[#This Row],[Cell_ID]],Registre_Maintenance[],4,FALSE),"")</f>
        <v/>
      </c>
      <c r="J604" t="str">
        <f>IFERROR(VLOOKUP(Logs_Registre[[#This Row],[Cell_ID]],Registre_Maintenance[],5,FALSE),"")</f>
        <v/>
      </c>
      <c r="K604" t="str">
        <f>IFERROR(VLOOKUP(Logs_Registre[[#This Row],[Cell_ID]],Registre_Maintenance[],6,FALSE),"")</f>
        <v/>
      </c>
    </row>
    <row r="605" spans="1:11" x14ac:dyDescent="0.25">
      <c r="A605" s="1" t="s">
        <v>1404</v>
      </c>
      <c r="B605" s="1" t="s">
        <v>1070</v>
      </c>
      <c r="C605" s="2">
        <v>45213.417361111111</v>
      </c>
      <c r="D605" s="3">
        <v>45213.417361111111</v>
      </c>
      <c r="E605">
        <v>100</v>
      </c>
      <c r="F605" s="1" t="s">
        <v>732</v>
      </c>
      <c r="G605" t="str">
        <f>IFERROR(VLOOKUP(Logs_Registre[[#This Row],[Cell_ID]],Registre_Maintenance[],2,FALSE),"")</f>
        <v/>
      </c>
      <c r="H605" t="str">
        <f>IFERROR(VLOOKUP(Logs_Registre[[#This Row],[Cell_ID]],Registre_Maintenance[],3,FALSE),"")</f>
        <v/>
      </c>
      <c r="I605" t="str">
        <f>IFERROR(VLOOKUP(Logs_Registre[[#This Row],[Cell_ID]],Registre_Maintenance[],4,FALSE),"")</f>
        <v/>
      </c>
      <c r="J605" t="str">
        <f>IFERROR(VLOOKUP(Logs_Registre[[#This Row],[Cell_ID]],Registre_Maintenance[],5,FALSE),"")</f>
        <v/>
      </c>
      <c r="K605" t="str">
        <f>IFERROR(VLOOKUP(Logs_Registre[[#This Row],[Cell_ID]],Registre_Maintenance[],6,FALSE),"")</f>
        <v/>
      </c>
    </row>
    <row r="606" spans="1:11" x14ac:dyDescent="0.25">
      <c r="A606" s="1" t="s">
        <v>1193</v>
      </c>
      <c r="B606" s="1" t="s">
        <v>1217</v>
      </c>
      <c r="C606" s="2">
        <v>45213.351388888892</v>
      </c>
      <c r="D606" s="3">
        <v>45213.351388888892</v>
      </c>
      <c r="E606">
        <v>86</v>
      </c>
      <c r="F606" s="1" t="s">
        <v>737</v>
      </c>
      <c r="G606" t="str">
        <f>IFERROR(VLOOKUP(Logs_Registre[[#This Row],[Cell_ID]],Registre_Maintenance[],2,FALSE),"")</f>
        <v>Maniema</v>
      </c>
      <c r="H606">
        <f>IFERROR(VLOOKUP(Logs_Registre[[#This Row],[Cell_ID]],Registre_Maintenance[],3,FALSE),"")</f>
        <v>4.8228650000000002</v>
      </c>
      <c r="I606">
        <f>IFERROR(VLOOKUP(Logs_Registre[[#This Row],[Cell_ID]],Registre_Maintenance[],4,FALSE),"")</f>
        <v>30.555627000000001</v>
      </c>
      <c r="J606" t="str">
        <f>IFERROR(VLOOKUP(Logs_Registre[[#This Row],[Cell_ID]],Registre_Maintenance[],5,FALSE),"")</f>
        <v>4G</v>
      </c>
      <c r="K606" t="str">
        <f>IFERROR(VLOOKUP(Logs_Registre[[#This Row],[Cell_ID]],Registre_Maintenance[],6,FALSE),"")</f>
        <v>Huawei</v>
      </c>
    </row>
    <row r="607" spans="1:11" x14ac:dyDescent="0.25">
      <c r="A607" s="1" t="s">
        <v>999</v>
      </c>
      <c r="B607" s="1" t="s">
        <v>1020</v>
      </c>
      <c r="C607" s="2">
        <v>45213.342361111107</v>
      </c>
      <c r="D607" s="3">
        <v>45213.342361111107</v>
      </c>
      <c r="E607">
        <v>63</v>
      </c>
      <c r="F607" s="1" t="s">
        <v>735</v>
      </c>
      <c r="G607" t="str">
        <f>IFERROR(VLOOKUP(Logs_Registre[[#This Row],[Cell_ID]],Registre_Maintenance[],2,FALSE),"")</f>
        <v>Sud-Kivu</v>
      </c>
      <c r="H607">
        <f>IFERROR(VLOOKUP(Logs_Registre[[#This Row],[Cell_ID]],Registre_Maintenance[],3,FALSE),"")</f>
        <v>0.31740800000000002</v>
      </c>
      <c r="I607">
        <f>IFERROR(VLOOKUP(Logs_Registre[[#This Row],[Cell_ID]],Registre_Maintenance[],4,FALSE),"")</f>
        <v>27.197666999999999</v>
      </c>
      <c r="J607" t="str">
        <f>IFERROR(VLOOKUP(Logs_Registre[[#This Row],[Cell_ID]],Registre_Maintenance[],5,FALSE),"")</f>
        <v>5G</v>
      </c>
      <c r="K607" t="str">
        <f>IFERROR(VLOOKUP(Logs_Registre[[#This Row],[Cell_ID]],Registre_Maintenance[],6,FALSE),"")</f>
        <v>Nokia</v>
      </c>
    </row>
    <row r="608" spans="1:11" x14ac:dyDescent="0.25">
      <c r="A608" s="1" t="s">
        <v>978</v>
      </c>
      <c r="B608" s="1" t="s">
        <v>984</v>
      </c>
      <c r="C608" s="2">
        <v>45213.334722222222</v>
      </c>
      <c r="D608" s="3">
        <v>45213.334722222222</v>
      </c>
      <c r="E608">
        <v>62</v>
      </c>
      <c r="F608" s="1" t="s">
        <v>732</v>
      </c>
      <c r="G608" t="str">
        <f>IFERROR(VLOOKUP(Logs_Registre[[#This Row],[Cell_ID]],Registre_Maintenance[],2,FALSE),"")</f>
        <v/>
      </c>
      <c r="H608" t="str">
        <f>IFERROR(VLOOKUP(Logs_Registre[[#This Row],[Cell_ID]],Registre_Maintenance[],3,FALSE),"")</f>
        <v/>
      </c>
      <c r="I608" t="str">
        <f>IFERROR(VLOOKUP(Logs_Registre[[#This Row],[Cell_ID]],Registre_Maintenance[],4,FALSE),"")</f>
        <v/>
      </c>
      <c r="J608" t="str">
        <f>IFERROR(VLOOKUP(Logs_Registre[[#This Row],[Cell_ID]],Registre_Maintenance[],5,FALSE),"")</f>
        <v/>
      </c>
      <c r="K608" t="str">
        <f>IFERROR(VLOOKUP(Logs_Registre[[#This Row],[Cell_ID]],Registre_Maintenance[],6,FALSE),"")</f>
        <v/>
      </c>
    </row>
    <row r="609" spans="1:11" x14ac:dyDescent="0.25">
      <c r="A609" s="1" t="s">
        <v>1193</v>
      </c>
      <c r="B609" s="1" t="s">
        <v>1197</v>
      </c>
      <c r="C609" s="2">
        <v>45213.328472222223</v>
      </c>
      <c r="D609" s="3">
        <v>45213.328472222223</v>
      </c>
      <c r="E609">
        <v>22</v>
      </c>
      <c r="F609" s="1" t="s">
        <v>737</v>
      </c>
      <c r="G609" t="str">
        <f>IFERROR(VLOOKUP(Logs_Registre[[#This Row],[Cell_ID]],Registre_Maintenance[],2,FALSE),"")</f>
        <v/>
      </c>
      <c r="H609" t="str">
        <f>IFERROR(VLOOKUP(Logs_Registre[[#This Row],[Cell_ID]],Registre_Maintenance[],3,FALSE),"")</f>
        <v/>
      </c>
      <c r="I609" t="str">
        <f>IFERROR(VLOOKUP(Logs_Registre[[#This Row],[Cell_ID]],Registre_Maintenance[],4,FALSE),"")</f>
        <v/>
      </c>
      <c r="J609" t="str">
        <f>IFERROR(VLOOKUP(Logs_Registre[[#This Row],[Cell_ID]],Registre_Maintenance[],5,FALSE),"")</f>
        <v/>
      </c>
      <c r="K609" t="str">
        <f>IFERROR(VLOOKUP(Logs_Registre[[#This Row],[Cell_ID]],Registre_Maintenance[],6,FALSE),"")</f>
        <v/>
      </c>
    </row>
    <row r="610" spans="1:11" x14ac:dyDescent="0.25">
      <c r="A610" s="1" t="s">
        <v>730</v>
      </c>
      <c r="B610" s="1" t="s">
        <v>744</v>
      </c>
      <c r="C610" s="2">
        <v>45213.311111111107</v>
      </c>
      <c r="D610" s="3">
        <v>45213.311111111107</v>
      </c>
      <c r="E610">
        <v>22</v>
      </c>
      <c r="F610" s="1" t="s">
        <v>735</v>
      </c>
      <c r="G610" t="str">
        <f>IFERROR(VLOOKUP(Logs_Registre[[#This Row],[Cell_ID]],Registre_Maintenance[],2,FALSE),"")</f>
        <v>Kwango</v>
      </c>
      <c r="H610">
        <f>IFERROR(VLOOKUP(Logs_Registre[[#This Row],[Cell_ID]],Registre_Maintenance[],3,FALSE),"")</f>
        <v>4.8319039999999998</v>
      </c>
      <c r="I610">
        <f>IFERROR(VLOOKUP(Logs_Registre[[#This Row],[Cell_ID]],Registre_Maintenance[],4,FALSE),"")</f>
        <v>20.733468999999999</v>
      </c>
      <c r="J610" t="str">
        <f>IFERROR(VLOOKUP(Logs_Registre[[#This Row],[Cell_ID]],Registre_Maintenance[],5,FALSE),"")</f>
        <v>5G</v>
      </c>
      <c r="K610" t="str">
        <f>IFERROR(VLOOKUP(Logs_Registre[[#This Row],[Cell_ID]],Registre_Maintenance[],6,FALSE),"")</f>
        <v>Ericsson</v>
      </c>
    </row>
    <row r="611" spans="1:11" x14ac:dyDescent="0.25">
      <c r="A611" s="1" t="s">
        <v>779</v>
      </c>
      <c r="B611" s="1" t="s">
        <v>782</v>
      </c>
      <c r="C611" s="2">
        <v>45213.254166666673</v>
      </c>
      <c r="D611" s="3">
        <v>45213.254166666673</v>
      </c>
      <c r="E611">
        <v>73</v>
      </c>
      <c r="F611" s="1" t="s">
        <v>737</v>
      </c>
      <c r="G611" t="str">
        <f>IFERROR(VLOOKUP(Logs_Registre[[#This Row],[Cell_ID]],Registre_Maintenance[],2,FALSE),"")</f>
        <v/>
      </c>
      <c r="H611" t="str">
        <f>IFERROR(VLOOKUP(Logs_Registre[[#This Row],[Cell_ID]],Registre_Maintenance[],3,FALSE),"")</f>
        <v/>
      </c>
      <c r="I611" t="str">
        <f>IFERROR(VLOOKUP(Logs_Registre[[#This Row],[Cell_ID]],Registre_Maintenance[],4,FALSE),"")</f>
        <v/>
      </c>
      <c r="J611" t="str">
        <f>IFERROR(VLOOKUP(Logs_Registre[[#This Row],[Cell_ID]],Registre_Maintenance[],5,FALSE),"")</f>
        <v/>
      </c>
      <c r="K611" t="str">
        <f>IFERROR(VLOOKUP(Logs_Registre[[#This Row],[Cell_ID]],Registre_Maintenance[],6,FALSE),"")</f>
        <v/>
      </c>
    </row>
    <row r="612" spans="1:11" x14ac:dyDescent="0.25">
      <c r="A612" s="1" t="s">
        <v>1193</v>
      </c>
      <c r="B612" s="1" t="s">
        <v>1201</v>
      </c>
      <c r="C612" s="2">
        <v>45213.238194444442</v>
      </c>
      <c r="D612" s="3">
        <v>45213.238194444442</v>
      </c>
      <c r="E612">
        <v>53</v>
      </c>
      <c r="F612" s="1" t="s">
        <v>735</v>
      </c>
      <c r="G612" t="str">
        <f>IFERROR(VLOOKUP(Logs_Registre[[#This Row],[Cell_ID]],Registre_Maintenance[],2,FALSE),"")</f>
        <v>Nord-Ubangi</v>
      </c>
      <c r="H612">
        <f>IFERROR(VLOOKUP(Logs_Registre[[#This Row],[Cell_ID]],Registre_Maintenance[],3,FALSE),"")</f>
        <v>-8.4985189999999999</v>
      </c>
      <c r="I612">
        <f>IFERROR(VLOOKUP(Logs_Registre[[#This Row],[Cell_ID]],Registre_Maintenance[],4,FALSE),"")</f>
        <v>12.929456999999999</v>
      </c>
      <c r="J612" t="str">
        <f>IFERROR(VLOOKUP(Logs_Registre[[#This Row],[Cell_ID]],Registre_Maintenance[],5,FALSE),"")</f>
        <v>4G</v>
      </c>
      <c r="K612" t="str">
        <f>IFERROR(VLOOKUP(Logs_Registre[[#This Row],[Cell_ID]],Registre_Maintenance[],6,FALSE),"")</f>
        <v>Ericsson</v>
      </c>
    </row>
    <row r="613" spans="1:11" x14ac:dyDescent="0.25">
      <c r="A613" s="1" t="s">
        <v>1059</v>
      </c>
      <c r="B613" s="1" t="s">
        <v>856</v>
      </c>
      <c r="C613" s="2">
        <v>45213.237500000003</v>
      </c>
      <c r="D613" s="3">
        <v>45213.237500000003</v>
      </c>
      <c r="E613">
        <v>68</v>
      </c>
      <c r="F613" s="1" t="s">
        <v>737</v>
      </c>
      <c r="G613" t="str">
        <f>IFERROR(VLOOKUP(Logs_Registre[[#This Row],[Cell_ID]],Registre_Maintenance[],2,FALSE),"")</f>
        <v/>
      </c>
      <c r="H613" t="str">
        <f>IFERROR(VLOOKUP(Logs_Registre[[#This Row],[Cell_ID]],Registre_Maintenance[],3,FALSE),"")</f>
        <v/>
      </c>
      <c r="I613" t="str">
        <f>IFERROR(VLOOKUP(Logs_Registre[[#This Row],[Cell_ID]],Registre_Maintenance[],4,FALSE),"")</f>
        <v/>
      </c>
      <c r="J613" t="str">
        <f>IFERROR(VLOOKUP(Logs_Registre[[#This Row],[Cell_ID]],Registre_Maintenance[],5,FALSE),"")</f>
        <v/>
      </c>
      <c r="K613" t="str">
        <f>IFERROR(VLOOKUP(Logs_Registre[[#This Row],[Cell_ID]],Registre_Maintenance[],6,FALSE),"")</f>
        <v/>
      </c>
    </row>
    <row r="614" spans="1:11" x14ac:dyDescent="0.25">
      <c r="A614" s="1" t="s">
        <v>1308</v>
      </c>
      <c r="B614" s="1" t="s">
        <v>1325</v>
      </c>
      <c r="C614" s="2">
        <v>45213.210416666669</v>
      </c>
      <c r="D614" s="3">
        <v>45213.210416666669</v>
      </c>
      <c r="E614">
        <v>28</v>
      </c>
      <c r="F614" s="1" t="s">
        <v>737</v>
      </c>
      <c r="G614" t="str">
        <f>IFERROR(VLOOKUP(Logs_Registre[[#This Row],[Cell_ID]],Registre_Maintenance[],2,FALSE),"")</f>
        <v>Haut-Lomami</v>
      </c>
      <c r="H614">
        <f>IFERROR(VLOOKUP(Logs_Registre[[#This Row],[Cell_ID]],Registre_Maintenance[],3,FALSE),"")</f>
        <v>-3.1608390000000002</v>
      </c>
      <c r="I614">
        <f>IFERROR(VLOOKUP(Logs_Registre[[#This Row],[Cell_ID]],Registre_Maintenance[],4,FALSE),"")</f>
        <v>13.244503999999999</v>
      </c>
      <c r="J614" t="str">
        <f>IFERROR(VLOOKUP(Logs_Registre[[#This Row],[Cell_ID]],Registre_Maintenance[],5,FALSE),"")</f>
        <v>3G</v>
      </c>
      <c r="K614" t="str">
        <f>IFERROR(VLOOKUP(Logs_Registre[[#This Row],[Cell_ID]],Registre_Maintenance[],6,FALSE),"")</f>
        <v>Huawei</v>
      </c>
    </row>
    <row r="615" spans="1:11" x14ac:dyDescent="0.25">
      <c r="A615" s="1" t="s">
        <v>1261</v>
      </c>
      <c r="B615" s="1" t="s">
        <v>1164</v>
      </c>
      <c r="C615" s="2">
        <v>45213.145138888889</v>
      </c>
      <c r="D615" s="3">
        <v>45213.145138888889</v>
      </c>
      <c r="E615">
        <v>105</v>
      </c>
      <c r="F615" s="1" t="s">
        <v>735</v>
      </c>
      <c r="G615" t="str">
        <f>IFERROR(VLOOKUP(Logs_Registre[[#This Row],[Cell_ID]],Registre_Maintenance[],2,FALSE),"")</f>
        <v>Kwilu</v>
      </c>
      <c r="H615">
        <f>IFERROR(VLOOKUP(Logs_Registre[[#This Row],[Cell_ID]],Registre_Maintenance[],3,FALSE),"")</f>
        <v>-10.939712999999999</v>
      </c>
      <c r="I615">
        <f>IFERROR(VLOOKUP(Logs_Registre[[#This Row],[Cell_ID]],Registre_Maintenance[],4,FALSE),"")</f>
        <v>18.276230999999999</v>
      </c>
      <c r="J615" t="str">
        <f>IFERROR(VLOOKUP(Logs_Registre[[#This Row],[Cell_ID]],Registre_Maintenance[],5,FALSE),"")</f>
        <v>4G</v>
      </c>
      <c r="K615" t="str">
        <f>IFERROR(VLOOKUP(Logs_Registre[[#This Row],[Cell_ID]],Registre_Maintenance[],6,FALSE),"")</f>
        <v>ZTE</v>
      </c>
    </row>
    <row r="616" spans="1:11" x14ac:dyDescent="0.25">
      <c r="A616" s="1" t="s">
        <v>823</v>
      </c>
      <c r="B616" s="1" t="s">
        <v>836</v>
      </c>
      <c r="C616" s="2">
        <v>45213.112500000003</v>
      </c>
      <c r="D616" s="3">
        <v>45213.112500000003</v>
      </c>
      <c r="E616">
        <v>93</v>
      </c>
      <c r="F616" s="1" t="s">
        <v>732</v>
      </c>
      <c r="G616" t="str">
        <f>IFERROR(VLOOKUP(Logs_Registre[[#This Row],[Cell_ID]],Registre_Maintenance[],2,FALSE),"")</f>
        <v/>
      </c>
      <c r="H616" t="str">
        <f>IFERROR(VLOOKUP(Logs_Registre[[#This Row],[Cell_ID]],Registre_Maintenance[],3,FALSE),"")</f>
        <v/>
      </c>
      <c r="I616" t="str">
        <f>IFERROR(VLOOKUP(Logs_Registre[[#This Row],[Cell_ID]],Registre_Maintenance[],4,FALSE),"")</f>
        <v/>
      </c>
      <c r="J616" t="str">
        <f>IFERROR(VLOOKUP(Logs_Registre[[#This Row],[Cell_ID]],Registre_Maintenance[],5,FALSE),"")</f>
        <v/>
      </c>
      <c r="K616" t="str">
        <f>IFERROR(VLOOKUP(Logs_Registre[[#This Row],[Cell_ID]],Registre_Maintenance[],6,FALSE),"")</f>
        <v/>
      </c>
    </row>
    <row r="617" spans="1:11" x14ac:dyDescent="0.25">
      <c r="A617" s="1" t="s">
        <v>1165</v>
      </c>
      <c r="B617" s="1" t="s">
        <v>1071</v>
      </c>
      <c r="C617" s="2">
        <v>45213.066666666673</v>
      </c>
      <c r="D617" s="3">
        <v>45213.066666666673</v>
      </c>
      <c r="E617">
        <v>63</v>
      </c>
      <c r="F617" s="1" t="s">
        <v>732</v>
      </c>
      <c r="G617" t="str">
        <f>IFERROR(VLOOKUP(Logs_Registre[[#This Row],[Cell_ID]],Registre_Maintenance[],2,FALSE),"")</f>
        <v>Sud-Ubangi</v>
      </c>
      <c r="H617">
        <f>IFERROR(VLOOKUP(Logs_Registre[[#This Row],[Cell_ID]],Registre_Maintenance[],3,FALSE),"")</f>
        <v>-11.387295999999999</v>
      </c>
      <c r="I617">
        <f>IFERROR(VLOOKUP(Logs_Registre[[#This Row],[Cell_ID]],Registre_Maintenance[],4,FALSE),"")</f>
        <v>19.384257999999999</v>
      </c>
      <c r="J617" t="str">
        <f>IFERROR(VLOOKUP(Logs_Registre[[#This Row],[Cell_ID]],Registre_Maintenance[],5,FALSE),"")</f>
        <v>3G</v>
      </c>
      <c r="K617" t="str">
        <f>IFERROR(VLOOKUP(Logs_Registre[[#This Row],[Cell_ID]],Registre_Maintenance[],6,FALSE),"")</f>
        <v>Huawei</v>
      </c>
    </row>
    <row r="618" spans="1:11" x14ac:dyDescent="0.25">
      <c r="A618" s="1" t="s">
        <v>730</v>
      </c>
      <c r="B618" s="1" t="s">
        <v>739</v>
      </c>
      <c r="C618" s="2">
        <v>45213.042361111111</v>
      </c>
      <c r="D618" s="3">
        <v>45213.042361111111</v>
      </c>
      <c r="E618">
        <v>119</v>
      </c>
      <c r="F618" s="1" t="s">
        <v>735</v>
      </c>
      <c r="G618" t="str">
        <f>IFERROR(VLOOKUP(Logs_Registre[[#This Row],[Cell_ID]],Registre_Maintenance[],2,FALSE),"")</f>
        <v>Kongo-Central</v>
      </c>
      <c r="H618">
        <f>IFERROR(VLOOKUP(Logs_Registre[[#This Row],[Cell_ID]],Registre_Maintenance[],3,FALSE),"")</f>
        <v>-2.8211520000000001</v>
      </c>
      <c r="I618">
        <f>IFERROR(VLOOKUP(Logs_Registre[[#This Row],[Cell_ID]],Registre_Maintenance[],4,FALSE),"")</f>
        <v>20.651419000000001</v>
      </c>
      <c r="J618" t="str">
        <f>IFERROR(VLOOKUP(Logs_Registre[[#This Row],[Cell_ID]],Registre_Maintenance[],5,FALSE),"")</f>
        <v>5G</v>
      </c>
      <c r="K618" t="str">
        <f>IFERROR(VLOOKUP(Logs_Registre[[#This Row],[Cell_ID]],Registre_Maintenance[],6,FALSE),"")</f>
        <v>Ericsson</v>
      </c>
    </row>
    <row r="619" spans="1:11" x14ac:dyDescent="0.25">
      <c r="A619" s="1" t="s">
        <v>1059</v>
      </c>
      <c r="B619" s="1" t="s">
        <v>1065</v>
      </c>
      <c r="C619" s="2">
        <v>45213.027083333327</v>
      </c>
      <c r="D619" s="3">
        <v>45213.027083333327</v>
      </c>
      <c r="E619">
        <v>68</v>
      </c>
      <c r="F619" s="1" t="s">
        <v>737</v>
      </c>
      <c r="G619" t="str">
        <f>IFERROR(VLOOKUP(Logs_Registre[[#This Row],[Cell_ID]],Registre_Maintenance[],2,FALSE),"")</f>
        <v/>
      </c>
      <c r="H619" t="str">
        <f>IFERROR(VLOOKUP(Logs_Registre[[#This Row],[Cell_ID]],Registre_Maintenance[],3,FALSE),"")</f>
        <v/>
      </c>
      <c r="I619" t="str">
        <f>IFERROR(VLOOKUP(Logs_Registre[[#This Row],[Cell_ID]],Registre_Maintenance[],4,FALSE),"")</f>
        <v/>
      </c>
      <c r="J619" t="str">
        <f>IFERROR(VLOOKUP(Logs_Registre[[#This Row],[Cell_ID]],Registre_Maintenance[],5,FALSE),"")</f>
        <v/>
      </c>
      <c r="K619" t="str">
        <f>IFERROR(VLOOKUP(Logs_Registre[[#This Row],[Cell_ID]],Registre_Maintenance[],6,FALSE),"")</f>
        <v/>
      </c>
    </row>
    <row r="620" spans="1:11" x14ac:dyDescent="0.25">
      <c r="A620" s="1" t="s">
        <v>823</v>
      </c>
      <c r="B620" s="1" t="s">
        <v>739</v>
      </c>
      <c r="C620" s="2">
        <v>45213.022916666669</v>
      </c>
      <c r="D620" s="3">
        <v>45213.022916666669</v>
      </c>
      <c r="E620">
        <v>56</v>
      </c>
      <c r="F620" s="1" t="s">
        <v>737</v>
      </c>
      <c r="G620" t="str">
        <f>IFERROR(VLOOKUP(Logs_Registre[[#This Row],[Cell_ID]],Registre_Maintenance[],2,FALSE),"")</f>
        <v>Kongo-Central</v>
      </c>
      <c r="H620">
        <f>IFERROR(VLOOKUP(Logs_Registre[[#This Row],[Cell_ID]],Registre_Maintenance[],3,FALSE),"")</f>
        <v>-2.8211520000000001</v>
      </c>
      <c r="I620">
        <f>IFERROR(VLOOKUP(Logs_Registre[[#This Row],[Cell_ID]],Registre_Maintenance[],4,FALSE),"")</f>
        <v>20.651419000000001</v>
      </c>
      <c r="J620" t="str">
        <f>IFERROR(VLOOKUP(Logs_Registre[[#This Row],[Cell_ID]],Registre_Maintenance[],5,FALSE),"")</f>
        <v>5G</v>
      </c>
      <c r="K620" t="str">
        <f>IFERROR(VLOOKUP(Logs_Registre[[#This Row],[Cell_ID]],Registre_Maintenance[],6,FALSE),"")</f>
        <v>Ericsson</v>
      </c>
    </row>
    <row r="621" spans="1:11" x14ac:dyDescent="0.25">
      <c r="A621" s="1" t="s">
        <v>861</v>
      </c>
      <c r="B621" s="1" t="s">
        <v>864</v>
      </c>
      <c r="C621" s="2">
        <v>45212.965277777781</v>
      </c>
      <c r="D621" s="3">
        <v>45212.965277777781</v>
      </c>
      <c r="E621">
        <v>27</v>
      </c>
      <c r="F621" s="1" t="s">
        <v>737</v>
      </c>
      <c r="G621" t="str">
        <f>IFERROR(VLOOKUP(Logs_Registre[[#This Row],[Cell_ID]],Registre_Maintenance[],2,FALSE),"")</f>
        <v>Kongo-Central</v>
      </c>
      <c r="H621">
        <f>IFERROR(VLOOKUP(Logs_Registre[[#This Row],[Cell_ID]],Registre_Maintenance[],3,FALSE),"")</f>
        <v>0.79124300000000003</v>
      </c>
      <c r="I621">
        <f>IFERROR(VLOOKUP(Logs_Registre[[#This Row],[Cell_ID]],Registre_Maintenance[],4,FALSE),"")</f>
        <v>25.273389000000002</v>
      </c>
      <c r="J621" t="str">
        <f>IFERROR(VLOOKUP(Logs_Registre[[#This Row],[Cell_ID]],Registre_Maintenance[],5,FALSE),"")</f>
        <v>4G</v>
      </c>
      <c r="K621" t="str">
        <f>IFERROR(VLOOKUP(Logs_Registre[[#This Row],[Cell_ID]],Registre_Maintenance[],6,FALSE),"")</f>
        <v>Nokia</v>
      </c>
    </row>
    <row r="622" spans="1:11" x14ac:dyDescent="0.25">
      <c r="A622" s="1" t="s">
        <v>823</v>
      </c>
      <c r="B622" s="1" t="s">
        <v>842</v>
      </c>
      <c r="C622" s="2">
        <v>45212.929166666669</v>
      </c>
      <c r="D622" s="3">
        <v>45212.929166666669</v>
      </c>
      <c r="E622">
        <v>118</v>
      </c>
      <c r="F622" s="1" t="s">
        <v>737</v>
      </c>
      <c r="G622" t="str">
        <f>IFERROR(VLOOKUP(Logs_Registre[[#This Row],[Cell_ID]],Registre_Maintenance[],2,FALSE),"")</f>
        <v/>
      </c>
      <c r="H622" t="str">
        <f>IFERROR(VLOOKUP(Logs_Registre[[#This Row],[Cell_ID]],Registre_Maintenance[],3,FALSE),"")</f>
        <v/>
      </c>
      <c r="I622" t="str">
        <f>IFERROR(VLOOKUP(Logs_Registre[[#This Row],[Cell_ID]],Registre_Maintenance[],4,FALSE),"")</f>
        <v/>
      </c>
      <c r="J622" t="str">
        <f>IFERROR(VLOOKUP(Logs_Registre[[#This Row],[Cell_ID]],Registre_Maintenance[],5,FALSE),"")</f>
        <v/>
      </c>
      <c r="K622" t="str">
        <f>IFERROR(VLOOKUP(Logs_Registre[[#This Row],[Cell_ID]],Registre_Maintenance[],6,FALSE),"")</f>
        <v/>
      </c>
    </row>
    <row r="623" spans="1:11" x14ac:dyDescent="0.25">
      <c r="A623" s="1" t="s">
        <v>1382</v>
      </c>
      <c r="B623" s="1" t="s">
        <v>796</v>
      </c>
      <c r="C623" s="2">
        <v>45212.901388888888</v>
      </c>
      <c r="D623" s="3">
        <v>45212.901388888888</v>
      </c>
      <c r="E623">
        <v>58</v>
      </c>
      <c r="F623" s="1" t="s">
        <v>732</v>
      </c>
      <c r="G623" t="str">
        <f>IFERROR(VLOOKUP(Logs_Registre[[#This Row],[Cell_ID]],Registre_Maintenance[],2,FALSE),"")</f>
        <v>Kwango</v>
      </c>
      <c r="H623">
        <f>IFERROR(VLOOKUP(Logs_Registre[[#This Row],[Cell_ID]],Registre_Maintenance[],3,FALSE),"")</f>
        <v>-10.963041</v>
      </c>
      <c r="I623">
        <f>IFERROR(VLOOKUP(Logs_Registre[[#This Row],[Cell_ID]],Registre_Maintenance[],4,FALSE),"")</f>
        <v>12.269857</v>
      </c>
      <c r="J623" t="str">
        <f>IFERROR(VLOOKUP(Logs_Registre[[#This Row],[Cell_ID]],Registre_Maintenance[],5,FALSE),"")</f>
        <v>4G</v>
      </c>
      <c r="K623" t="str">
        <f>IFERROR(VLOOKUP(Logs_Registre[[#This Row],[Cell_ID]],Registre_Maintenance[],6,FALSE),"")</f>
        <v>Huawei</v>
      </c>
    </row>
    <row r="624" spans="1:11" x14ac:dyDescent="0.25">
      <c r="A624" s="1" t="s">
        <v>1404</v>
      </c>
      <c r="B624" s="1" t="s">
        <v>1083</v>
      </c>
      <c r="C624" s="2">
        <v>45212.879861111112</v>
      </c>
      <c r="D624" s="3">
        <v>45212.879861111112</v>
      </c>
      <c r="E624">
        <v>99</v>
      </c>
      <c r="F624" s="1" t="s">
        <v>732</v>
      </c>
      <c r="G624" t="str">
        <f>IFERROR(VLOOKUP(Logs_Registre[[#This Row],[Cell_ID]],Registre_Maintenance[],2,FALSE),"")</f>
        <v/>
      </c>
      <c r="H624" t="str">
        <f>IFERROR(VLOOKUP(Logs_Registre[[#This Row],[Cell_ID]],Registre_Maintenance[],3,FALSE),"")</f>
        <v/>
      </c>
      <c r="I624" t="str">
        <f>IFERROR(VLOOKUP(Logs_Registre[[#This Row],[Cell_ID]],Registre_Maintenance[],4,FALSE),"")</f>
        <v/>
      </c>
      <c r="J624" t="str">
        <f>IFERROR(VLOOKUP(Logs_Registre[[#This Row],[Cell_ID]],Registre_Maintenance[],5,FALSE),"")</f>
        <v/>
      </c>
      <c r="K624" t="str">
        <f>IFERROR(VLOOKUP(Logs_Registre[[#This Row],[Cell_ID]],Registre_Maintenance[],6,FALSE),"")</f>
        <v/>
      </c>
    </row>
    <row r="625" spans="1:11" x14ac:dyDescent="0.25">
      <c r="A625" s="1" t="s">
        <v>1404</v>
      </c>
      <c r="B625" s="1" t="s">
        <v>1413</v>
      </c>
      <c r="C625" s="2">
        <v>45212.875694444447</v>
      </c>
      <c r="D625" s="3">
        <v>45212.875694444447</v>
      </c>
      <c r="E625">
        <v>23</v>
      </c>
      <c r="F625" s="1" t="s">
        <v>732</v>
      </c>
      <c r="G625" t="str">
        <f>IFERROR(VLOOKUP(Logs_Registre[[#This Row],[Cell_ID]],Registre_Maintenance[],2,FALSE),"")</f>
        <v>Kwilu</v>
      </c>
      <c r="H625">
        <f>IFERROR(VLOOKUP(Logs_Registre[[#This Row],[Cell_ID]],Registre_Maintenance[],3,FALSE),"")</f>
        <v>1.2691650000000001</v>
      </c>
      <c r="I625">
        <f>IFERROR(VLOOKUP(Logs_Registre[[#This Row],[Cell_ID]],Registre_Maintenance[],4,FALSE),"")</f>
        <v>18.789956</v>
      </c>
      <c r="J625" t="str">
        <f>IFERROR(VLOOKUP(Logs_Registre[[#This Row],[Cell_ID]],Registre_Maintenance[],5,FALSE),"")</f>
        <v>3G</v>
      </c>
      <c r="K625" t="str">
        <f>IFERROR(VLOOKUP(Logs_Registre[[#This Row],[Cell_ID]],Registre_Maintenance[],6,FALSE),"")</f>
        <v>Nokia</v>
      </c>
    </row>
    <row r="626" spans="1:11" x14ac:dyDescent="0.25">
      <c r="A626" s="1" t="s">
        <v>1308</v>
      </c>
      <c r="B626" s="1" t="s">
        <v>1328</v>
      </c>
      <c r="C626" s="2">
        <v>45212.774305555547</v>
      </c>
      <c r="D626" s="3">
        <v>45212.774305555547</v>
      </c>
      <c r="E626">
        <v>33</v>
      </c>
      <c r="F626" s="1" t="s">
        <v>732</v>
      </c>
      <c r="G626" t="str">
        <f>IFERROR(VLOOKUP(Logs_Registre[[#This Row],[Cell_ID]],Registre_Maintenance[],2,FALSE),"")</f>
        <v/>
      </c>
      <c r="H626" t="str">
        <f>IFERROR(VLOOKUP(Logs_Registre[[#This Row],[Cell_ID]],Registre_Maintenance[],3,FALSE),"")</f>
        <v/>
      </c>
      <c r="I626" t="str">
        <f>IFERROR(VLOOKUP(Logs_Registre[[#This Row],[Cell_ID]],Registre_Maintenance[],4,FALSE),"")</f>
        <v/>
      </c>
      <c r="J626" t="str">
        <f>IFERROR(VLOOKUP(Logs_Registre[[#This Row],[Cell_ID]],Registre_Maintenance[],5,FALSE),"")</f>
        <v/>
      </c>
      <c r="K626" t="str">
        <f>IFERROR(VLOOKUP(Logs_Registre[[#This Row],[Cell_ID]],Registre_Maintenance[],6,FALSE),"")</f>
        <v/>
      </c>
    </row>
    <row r="627" spans="1:11" x14ac:dyDescent="0.25">
      <c r="A627" s="1" t="s">
        <v>1219</v>
      </c>
      <c r="B627" s="1" t="s">
        <v>847</v>
      </c>
      <c r="C627" s="2">
        <v>45212.754861111112</v>
      </c>
      <c r="D627" s="3">
        <v>45212.754861111112</v>
      </c>
      <c r="E627">
        <v>112</v>
      </c>
      <c r="F627" s="1" t="s">
        <v>737</v>
      </c>
      <c r="G627" t="str">
        <f>IFERROR(VLOOKUP(Logs_Registre[[#This Row],[Cell_ID]],Registre_Maintenance[],2,FALSE),"")</f>
        <v>Kwilu</v>
      </c>
      <c r="H627">
        <f>IFERROR(VLOOKUP(Logs_Registre[[#This Row],[Cell_ID]],Registre_Maintenance[],3,FALSE),"")</f>
        <v>2.4741019999999998</v>
      </c>
      <c r="I627">
        <f>IFERROR(VLOOKUP(Logs_Registre[[#This Row],[Cell_ID]],Registre_Maintenance[],4,FALSE),"")</f>
        <v>29.297391000000001</v>
      </c>
      <c r="J627" t="str">
        <f>IFERROR(VLOOKUP(Logs_Registre[[#This Row],[Cell_ID]],Registre_Maintenance[],5,FALSE),"")</f>
        <v>4G</v>
      </c>
      <c r="K627" t="str">
        <f>IFERROR(VLOOKUP(Logs_Registre[[#This Row],[Cell_ID]],Registre_Maintenance[],6,FALSE),"")</f>
        <v>Ericsson</v>
      </c>
    </row>
    <row r="628" spans="1:11" x14ac:dyDescent="0.25">
      <c r="A628" s="1" t="s">
        <v>1404</v>
      </c>
      <c r="B628" s="1" t="s">
        <v>1414</v>
      </c>
      <c r="C628" s="2">
        <v>45212.720833333333</v>
      </c>
      <c r="D628" s="3">
        <v>45212.720833333333</v>
      </c>
      <c r="E628">
        <v>33</v>
      </c>
      <c r="F628" s="1" t="s">
        <v>737</v>
      </c>
      <c r="G628" t="str">
        <f>IFERROR(VLOOKUP(Logs_Registre[[#This Row],[Cell_ID]],Registre_Maintenance[],2,FALSE),"")</f>
        <v/>
      </c>
      <c r="H628" t="str">
        <f>IFERROR(VLOOKUP(Logs_Registre[[#This Row],[Cell_ID]],Registre_Maintenance[],3,FALSE),"")</f>
        <v/>
      </c>
      <c r="I628" t="str">
        <f>IFERROR(VLOOKUP(Logs_Registre[[#This Row],[Cell_ID]],Registre_Maintenance[],4,FALSE),"")</f>
        <v/>
      </c>
      <c r="J628" t="str">
        <f>IFERROR(VLOOKUP(Logs_Registre[[#This Row],[Cell_ID]],Registre_Maintenance[],5,FALSE),"")</f>
        <v/>
      </c>
      <c r="K628" t="str">
        <f>IFERROR(VLOOKUP(Logs_Registre[[#This Row],[Cell_ID]],Registre_Maintenance[],6,FALSE),"")</f>
        <v/>
      </c>
    </row>
    <row r="629" spans="1:11" x14ac:dyDescent="0.25">
      <c r="A629" s="1" t="s">
        <v>1165</v>
      </c>
      <c r="B629" s="1" t="s">
        <v>1167</v>
      </c>
      <c r="C629" s="2">
        <v>45212.680555555547</v>
      </c>
      <c r="D629" s="3">
        <v>45212.680555555547</v>
      </c>
      <c r="E629">
        <v>63</v>
      </c>
      <c r="F629" s="1" t="s">
        <v>732</v>
      </c>
      <c r="G629" t="str">
        <f>IFERROR(VLOOKUP(Logs_Registre[[#This Row],[Cell_ID]],Registre_Maintenance[],2,FALSE),"")</f>
        <v/>
      </c>
      <c r="H629" t="str">
        <f>IFERROR(VLOOKUP(Logs_Registre[[#This Row],[Cell_ID]],Registre_Maintenance[],3,FALSE),"")</f>
        <v/>
      </c>
      <c r="I629" t="str">
        <f>IFERROR(VLOOKUP(Logs_Registre[[#This Row],[Cell_ID]],Registre_Maintenance[],4,FALSE),"")</f>
        <v/>
      </c>
      <c r="J629" t="str">
        <f>IFERROR(VLOOKUP(Logs_Registre[[#This Row],[Cell_ID]],Registre_Maintenance[],5,FALSE),"")</f>
        <v/>
      </c>
      <c r="K629" t="str">
        <f>IFERROR(VLOOKUP(Logs_Registre[[#This Row],[Cell_ID]],Registre_Maintenance[],6,FALSE),"")</f>
        <v/>
      </c>
    </row>
    <row r="630" spans="1:11" x14ac:dyDescent="0.25">
      <c r="A630" s="1" t="s">
        <v>1059</v>
      </c>
      <c r="B630" s="1" t="s">
        <v>1069</v>
      </c>
      <c r="C630" s="2">
        <v>45212.626388888893</v>
      </c>
      <c r="D630" s="3">
        <v>45212.626388888893</v>
      </c>
      <c r="E630">
        <v>107</v>
      </c>
      <c r="F630" s="1" t="s">
        <v>735</v>
      </c>
      <c r="G630" t="str">
        <f>IFERROR(VLOOKUP(Logs_Registre[[#This Row],[Cell_ID]],Registre_Maintenance[],2,FALSE),"")</f>
        <v/>
      </c>
      <c r="H630" t="str">
        <f>IFERROR(VLOOKUP(Logs_Registre[[#This Row],[Cell_ID]],Registre_Maintenance[],3,FALSE),"")</f>
        <v/>
      </c>
      <c r="I630" t="str">
        <f>IFERROR(VLOOKUP(Logs_Registre[[#This Row],[Cell_ID]],Registre_Maintenance[],4,FALSE),"")</f>
        <v/>
      </c>
      <c r="J630" t="str">
        <f>IFERROR(VLOOKUP(Logs_Registre[[#This Row],[Cell_ID]],Registre_Maintenance[],5,FALSE),"")</f>
        <v/>
      </c>
      <c r="K630" t="str">
        <f>IFERROR(VLOOKUP(Logs_Registre[[#This Row],[Cell_ID]],Registre_Maintenance[],6,FALSE),"")</f>
        <v/>
      </c>
    </row>
    <row r="631" spans="1:11" x14ac:dyDescent="0.25">
      <c r="A631" s="1" t="s">
        <v>939</v>
      </c>
      <c r="B631" s="1" t="s">
        <v>940</v>
      </c>
      <c r="C631" s="2">
        <v>45212.624305555553</v>
      </c>
      <c r="D631" s="3">
        <v>45212.624305555553</v>
      </c>
      <c r="E631">
        <v>113</v>
      </c>
      <c r="F631" s="1" t="s">
        <v>737</v>
      </c>
      <c r="G631" t="str">
        <f>IFERROR(VLOOKUP(Logs_Registre[[#This Row],[Cell_ID]],Registre_Maintenance[],2,FALSE),"")</f>
        <v/>
      </c>
      <c r="H631" t="str">
        <f>IFERROR(VLOOKUP(Logs_Registre[[#This Row],[Cell_ID]],Registre_Maintenance[],3,FALSE),"")</f>
        <v/>
      </c>
      <c r="I631" t="str">
        <f>IFERROR(VLOOKUP(Logs_Registre[[#This Row],[Cell_ID]],Registre_Maintenance[],4,FALSE),"")</f>
        <v/>
      </c>
      <c r="J631" t="str">
        <f>IFERROR(VLOOKUP(Logs_Registre[[#This Row],[Cell_ID]],Registre_Maintenance[],5,FALSE),"")</f>
        <v/>
      </c>
      <c r="K631" t="str">
        <f>IFERROR(VLOOKUP(Logs_Registre[[#This Row],[Cell_ID]],Registre_Maintenance[],6,FALSE),"")</f>
        <v/>
      </c>
    </row>
    <row r="632" spans="1:11" x14ac:dyDescent="0.25">
      <c r="A632" s="1" t="s">
        <v>1219</v>
      </c>
      <c r="B632" s="1" t="s">
        <v>1220</v>
      </c>
      <c r="C632" s="2">
        <v>45212.617361111108</v>
      </c>
      <c r="D632" s="3">
        <v>45212.617361111108</v>
      </c>
      <c r="E632">
        <v>28</v>
      </c>
      <c r="F632" s="1" t="s">
        <v>732</v>
      </c>
      <c r="G632" t="str">
        <f>IFERROR(VLOOKUP(Logs_Registre[[#This Row],[Cell_ID]],Registre_Maintenance[],2,FALSE),"")</f>
        <v/>
      </c>
      <c r="H632" t="str">
        <f>IFERROR(VLOOKUP(Logs_Registre[[#This Row],[Cell_ID]],Registre_Maintenance[],3,FALSE),"")</f>
        <v/>
      </c>
      <c r="I632" t="str">
        <f>IFERROR(VLOOKUP(Logs_Registre[[#This Row],[Cell_ID]],Registre_Maintenance[],4,FALSE),"")</f>
        <v/>
      </c>
      <c r="J632" t="str">
        <f>IFERROR(VLOOKUP(Logs_Registre[[#This Row],[Cell_ID]],Registre_Maintenance[],5,FALSE),"")</f>
        <v/>
      </c>
      <c r="K632" t="str">
        <f>IFERROR(VLOOKUP(Logs_Registre[[#This Row],[Cell_ID]],Registre_Maintenance[],6,FALSE),"")</f>
        <v/>
      </c>
    </row>
    <row r="633" spans="1:11" x14ac:dyDescent="0.25">
      <c r="A633" s="1" t="s">
        <v>978</v>
      </c>
      <c r="B633" s="1" t="s">
        <v>881</v>
      </c>
      <c r="C633" s="2">
        <v>45212.599305555559</v>
      </c>
      <c r="D633" s="3">
        <v>45212.599305555559</v>
      </c>
      <c r="E633">
        <v>58</v>
      </c>
      <c r="F633" s="1" t="s">
        <v>735</v>
      </c>
      <c r="G633" t="str">
        <f>IFERROR(VLOOKUP(Logs_Registre[[#This Row],[Cell_ID]],Registre_Maintenance[],2,FALSE),"")</f>
        <v>Haut-Uele</v>
      </c>
      <c r="H633">
        <f>IFERROR(VLOOKUP(Logs_Registre[[#This Row],[Cell_ID]],Registre_Maintenance[],3,FALSE),"")</f>
        <v>-1.8045979999999999</v>
      </c>
      <c r="I633">
        <f>IFERROR(VLOOKUP(Logs_Registre[[#This Row],[Cell_ID]],Registre_Maintenance[],4,FALSE),"")</f>
        <v>12.511096999999999</v>
      </c>
      <c r="J633" t="str">
        <f>IFERROR(VLOOKUP(Logs_Registre[[#This Row],[Cell_ID]],Registre_Maintenance[],5,FALSE),"")</f>
        <v>3G</v>
      </c>
      <c r="K633" t="str">
        <f>IFERROR(VLOOKUP(Logs_Registre[[#This Row],[Cell_ID]],Registre_Maintenance[],6,FALSE),"")</f>
        <v>Huawei</v>
      </c>
    </row>
    <row r="634" spans="1:11" x14ac:dyDescent="0.25">
      <c r="A634" s="1" t="s">
        <v>1219</v>
      </c>
      <c r="B634" s="1" t="s">
        <v>1239</v>
      </c>
      <c r="C634" s="2">
        <v>45212.568055555559</v>
      </c>
      <c r="D634" s="3">
        <v>45212.568055555559</v>
      </c>
      <c r="E634">
        <v>42</v>
      </c>
      <c r="F634" s="1" t="s">
        <v>735</v>
      </c>
      <c r="G634" t="str">
        <f>IFERROR(VLOOKUP(Logs_Registre[[#This Row],[Cell_ID]],Registre_Maintenance[],2,FALSE),"")</f>
        <v>Kasai-Central</v>
      </c>
      <c r="H634">
        <f>IFERROR(VLOOKUP(Logs_Registre[[#This Row],[Cell_ID]],Registre_Maintenance[],3,FALSE),"")</f>
        <v>-7.3379339999999997</v>
      </c>
      <c r="I634">
        <f>IFERROR(VLOOKUP(Logs_Registre[[#This Row],[Cell_ID]],Registre_Maintenance[],4,FALSE),"")</f>
        <v>28.404001999999998</v>
      </c>
      <c r="J634" t="str">
        <f>IFERROR(VLOOKUP(Logs_Registre[[#This Row],[Cell_ID]],Registre_Maintenance[],5,FALSE),"")</f>
        <v>3G</v>
      </c>
      <c r="K634" t="str">
        <f>IFERROR(VLOOKUP(Logs_Registre[[#This Row],[Cell_ID]],Registre_Maintenance[],6,FALSE),"")</f>
        <v>Nokia</v>
      </c>
    </row>
    <row r="635" spans="1:11" x14ac:dyDescent="0.25">
      <c r="A635" s="1" t="s">
        <v>1361</v>
      </c>
      <c r="B635" s="1" t="s">
        <v>1372</v>
      </c>
      <c r="C635" s="2">
        <v>45212.48541666667</v>
      </c>
      <c r="D635" s="3">
        <v>45212.48541666667</v>
      </c>
      <c r="E635">
        <v>75</v>
      </c>
      <c r="F635" s="1" t="s">
        <v>732</v>
      </c>
      <c r="G635" t="str">
        <f>IFERROR(VLOOKUP(Logs_Registre[[#This Row],[Cell_ID]],Registre_Maintenance[],2,FALSE),"")</f>
        <v/>
      </c>
      <c r="H635" t="str">
        <f>IFERROR(VLOOKUP(Logs_Registre[[#This Row],[Cell_ID]],Registre_Maintenance[],3,FALSE),"")</f>
        <v/>
      </c>
      <c r="I635" t="str">
        <f>IFERROR(VLOOKUP(Logs_Registre[[#This Row],[Cell_ID]],Registre_Maintenance[],4,FALSE),"")</f>
        <v/>
      </c>
      <c r="J635" t="str">
        <f>IFERROR(VLOOKUP(Logs_Registre[[#This Row],[Cell_ID]],Registre_Maintenance[],5,FALSE),"")</f>
        <v/>
      </c>
      <c r="K635" t="str">
        <f>IFERROR(VLOOKUP(Logs_Registre[[#This Row],[Cell_ID]],Registre_Maintenance[],6,FALSE),"")</f>
        <v/>
      </c>
    </row>
    <row r="636" spans="1:11" x14ac:dyDescent="0.25">
      <c r="A636" s="1" t="s">
        <v>1330</v>
      </c>
      <c r="B636" s="1" t="s">
        <v>1226</v>
      </c>
      <c r="C636" s="2">
        <v>45212.447222222218</v>
      </c>
      <c r="D636" s="3">
        <v>45212.447222222218</v>
      </c>
      <c r="E636">
        <v>88</v>
      </c>
      <c r="F636" s="1" t="s">
        <v>735</v>
      </c>
      <c r="G636" t="str">
        <f>IFERROR(VLOOKUP(Logs_Registre[[#This Row],[Cell_ID]],Registre_Maintenance[],2,FALSE),"")</f>
        <v>Kwilu</v>
      </c>
      <c r="H636">
        <f>IFERROR(VLOOKUP(Logs_Registre[[#This Row],[Cell_ID]],Registre_Maintenance[],3,FALSE),"")</f>
        <v>-7.402336</v>
      </c>
      <c r="I636">
        <f>IFERROR(VLOOKUP(Logs_Registre[[#This Row],[Cell_ID]],Registre_Maintenance[],4,FALSE),"")</f>
        <v>27.376697</v>
      </c>
      <c r="J636" t="str">
        <f>IFERROR(VLOOKUP(Logs_Registre[[#This Row],[Cell_ID]],Registre_Maintenance[],5,FALSE),"")</f>
        <v>4G</v>
      </c>
      <c r="K636" t="str">
        <f>IFERROR(VLOOKUP(Logs_Registre[[#This Row],[Cell_ID]],Registre_Maintenance[],6,FALSE),"")</f>
        <v>Huawei</v>
      </c>
    </row>
    <row r="637" spans="1:11" x14ac:dyDescent="0.25">
      <c r="A637" s="1" t="s">
        <v>1193</v>
      </c>
      <c r="B637" s="1" t="s">
        <v>1198</v>
      </c>
      <c r="C637" s="2">
        <v>45212.417361111111</v>
      </c>
      <c r="D637" s="3">
        <v>45212.417361111111</v>
      </c>
      <c r="E637">
        <v>55</v>
      </c>
      <c r="F637" s="1" t="s">
        <v>735</v>
      </c>
      <c r="G637" t="str">
        <f>IFERROR(VLOOKUP(Logs_Registre[[#This Row],[Cell_ID]],Registre_Maintenance[],2,FALSE),"")</f>
        <v/>
      </c>
      <c r="H637" t="str">
        <f>IFERROR(VLOOKUP(Logs_Registre[[#This Row],[Cell_ID]],Registre_Maintenance[],3,FALSE),"")</f>
        <v/>
      </c>
      <c r="I637" t="str">
        <f>IFERROR(VLOOKUP(Logs_Registre[[#This Row],[Cell_ID]],Registre_Maintenance[],4,FALSE),"")</f>
        <v/>
      </c>
      <c r="J637" t="str">
        <f>IFERROR(VLOOKUP(Logs_Registre[[#This Row],[Cell_ID]],Registre_Maintenance[],5,FALSE),"")</f>
        <v/>
      </c>
      <c r="K637" t="str">
        <f>IFERROR(VLOOKUP(Logs_Registre[[#This Row],[Cell_ID]],Registre_Maintenance[],6,FALSE),"")</f>
        <v/>
      </c>
    </row>
    <row r="638" spans="1:11" x14ac:dyDescent="0.25">
      <c r="A638" s="1" t="s">
        <v>1165</v>
      </c>
      <c r="B638" s="1" t="s">
        <v>903</v>
      </c>
      <c r="C638" s="2">
        <v>45212.315972222219</v>
      </c>
      <c r="D638" s="3">
        <v>45212.315972222219</v>
      </c>
      <c r="E638">
        <v>112</v>
      </c>
      <c r="F638" s="1" t="s">
        <v>732</v>
      </c>
      <c r="G638" t="str">
        <f>IFERROR(VLOOKUP(Logs_Registre[[#This Row],[Cell_ID]],Registre_Maintenance[],2,FALSE),"")</f>
        <v/>
      </c>
      <c r="H638" t="str">
        <f>IFERROR(VLOOKUP(Logs_Registre[[#This Row],[Cell_ID]],Registre_Maintenance[],3,FALSE),"")</f>
        <v/>
      </c>
      <c r="I638" t="str">
        <f>IFERROR(VLOOKUP(Logs_Registre[[#This Row],[Cell_ID]],Registre_Maintenance[],4,FALSE),"")</f>
        <v/>
      </c>
      <c r="J638" t="str">
        <f>IFERROR(VLOOKUP(Logs_Registre[[#This Row],[Cell_ID]],Registre_Maintenance[],5,FALSE),"")</f>
        <v/>
      </c>
      <c r="K638" t="str">
        <f>IFERROR(VLOOKUP(Logs_Registre[[#This Row],[Cell_ID]],Registre_Maintenance[],6,FALSE),"")</f>
        <v/>
      </c>
    </row>
    <row r="639" spans="1:11" x14ac:dyDescent="0.25">
      <c r="A639" s="1" t="s">
        <v>1138</v>
      </c>
      <c r="B639" s="1" t="s">
        <v>744</v>
      </c>
      <c r="C639" s="2">
        <v>45212.311111111107</v>
      </c>
      <c r="D639" s="3">
        <v>45212.311111111107</v>
      </c>
      <c r="E639">
        <v>79</v>
      </c>
      <c r="F639" s="1" t="s">
        <v>732</v>
      </c>
      <c r="G639" t="str">
        <f>IFERROR(VLOOKUP(Logs_Registre[[#This Row],[Cell_ID]],Registre_Maintenance[],2,FALSE),"")</f>
        <v>Kwango</v>
      </c>
      <c r="H639">
        <f>IFERROR(VLOOKUP(Logs_Registre[[#This Row],[Cell_ID]],Registre_Maintenance[],3,FALSE),"")</f>
        <v>4.8319039999999998</v>
      </c>
      <c r="I639">
        <f>IFERROR(VLOOKUP(Logs_Registre[[#This Row],[Cell_ID]],Registre_Maintenance[],4,FALSE),"")</f>
        <v>20.733468999999999</v>
      </c>
      <c r="J639" t="str">
        <f>IFERROR(VLOOKUP(Logs_Registre[[#This Row],[Cell_ID]],Registre_Maintenance[],5,FALSE),"")</f>
        <v>5G</v>
      </c>
      <c r="K639" t="str">
        <f>IFERROR(VLOOKUP(Logs_Registre[[#This Row],[Cell_ID]],Registre_Maintenance[],6,FALSE),"")</f>
        <v>Ericsson</v>
      </c>
    </row>
    <row r="640" spans="1:11" x14ac:dyDescent="0.25">
      <c r="A640" s="1" t="s">
        <v>1308</v>
      </c>
      <c r="B640" s="1" t="s">
        <v>1084</v>
      </c>
      <c r="C640" s="2">
        <v>45212.240277777782</v>
      </c>
      <c r="D640" s="3">
        <v>45212.240277777782</v>
      </c>
      <c r="E640">
        <v>54</v>
      </c>
      <c r="F640" s="1" t="s">
        <v>735</v>
      </c>
      <c r="G640" t="str">
        <f>IFERROR(VLOOKUP(Logs_Registre[[#This Row],[Cell_ID]],Registre_Maintenance[],2,FALSE),"")</f>
        <v/>
      </c>
      <c r="H640" t="str">
        <f>IFERROR(VLOOKUP(Logs_Registre[[#This Row],[Cell_ID]],Registre_Maintenance[],3,FALSE),"")</f>
        <v/>
      </c>
      <c r="I640" t="str">
        <f>IFERROR(VLOOKUP(Logs_Registre[[#This Row],[Cell_ID]],Registre_Maintenance[],4,FALSE),"")</f>
        <v/>
      </c>
      <c r="J640" t="str">
        <f>IFERROR(VLOOKUP(Logs_Registre[[#This Row],[Cell_ID]],Registre_Maintenance[],5,FALSE),"")</f>
        <v/>
      </c>
      <c r="K640" t="str">
        <f>IFERROR(VLOOKUP(Logs_Registre[[#This Row],[Cell_ID]],Registre_Maintenance[],6,FALSE),"")</f>
        <v/>
      </c>
    </row>
    <row r="641" spans="1:11" x14ac:dyDescent="0.25">
      <c r="A641" s="1" t="s">
        <v>1330</v>
      </c>
      <c r="B641" s="1" t="s">
        <v>1000</v>
      </c>
      <c r="C641" s="2">
        <v>45212.200694444437</v>
      </c>
      <c r="D641" s="3">
        <v>45212.200694444437</v>
      </c>
      <c r="E641">
        <v>82</v>
      </c>
      <c r="F641" s="1" t="s">
        <v>732</v>
      </c>
      <c r="G641" t="str">
        <f>IFERROR(VLOOKUP(Logs_Registre[[#This Row],[Cell_ID]],Registre_Maintenance[],2,FALSE),"")</f>
        <v/>
      </c>
      <c r="H641" t="str">
        <f>IFERROR(VLOOKUP(Logs_Registre[[#This Row],[Cell_ID]],Registre_Maintenance[],3,FALSE),"")</f>
        <v/>
      </c>
      <c r="I641" t="str">
        <f>IFERROR(VLOOKUP(Logs_Registre[[#This Row],[Cell_ID]],Registre_Maintenance[],4,FALSE),"")</f>
        <v/>
      </c>
      <c r="J641" t="str">
        <f>IFERROR(VLOOKUP(Logs_Registre[[#This Row],[Cell_ID]],Registre_Maintenance[],5,FALSE),"")</f>
        <v/>
      </c>
      <c r="K641" t="str">
        <f>IFERROR(VLOOKUP(Logs_Registre[[#This Row],[Cell_ID]],Registre_Maintenance[],6,FALSE),"")</f>
        <v/>
      </c>
    </row>
    <row r="642" spans="1:11" x14ac:dyDescent="0.25">
      <c r="A642" s="1" t="s">
        <v>1261</v>
      </c>
      <c r="B642" s="1" t="s">
        <v>1280</v>
      </c>
      <c r="C642" s="2">
        <v>45212.174305555563</v>
      </c>
      <c r="D642" s="3">
        <v>45212.174305555563</v>
      </c>
      <c r="E642">
        <v>112</v>
      </c>
      <c r="F642" s="1" t="s">
        <v>737</v>
      </c>
      <c r="G642" t="str">
        <f>IFERROR(VLOOKUP(Logs_Registre[[#This Row],[Cell_ID]],Registre_Maintenance[],2,FALSE),"")</f>
        <v/>
      </c>
      <c r="H642" t="str">
        <f>IFERROR(VLOOKUP(Logs_Registre[[#This Row],[Cell_ID]],Registre_Maintenance[],3,FALSE),"")</f>
        <v/>
      </c>
      <c r="I642" t="str">
        <f>IFERROR(VLOOKUP(Logs_Registre[[#This Row],[Cell_ID]],Registre_Maintenance[],4,FALSE),"")</f>
        <v/>
      </c>
      <c r="J642" t="str">
        <f>IFERROR(VLOOKUP(Logs_Registre[[#This Row],[Cell_ID]],Registre_Maintenance[],5,FALSE),"")</f>
        <v/>
      </c>
      <c r="K642" t="str">
        <f>IFERROR(VLOOKUP(Logs_Registre[[#This Row],[Cell_ID]],Registre_Maintenance[],6,FALSE),"")</f>
        <v/>
      </c>
    </row>
    <row r="643" spans="1:11" x14ac:dyDescent="0.25">
      <c r="A643" s="1" t="s">
        <v>730</v>
      </c>
      <c r="B643" s="1" t="s">
        <v>751</v>
      </c>
      <c r="C643" s="2">
        <v>45212.140277777777</v>
      </c>
      <c r="D643" s="3">
        <v>45212.140277777777</v>
      </c>
      <c r="E643">
        <v>19</v>
      </c>
      <c r="F643" s="1" t="s">
        <v>735</v>
      </c>
      <c r="G643" t="str">
        <f>IFERROR(VLOOKUP(Logs_Registre[[#This Row],[Cell_ID]],Registre_Maintenance[],2,FALSE),"")</f>
        <v>Tanganyika</v>
      </c>
      <c r="H643">
        <f>IFERROR(VLOOKUP(Logs_Registre[[#This Row],[Cell_ID]],Registre_Maintenance[],3,FALSE),"")</f>
        <v>-9.4708620000000003</v>
      </c>
      <c r="I643">
        <f>IFERROR(VLOOKUP(Logs_Registre[[#This Row],[Cell_ID]],Registre_Maintenance[],4,FALSE),"")</f>
        <v>29.234387999999999</v>
      </c>
      <c r="J643" t="str">
        <f>IFERROR(VLOOKUP(Logs_Registre[[#This Row],[Cell_ID]],Registre_Maintenance[],5,FALSE),"")</f>
        <v>3G</v>
      </c>
      <c r="K643" t="str">
        <f>IFERROR(VLOOKUP(Logs_Registre[[#This Row],[Cell_ID]],Registre_Maintenance[],6,FALSE),"")</f>
        <v>ZTE</v>
      </c>
    </row>
    <row r="644" spans="1:11" x14ac:dyDescent="0.25">
      <c r="A644" s="1" t="s">
        <v>1241</v>
      </c>
      <c r="B644" s="1" t="s">
        <v>1052</v>
      </c>
      <c r="C644" s="2">
        <v>45212.115277777782</v>
      </c>
      <c r="D644" s="3">
        <v>45212.115277777782</v>
      </c>
      <c r="E644">
        <v>15</v>
      </c>
      <c r="F644" s="1" t="s">
        <v>735</v>
      </c>
      <c r="G644" t="str">
        <f>IFERROR(VLOOKUP(Logs_Registre[[#This Row],[Cell_ID]],Registre_Maintenance[],2,FALSE),"")</f>
        <v/>
      </c>
      <c r="H644" t="str">
        <f>IFERROR(VLOOKUP(Logs_Registre[[#This Row],[Cell_ID]],Registre_Maintenance[],3,FALSE),"")</f>
        <v/>
      </c>
      <c r="I644" t="str">
        <f>IFERROR(VLOOKUP(Logs_Registre[[#This Row],[Cell_ID]],Registre_Maintenance[],4,FALSE),"")</f>
        <v/>
      </c>
      <c r="J644" t="str">
        <f>IFERROR(VLOOKUP(Logs_Registre[[#This Row],[Cell_ID]],Registre_Maintenance[],5,FALSE),"")</f>
        <v/>
      </c>
      <c r="K644" t="str">
        <f>IFERROR(VLOOKUP(Logs_Registre[[#This Row],[Cell_ID]],Registre_Maintenance[],6,FALSE),"")</f>
        <v/>
      </c>
    </row>
    <row r="645" spans="1:11" x14ac:dyDescent="0.25">
      <c r="A645" s="1" t="s">
        <v>823</v>
      </c>
      <c r="B645" s="1" t="s">
        <v>828</v>
      </c>
      <c r="C645" s="2">
        <v>45211.993055555547</v>
      </c>
      <c r="D645" s="3">
        <v>45211.993055555547</v>
      </c>
      <c r="E645">
        <v>29</v>
      </c>
      <c r="F645" s="1" t="s">
        <v>735</v>
      </c>
      <c r="G645" t="str">
        <f>IFERROR(VLOOKUP(Logs_Registre[[#This Row],[Cell_ID]],Registre_Maintenance[],2,FALSE),"")</f>
        <v/>
      </c>
      <c r="H645" t="str">
        <f>IFERROR(VLOOKUP(Logs_Registre[[#This Row],[Cell_ID]],Registre_Maintenance[],3,FALSE),"")</f>
        <v/>
      </c>
      <c r="I645" t="str">
        <f>IFERROR(VLOOKUP(Logs_Registre[[#This Row],[Cell_ID]],Registre_Maintenance[],4,FALSE),"")</f>
        <v/>
      </c>
      <c r="J645" t="str">
        <f>IFERROR(VLOOKUP(Logs_Registre[[#This Row],[Cell_ID]],Registre_Maintenance[],5,FALSE),"")</f>
        <v/>
      </c>
      <c r="K645" t="str">
        <f>IFERROR(VLOOKUP(Logs_Registre[[#This Row],[Cell_ID]],Registre_Maintenance[],6,FALSE),"")</f>
        <v/>
      </c>
    </row>
    <row r="646" spans="1:11" x14ac:dyDescent="0.25">
      <c r="A646" s="1" t="s">
        <v>1330</v>
      </c>
      <c r="B646" s="1" t="s">
        <v>880</v>
      </c>
      <c r="C646" s="2">
        <v>45211.925000000003</v>
      </c>
      <c r="D646" s="3">
        <v>45211.925000000003</v>
      </c>
      <c r="E646">
        <v>40</v>
      </c>
      <c r="F646" s="1" t="s">
        <v>737</v>
      </c>
      <c r="G646" t="str">
        <f>IFERROR(VLOOKUP(Logs_Registre[[#This Row],[Cell_ID]],Registre_Maintenance[],2,FALSE),"")</f>
        <v/>
      </c>
      <c r="H646" t="str">
        <f>IFERROR(VLOOKUP(Logs_Registre[[#This Row],[Cell_ID]],Registre_Maintenance[],3,FALSE),"")</f>
        <v/>
      </c>
      <c r="I646" t="str">
        <f>IFERROR(VLOOKUP(Logs_Registre[[#This Row],[Cell_ID]],Registre_Maintenance[],4,FALSE),"")</f>
        <v/>
      </c>
      <c r="J646" t="str">
        <f>IFERROR(VLOOKUP(Logs_Registre[[#This Row],[Cell_ID]],Registre_Maintenance[],5,FALSE),"")</f>
        <v/>
      </c>
      <c r="K646" t="str">
        <f>IFERROR(VLOOKUP(Logs_Registre[[#This Row],[Cell_ID]],Registre_Maintenance[],6,FALSE),"")</f>
        <v/>
      </c>
    </row>
    <row r="647" spans="1:11" x14ac:dyDescent="0.25">
      <c r="A647" s="1" t="s">
        <v>999</v>
      </c>
      <c r="B647" s="1" t="s">
        <v>1000</v>
      </c>
      <c r="C647" s="2">
        <v>45211.908333333333</v>
      </c>
      <c r="D647" s="3">
        <v>45211.908333333333</v>
      </c>
      <c r="E647">
        <v>32</v>
      </c>
      <c r="F647" s="1" t="s">
        <v>735</v>
      </c>
      <c r="G647" t="str">
        <f>IFERROR(VLOOKUP(Logs_Registre[[#This Row],[Cell_ID]],Registre_Maintenance[],2,FALSE),"")</f>
        <v/>
      </c>
      <c r="H647" t="str">
        <f>IFERROR(VLOOKUP(Logs_Registre[[#This Row],[Cell_ID]],Registre_Maintenance[],3,FALSE),"")</f>
        <v/>
      </c>
      <c r="I647" t="str">
        <f>IFERROR(VLOOKUP(Logs_Registre[[#This Row],[Cell_ID]],Registre_Maintenance[],4,FALSE),"")</f>
        <v/>
      </c>
      <c r="J647" t="str">
        <f>IFERROR(VLOOKUP(Logs_Registre[[#This Row],[Cell_ID]],Registre_Maintenance[],5,FALSE),"")</f>
        <v/>
      </c>
      <c r="K647" t="str">
        <f>IFERROR(VLOOKUP(Logs_Registre[[#This Row],[Cell_ID]],Registre_Maintenance[],6,FALSE),"")</f>
        <v/>
      </c>
    </row>
    <row r="648" spans="1:11" x14ac:dyDescent="0.25">
      <c r="A648" s="1" t="s">
        <v>1361</v>
      </c>
      <c r="B648" s="1" t="s">
        <v>941</v>
      </c>
      <c r="C648" s="2">
        <v>45211.904861111107</v>
      </c>
      <c r="D648" s="3">
        <v>45211.904861111107</v>
      </c>
      <c r="E648">
        <v>45</v>
      </c>
      <c r="F648" s="1" t="s">
        <v>737</v>
      </c>
      <c r="G648" t="str">
        <f>IFERROR(VLOOKUP(Logs_Registre[[#This Row],[Cell_ID]],Registre_Maintenance[],2,FALSE),"")</f>
        <v>Sud-Ubangi</v>
      </c>
      <c r="H648">
        <f>IFERROR(VLOOKUP(Logs_Registre[[#This Row],[Cell_ID]],Registre_Maintenance[],3,FALSE),"")</f>
        <v>-12.342053999999999</v>
      </c>
      <c r="I648">
        <f>IFERROR(VLOOKUP(Logs_Registre[[#This Row],[Cell_ID]],Registre_Maintenance[],4,FALSE),"")</f>
        <v>18.756862000000002</v>
      </c>
      <c r="J648" t="str">
        <f>IFERROR(VLOOKUP(Logs_Registre[[#This Row],[Cell_ID]],Registre_Maintenance[],5,FALSE),"")</f>
        <v>3G</v>
      </c>
      <c r="K648" t="str">
        <f>IFERROR(VLOOKUP(Logs_Registre[[#This Row],[Cell_ID]],Registre_Maintenance[],6,FALSE),"")</f>
        <v>Ericsson</v>
      </c>
    </row>
    <row r="649" spans="1:11" x14ac:dyDescent="0.25">
      <c r="A649" s="1" t="s">
        <v>1361</v>
      </c>
      <c r="B649" s="1" t="s">
        <v>1139</v>
      </c>
      <c r="C649" s="2">
        <v>45211.888888888891</v>
      </c>
      <c r="D649" s="3">
        <v>45211.888888888891</v>
      </c>
      <c r="E649">
        <v>87</v>
      </c>
      <c r="F649" s="1" t="s">
        <v>735</v>
      </c>
      <c r="G649" t="str">
        <f>IFERROR(VLOOKUP(Logs_Registre[[#This Row],[Cell_ID]],Registre_Maintenance[],2,FALSE),"")</f>
        <v>Haut-Uele</v>
      </c>
      <c r="H649">
        <f>IFERROR(VLOOKUP(Logs_Registre[[#This Row],[Cell_ID]],Registre_Maintenance[],3,FALSE),"")</f>
        <v>-7.1483749999999997</v>
      </c>
      <c r="I649">
        <f>IFERROR(VLOOKUP(Logs_Registre[[#This Row],[Cell_ID]],Registre_Maintenance[],4,FALSE),"")</f>
        <v>26.014271000000001</v>
      </c>
      <c r="J649" t="str">
        <f>IFERROR(VLOOKUP(Logs_Registre[[#This Row],[Cell_ID]],Registre_Maintenance[],5,FALSE),"")</f>
        <v>5G</v>
      </c>
      <c r="K649" t="str">
        <f>IFERROR(VLOOKUP(Logs_Registre[[#This Row],[Cell_ID]],Registre_Maintenance[],6,FALSE),"")</f>
        <v>Huawei</v>
      </c>
    </row>
    <row r="650" spans="1:11" x14ac:dyDescent="0.25">
      <c r="A650" s="1" t="s">
        <v>1086</v>
      </c>
      <c r="B650" s="1" t="s">
        <v>1093</v>
      </c>
      <c r="C650" s="2">
        <v>45211.73333333333</v>
      </c>
      <c r="D650" s="3">
        <v>45211.73333333333</v>
      </c>
      <c r="E650">
        <v>108</v>
      </c>
      <c r="F650" s="1" t="s">
        <v>735</v>
      </c>
      <c r="G650" t="str">
        <f>IFERROR(VLOOKUP(Logs_Registre[[#This Row],[Cell_ID]],Registre_Maintenance[],2,FALSE),"")</f>
        <v/>
      </c>
      <c r="H650" t="str">
        <f>IFERROR(VLOOKUP(Logs_Registre[[#This Row],[Cell_ID]],Registre_Maintenance[],3,FALSE),"")</f>
        <v/>
      </c>
      <c r="I650" t="str">
        <f>IFERROR(VLOOKUP(Logs_Registre[[#This Row],[Cell_ID]],Registre_Maintenance[],4,FALSE),"")</f>
        <v/>
      </c>
      <c r="J650" t="str">
        <f>IFERROR(VLOOKUP(Logs_Registre[[#This Row],[Cell_ID]],Registre_Maintenance[],5,FALSE),"")</f>
        <v/>
      </c>
      <c r="K650" t="str">
        <f>IFERROR(VLOOKUP(Logs_Registre[[#This Row],[Cell_ID]],Registre_Maintenance[],6,FALSE),"")</f>
        <v/>
      </c>
    </row>
    <row r="651" spans="1:11" x14ac:dyDescent="0.25">
      <c r="A651" s="1" t="s">
        <v>1193</v>
      </c>
      <c r="B651" s="1" t="s">
        <v>1042</v>
      </c>
      <c r="C651" s="2">
        <v>45211.724999999999</v>
      </c>
      <c r="D651" s="3">
        <v>45211.724999999999</v>
      </c>
      <c r="E651">
        <v>84</v>
      </c>
      <c r="F651" s="1" t="s">
        <v>737</v>
      </c>
      <c r="G651" t="str">
        <f>IFERROR(VLOOKUP(Logs_Registre[[#This Row],[Cell_ID]],Registre_Maintenance[],2,FALSE),"")</f>
        <v>Sankuru</v>
      </c>
      <c r="H651">
        <f>IFERROR(VLOOKUP(Logs_Registre[[#This Row],[Cell_ID]],Registre_Maintenance[],3,FALSE),"")</f>
        <v>-1.4110389999999999</v>
      </c>
      <c r="I651">
        <f>IFERROR(VLOOKUP(Logs_Registre[[#This Row],[Cell_ID]],Registre_Maintenance[],4,FALSE),"")</f>
        <v>21.261644</v>
      </c>
      <c r="J651" t="str">
        <f>IFERROR(VLOOKUP(Logs_Registre[[#This Row],[Cell_ID]],Registre_Maintenance[],5,FALSE),"")</f>
        <v>4G</v>
      </c>
      <c r="K651" t="str">
        <f>IFERROR(VLOOKUP(Logs_Registre[[#This Row],[Cell_ID]],Registre_Maintenance[],6,FALSE),"")</f>
        <v>ZTE</v>
      </c>
    </row>
    <row r="652" spans="1:11" x14ac:dyDescent="0.25">
      <c r="A652" s="1" t="s">
        <v>1059</v>
      </c>
      <c r="B652" s="1" t="s">
        <v>1075</v>
      </c>
      <c r="C652" s="2">
        <v>45211.722916666673</v>
      </c>
      <c r="D652" s="3">
        <v>45211.722916666673</v>
      </c>
      <c r="E652">
        <v>28</v>
      </c>
      <c r="F652" s="1" t="s">
        <v>732</v>
      </c>
      <c r="G652" t="str">
        <f>IFERROR(VLOOKUP(Logs_Registre[[#This Row],[Cell_ID]],Registre_Maintenance[],2,FALSE),"")</f>
        <v>Haut-Uele</v>
      </c>
      <c r="H652">
        <f>IFERROR(VLOOKUP(Logs_Registre[[#This Row],[Cell_ID]],Registre_Maintenance[],3,FALSE),"")</f>
        <v>-6.9624990000000002</v>
      </c>
      <c r="I652">
        <f>IFERROR(VLOOKUP(Logs_Registre[[#This Row],[Cell_ID]],Registre_Maintenance[],4,FALSE),"")</f>
        <v>20.759834999999999</v>
      </c>
      <c r="J652" t="str">
        <f>IFERROR(VLOOKUP(Logs_Registre[[#This Row],[Cell_ID]],Registre_Maintenance[],5,FALSE),"")</f>
        <v>4G</v>
      </c>
      <c r="K652" t="str">
        <f>IFERROR(VLOOKUP(Logs_Registre[[#This Row],[Cell_ID]],Registre_Maintenance[],6,FALSE),"")</f>
        <v>Huawei</v>
      </c>
    </row>
    <row r="653" spans="1:11" x14ac:dyDescent="0.25">
      <c r="A653" s="1" t="s">
        <v>1193</v>
      </c>
      <c r="B653" s="1" t="s">
        <v>1211</v>
      </c>
      <c r="C653" s="2">
        <v>45211.711805555547</v>
      </c>
      <c r="D653" s="3">
        <v>45211.711805555547</v>
      </c>
      <c r="E653">
        <v>82</v>
      </c>
      <c r="F653" s="1" t="s">
        <v>735</v>
      </c>
      <c r="G653" t="str">
        <f>IFERROR(VLOOKUP(Logs_Registre[[#This Row],[Cell_ID]],Registre_Maintenance[],2,FALSE),"")</f>
        <v/>
      </c>
      <c r="H653" t="str">
        <f>IFERROR(VLOOKUP(Logs_Registre[[#This Row],[Cell_ID]],Registre_Maintenance[],3,FALSE),"")</f>
        <v/>
      </c>
      <c r="I653" t="str">
        <f>IFERROR(VLOOKUP(Logs_Registre[[#This Row],[Cell_ID]],Registre_Maintenance[],4,FALSE),"")</f>
        <v/>
      </c>
      <c r="J653" t="str">
        <f>IFERROR(VLOOKUP(Logs_Registre[[#This Row],[Cell_ID]],Registre_Maintenance[],5,FALSE),"")</f>
        <v/>
      </c>
      <c r="K653" t="str">
        <f>IFERROR(VLOOKUP(Logs_Registre[[#This Row],[Cell_ID]],Registre_Maintenance[],6,FALSE),"")</f>
        <v/>
      </c>
    </row>
    <row r="654" spans="1:11" x14ac:dyDescent="0.25">
      <c r="A654" s="1" t="s">
        <v>1086</v>
      </c>
      <c r="B654" s="1" t="s">
        <v>1105</v>
      </c>
      <c r="C654" s="2">
        <v>45211.706250000003</v>
      </c>
      <c r="D654" s="3">
        <v>45211.706250000003</v>
      </c>
      <c r="E654">
        <v>115</v>
      </c>
      <c r="F654" s="1" t="s">
        <v>737</v>
      </c>
      <c r="G654" t="str">
        <f>IFERROR(VLOOKUP(Logs_Registre[[#This Row],[Cell_ID]],Registre_Maintenance[],2,FALSE),"")</f>
        <v/>
      </c>
      <c r="H654" t="str">
        <f>IFERROR(VLOOKUP(Logs_Registre[[#This Row],[Cell_ID]],Registre_Maintenance[],3,FALSE),"")</f>
        <v/>
      </c>
      <c r="I654" t="str">
        <f>IFERROR(VLOOKUP(Logs_Registre[[#This Row],[Cell_ID]],Registre_Maintenance[],4,FALSE),"")</f>
        <v/>
      </c>
      <c r="J654" t="str">
        <f>IFERROR(VLOOKUP(Logs_Registre[[#This Row],[Cell_ID]],Registre_Maintenance[],5,FALSE),"")</f>
        <v/>
      </c>
      <c r="K654" t="str">
        <f>IFERROR(VLOOKUP(Logs_Registre[[#This Row],[Cell_ID]],Registre_Maintenance[],6,FALSE),"")</f>
        <v/>
      </c>
    </row>
    <row r="655" spans="1:11" x14ac:dyDescent="0.25">
      <c r="A655" s="1" t="s">
        <v>1165</v>
      </c>
      <c r="B655" s="1" t="s">
        <v>1183</v>
      </c>
      <c r="C655" s="2">
        <v>45211.705555555563</v>
      </c>
      <c r="D655" s="3">
        <v>45211.705555555563</v>
      </c>
      <c r="E655">
        <v>95</v>
      </c>
      <c r="F655" s="1" t="s">
        <v>735</v>
      </c>
      <c r="G655" t="str">
        <f>IFERROR(VLOOKUP(Logs_Registre[[#This Row],[Cell_ID]],Registre_Maintenance[],2,FALSE),"")</f>
        <v/>
      </c>
      <c r="H655" t="str">
        <f>IFERROR(VLOOKUP(Logs_Registre[[#This Row],[Cell_ID]],Registre_Maintenance[],3,FALSE),"")</f>
        <v/>
      </c>
      <c r="I655" t="str">
        <f>IFERROR(VLOOKUP(Logs_Registre[[#This Row],[Cell_ID]],Registre_Maintenance[],4,FALSE),"")</f>
        <v/>
      </c>
      <c r="J655" t="str">
        <f>IFERROR(VLOOKUP(Logs_Registre[[#This Row],[Cell_ID]],Registre_Maintenance[],5,FALSE),"")</f>
        <v/>
      </c>
      <c r="K655" t="str">
        <f>IFERROR(VLOOKUP(Logs_Registre[[#This Row],[Cell_ID]],Registre_Maintenance[],6,FALSE),"")</f>
        <v/>
      </c>
    </row>
    <row r="656" spans="1:11" x14ac:dyDescent="0.25">
      <c r="A656" s="1" t="s">
        <v>1086</v>
      </c>
      <c r="B656" s="1" t="s">
        <v>1094</v>
      </c>
      <c r="C656" s="2">
        <v>45211.618750000001</v>
      </c>
      <c r="D656" s="3">
        <v>45211.618750000001</v>
      </c>
      <c r="E656">
        <v>92</v>
      </c>
      <c r="F656" s="1" t="s">
        <v>732</v>
      </c>
      <c r="G656" t="str">
        <f>IFERROR(VLOOKUP(Logs_Registre[[#This Row],[Cell_ID]],Registre_Maintenance[],2,FALSE),"")</f>
        <v/>
      </c>
      <c r="H656" t="str">
        <f>IFERROR(VLOOKUP(Logs_Registre[[#This Row],[Cell_ID]],Registre_Maintenance[],3,FALSE),"")</f>
        <v/>
      </c>
      <c r="I656" t="str">
        <f>IFERROR(VLOOKUP(Logs_Registre[[#This Row],[Cell_ID]],Registre_Maintenance[],4,FALSE),"")</f>
        <v/>
      </c>
      <c r="J656" t="str">
        <f>IFERROR(VLOOKUP(Logs_Registre[[#This Row],[Cell_ID]],Registre_Maintenance[],5,FALSE),"")</f>
        <v/>
      </c>
      <c r="K656" t="str">
        <f>IFERROR(VLOOKUP(Logs_Registre[[#This Row],[Cell_ID]],Registre_Maintenance[],6,FALSE),"")</f>
        <v/>
      </c>
    </row>
    <row r="657" spans="1:11" x14ac:dyDescent="0.25">
      <c r="A657" s="1" t="s">
        <v>1361</v>
      </c>
      <c r="B657" s="1" t="s">
        <v>813</v>
      </c>
      <c r="C657" s="2">
        <v>45211.61041666667</v>
      </c>
      <c r="D657" s="3">
        <v>45211.61041666667</v>
      </c>
      <c r="E657">
        <v>114</v>
      </c>
      <c r="F657" s="1" t="s">
        <v>732</v>
      </c>
      <c r="G657" t="str">
        <f>IFERROR(VLOOKUP(Logs_Registre[[#This Row],[Cell_ID]],Registre_Maintenance[],2,FALSE),"")</f>
        <v/>
      </c>
      <c r="H657" t="str">
        <f>IFERROR(VLOOKUP(Logs_Registre[[#This Row],[Cell_ID]],Registre_Maintenance[],3,FALSE),"")</f>
        <v/>
      </c>
      <c r="I657" t="str">
        <f>IFERROR(VLOOKUP(Logs_Registre[[#This Row],[Cell_ID]],Registre_Maintenance[],4,FALSE),"")</f>
        <v/>
      </c>
      <c r="J657" t="str">
        <f>IFERROR(VLOOKUP(Logs_Registre[[#This Row],[Cell_ID]],Registre_Maintenance[],5,FALSE),"")</f>
        <v/>
      </c>
      <c r="K657" t="str">
        <f>IFERROR(VLOOKUP(Logs_Registre[[#This Row],[Cell_ID]],Registre_Maintenance[],6,FALSE),"")</f>
        <v/>
      </c>
    </row>
    <row r="658" spans="1:11" x14ac:dyDescent="0.25">
      <c r="A658" s="1" t="s">
        <v>1382</v>
      </c>
      <c r="B658" s="1" t="s">
        <v>1400</v>
      </c>
      <c r="C658" s="2">
        <v>45211.587500000001</v>
      </c>
      <c r="D658" s="3">
        <v>45211.587500000001</v>
      </c>
      <c r="E658">
        <v>27</v>
      </c>
      <c r="F658" s="1" t="s">
        <v>737</v>
      </c>
      <c r="G658" t="str">
        <f>IFERROR(VLOOKUP(Logs_Registre[[#This Row],[Cell_ID]],Registre_Maintenance[],2,FALSE),"")</f>
        <v>Equateur</v>
      </c>
      <c r="H658">
        <f>IFERROR(VLOOKUP(Logs_Registre[[#This Row],[Cell_ID]],Registre_Maintenance[],3,FALSE),"")</f>
        <v>-7.8215969999999997</v>
      </c>
      <c r="I658">
        <f>IFERROR(VLOOKUP(Logs_Registre[[#This Row],[Cell_ID]],Registre_Maintenance[],4,FALSE),"")</f>
        <v>26.797349000000001</v>
      </c>
      <c r="J658" t="str">
        <f>IFERROR(VLOOKUP(Logs_Registre[[#This Row],[Cell_ID]],Registre_Maintenance[],5,FALSE),"")</f>
        <v>3G</v>
      </c>
      <c r="K658" t="str">
        <f>IFERROR(VLOOKUP(Logs_Registre[[#This Row],[Cell_ID]],Registre_Maintenance[],6,FALSE),"")</f>
        <v>Ericsson</v>
      </c>
    </row>
    <row r="659" spans="1:11" x14ac:dyDescent="0.25">
      <c r="A659" s="1" t="s">
        <v>779</v>
      </c>
      <c r="B659" s="1" t="s">
        <v>766</v>
      </c>
      <c r="C659" s="2">
        <v>45211.55972222222</v>
      </c>
      <c r="D659" s="3">
        <v>45211.55972222222</v>
      </c>
      <c r="E659">
        <v>69</v>
      </c>
      <c r="F659" s="1" t="s">
        <v>735</v>
      </c>
      <c r="G659" t="str">
        <f>IFERROR(VLOOKUP(Logs_Registre[[#This Row],[Cell_ID]],Registre_Maintenance[],2,FALSE),"")</f>
        <v/>
      </c>
      <c r="H659" t="str">
        <f>IFERROR(VLOOKUP(Logs_Registre[[#This Row],[Cell_ID]],Registre_Maintenance[],3,FALSE),"")</f>
        <v/>
      </c>
      <c r="I659" t="str">
        <f>IFERROR(VLOOKUP(Logs_Registre[[#This Row],[Cell_ID]],Registre_Maintenance[],4,FALSE),"")</f>
        <v/>
      </c>
      <c r="J659" t="str">
        <f>IFERROR(VLOOKUP(Logs_Registre[[#This Row],[Cell_ID]],Registre_Maintenance[],5,FALSE),"")</f>
        <v/>
      </c>
      <c r="K659" t="str">
        <f>IFERROR(VLOOKUP(Logs_Registre[[#This Row],[Cell_ID]],Registre_Maintenance[],6,FALSE),"")</f>
        <v/>
      </c>
    </row>
    <row r="660" spans="1:11" x14ac:dyDescent="0.25">
      <c r="A660" s="1" t="s">
        <v>999</v>
      </c>
      <c r="B660" s="1" t="s">
        <v>794</v>
      </c>
      <c r="C660" s="2">
        <v>45211.546527777777</v>
      </c>
      <c r="D660" s="3">
        <v>45211.546527777777</v>
      </c>
      <c r="E660">
        <v>115</v>
      </c>
      <c r="F660" s="1" t="s">
        <v>732</v>
      </c>
      <c r="G660" t="str">
        <f>IFERROR(VLOOKUP(Logs_Registre[[#This Row],[Cell_ID]],Registre_Maintenance[],2,FALSE),"")</f>
        <v/>
      </c>
      <c r="H660" t="str">
        <f>IFERROR(VLOOKUP(Logs_Registre[[#This Row],[Cell_ID]],Registre_Maintenance[],3,FALSE),"")</f>
        <v/>
      </c>
      <c r="I660" t="str">
        <f>IFERROR(VLOOKUP(Logs_Registre[[#This Row],[Cell_ID]],Registre_Maintenance[],4,FALSE),"")</f>
        <v/>
      </c>
      <c r="J660" t="str">
        <f>IFERROR(VLOOKUP(Logs_Registre[[#This Row],[Cell_ID]],Registre_Maintenance[],5,FALSE),"")</f>
        <v/>
      </c>
      <c r="K660" t="str">
        <f>IFERROR(VLOOKUP(Logs_Registre[[#This Row],[Cell_ID]],Registre_Maintenance[],6,FALSE),"")</f>
        <v/>
      </c>
    </row>
    <row r="661" spans="1:11" x14ac:dyDescent="0.25">
      <c r="A661" s="1" t="s">
        <v>1219</v>
      </c>
      <c r="B661" s="1" t="s">
        <v>848</v>
      </c>
      <c r="C661" s="2">
        <v>45211.495833333327</v>
      </c>
      <c r="D661" s="3">
        <v>45211.495833333327</v>
      </c>
      <c r="E661">
        <v>61</v>
      </c>
      <c r="F661" s="1" t="s">
        <v>735</v>
      </c>
      <c r="G661" t="str">
        <f>IFERROR(VLOOKUP(Logs_Registre[[#This Row],[Cell_ID]],Registre_Maintenance[],2,FALSE),"")</f>
        <v/>
      </c>
      <c r="H661" t="str">
        <f>IFERROR(VLOOKUP(Logs_Registre[[#This Row],[Cell_ID]],Registre_Maintenance[],3,FALSE),"")</f>
        <v/>
      </c>
      <c r="I661" t="str">
        <f>IFERROR(VLOOKUP(Logs_Registre[[#This Row],[Cell_ID]],Registre_Maintenance[],4,FALSE),"")</f>
        <v/>
      </c>
      <c r="J661" t="str">
        <f>IFERROR(VLOOKUP(Logs_Registre[[#This Row],[Cell_ID]],Registre_Maintenance[],5,FALSE),"")</f>
        <v/>
      </c>
      <c r="K661" t="str">
        <f>IFERROR(VLOOKUP(Logs_Registre[[#This Row],[Cell_ID]],Registre_Maintenance[],6,FALSE),"")</f>
        <v/>
      </c>
    </row>
    <row r="662" spans="1:11" x14ac:dyDescent="0.25">
      <c r="A662" s="1" t="s">
        <v>939</v>
      </c>
      <c r="B662" s="1" t="s">
        <v>758</v>
      </c>
      <c r="C662" s="2">
        <v>45211.477083333331</v>
      </c>
      <c r="D662" s="3">
        <v>45211.477083333331</v>
      </c>
      <c r="E662">
        <v>111</v>
      </c>
      <c r="F662" s="1" t="s">
        <v>732</v>
      </c>
      <c r="G662" t="str">
        <f>IFERROR(VLOOKUP(Logs_Registre[[#This Row],[Cell_ID]],Registre_Maintenance[],2,FALSE),"")</f>
        <v>Nord-Kivu</v>
      </c>
      <c r="H662">
        <f>IFERROR(VLOOKUP(Logs_Registre[[#This Row],[Cell_ID]],Registre_Maintenance[],3,FALSE),"")</f>
        <v>4.6287159999999998</v>
      </c>
      <c r="I662">
        <f>IFERROR(VLOOKUP(Logs_Registre[[#This Row],[Cell_ID]],Registre_Maintenance[],4,FALSE),"")</f>
        <v>19.407077999999998</v>
      </c>
      <c r="J662" t="str">
        <f>IFERROR(VLOOKUP(Logs_Registre[[#This Row],[Cell_ID]],Registre_Maintenance[],5,FALSE),"")</f>
        <v>4G</v>
      </c>
      <c r="K662" t="str">
        <f>IFERROR(VLOOKUP(Logs_Registre[[#This Row],[Cell_ID]],Registre_Maintenance[],6,FALSE),"")</f>
        <v>Ericsson</v>
      </c>
    </row>
    <row r="663" spans="1:11" x14ac:dyDescent="0.25">
      <c r="A663" s="1" t="s">
        <v>1219</v>
      </c>
      <c r="B663" s="1" t="s">
        <v>898</v>
      </c>
      <c r="C663" s="2">
        <v>45211.425000000003</v>
      </c>
      <c r="D663" s="3">
        <v>45211.425000000003</v>
      </c>
      <c r="E663">
        <v>57</v>
      </c>
      <c r="F663" s="1" t="s">
        <v>735</v>
      </c>
      <c r="G663" t="str">
        <f>IFERROR(VLOOKUP(Logs_Registre[[#This Row],[Cell_ID]],Registre_Maintenance[],2,FALSE),"")</f>
        <v>Tshopo</v>
      </c>
      <c r="H663">
        <f>IFERROR(VLOOKUP(Logs_Registre[[#This Row],[Cell_ID]],Registre_Maintenance[],3,FALSE),"")</f>
        <v>-4.5603610000000003</v>
      </c>
      <c r="I663">
        <f>IFERROR(VLOOKUP(Logs_Registre[[#This Row],[Cell_ID]],Registre_Maintenance[],4,FALSE),"")</f>
        <v>24.113918999999999</v>
      </c>
      <c r="J663" t="str">
        <f>IFERROR(VLOOKUP(Logs_Registre[[#This Row],[Cell_ID]],Registre_Maintenance[],5,FALSE),"")</f>
        <v>5G</v>
      </c>
      <c r="K663" t="str">
        <f>IFERROR(VLOOKUP(Logs_Registre[[#This Row],[Cell_ID]],Registre_Maintenance[],6,FALSE),"")</f>
        <v>ZTE</v>
      </c>
    </row>
    <row r="664" spans="1:11" x14ac:dyDescent="0.25">
      <c r="A664" s="1" t="s">
        <v>1361</v>
      </c>
      <c r="B664" s="1" t="s">
        <v>927</v>
      </c>
      <c r="C664" s="2">
        <v>45211.424305555563</v>
      </c>
      <c r="D664" s="3">
        <v>45211.424305555563</v>
      </c>
      <c r="E664">
        <v>116</v>
      </c>
      <c r="F664" s="1" t="s">
        <v>735</v>
      </c>
      <c r="G664" t="str">
        <f>IFERROR(VLOOKUP(Logs_Registre[[#This Row],[Cell_ID]],Registre_Maintenance[],2,FALSE),"")</f>
        <v>Nord-Kivu</v>
      </c>
      <c r="H664">
        <f>IFERROR(VLOOKUP(Logs_Registre[[#This Row],[Cell_ID]],Registre_Maintenance[],3,FALSE),"")</f>
        <v>-1.8555980000000001</v>
      </c>
      <c r="I664">
        <f>IFERROR(VLOOKUP(Logs_Registre[[#This Row],[Cell_ID]],Registre_Maintenance[],4,FALSE),"")</f>
        <v>30.421918000000002</v>
      </c>
      <c r="J664" t="str">
        <f>IFERROR(VLOOKUP(Logs_Registre[[#This Row],[Cell_ID]],Registre_Maintenance[],5,FALSE),"")</f>
        <v>3G</v>
      </c>
      <c r="K664" t="str">
        <f>IFERROR(VLOOKUP(Logs_Registre[[#This Row],[Cell_ID]],Registre_Maintenance[],6,FALSE),"")</f>
        <v>ZTE</v>
      </c>
    </row>
    <row r="665" spans="1:11" x14ac:dyDescent="0.25">
      <c r="A665" s="1" t="s">
        <v>1219</v>
      </c>
      <c r="B665" s="1" t="s">
        <v>1224</v>
      </c>
      <c r="C665" s="2">
        <v>45211.38958333333</v>
      </c>
      <c r="D665" s="3">
        <v>45211.38958333333</v>
      </c>
      <c r="E665">
        <v>76</v>
      </c>
      <c r="F665" s="1" t="s">
        <v>735</v>
      </c>
      <c r="G665" t="str">
        <f>IFERROR(VLOOKUP(Logs_Registre[[#This Row],[Cell_ID]],Registre_Maintenance[],2,FALSE),"")</f>
        <v/>
      </c>
      <c r="H665" t="str">
        <f>IFERROR(VLOOKUP(Logs_Registre[[#This Row],[Cell_ID]],Registre_Maintenance[],3,FALSE),"")</f>
        <v/>
      </c>
      <c r="I665" t="str">
        <f>IFERROR(VLOOKUP(Logs_Registre[[#This Row],[Cell_ID]],Registre_Maintenance[],4,FALSE),"")</f>
        <v/>
      </c>
      <c r="J665" t="str">
        <f>IFERROR(VLOOKUP(Logs_Registre[[#This Row],[Cell_ID]],Registre_Maintenance[],5,FALSE),"")</f>
        <v/>
      </c>
      <c r="K665" t="str">
        <f>IFERROR(VLOOKUP(Logs_Registre[[#This Row],[Cell_ID]],Registre_Maintenance[],6,FALSE),"")</f>
        <v/>
      </c>
    </row>
    <row r="666" spans="1:11" x14ac:dyDescent="0.25">
      <c r="A666" s="1" t="s">
        <v>1165</v>
      </c>
      <c r="B666" s="1" t="s">
        <v>926</v>
      </c>
      <c r="C666" s="2">
        <v>45211.386111111111</v>
      </c>
      <c r="D666" s="3">
        <v>45211.386111111111</v>
      </c>
      <c r="E666">
        <v>13</v>
      </c>
      <c r="F666" s="1" t="s">
        <v>735</v>
      </c>
      <c r="G666" t="str">
        <f>IFERROR(VLOOKUP(Logs_Registre[[#This Row],[Cell_ID]],Registre_Maintenance[],2,FALSE),"")</f>
        <v/>
      </c>
      <c r="H666" t="str">
        <f>IFERROR(VLOOKUP(Logs_Registre[[#This Row],[Cell_ID]],Registre_Maintenance[],3,FALSE),"")</f>
        <v/>
      </c>
      <c r="I666" t="str">
        <f>IFERROR(VLOOKUP(Logs_Registre[[#This Row],[Cell_ID]],Registre_Maintenance[],4,FALSE),"")</f>
        <v/>
      </c>
      <c r="J666" t="str">
        <f>IFERROR(VLOOKUP(Logs_Registre[[#This Row],[Cell_ID]],Registre_Maintenance[],5,FALSE),"")</f>
        <v/>
      </c>
      <c r="K666" t="str">
        <f>IFERROR(VLOOKUP(Logs_Registre[[#This Row],[Cell_ID]],Registre_Maintenance[],6,FALSE),"")</f>
        <v/>
      </c>
    </row>
    <row r="667" spans="1:11" x14ac:dyDescent="0.25">
      <c r="A667" s="1" t="s">
        <v>1024</v>
      </c>
      <c r="B667" s="1" t="s">
        <v>787</v>
      </c>
      <c r="C667" s="2">
        <v>45211.382638888892</v>
      </c>
      <c r="D667" s="3">
        <v>45211.382638888892</v>
      </c>
      <c r="E667">
        <v>105</v>
      </c>
      <c r="F667" s="1" t="s">
        <v>732</v>
      </c>
      <c r="G667" t="str">
        <f>IFERROR(VLOOKUP(Logs_Registre[[#This Row],[Cell_ID]],Registre_Maintenance[],2,FALSE),"")</f>
        <v/>
      </c>
      <c r="H667" t="str">
        <f>IFERROR(VLOOKUP(Logs_Registre[[#This Row],[Cell_ID]],Registre_Maintenance[],3,FALSE),"")</f>
        <v/>
      </c>
      <c r="I667" t="str">
        <f>IFERROR(VLOOKUP(Logs_Registre[[#This Row],[Cell_ID]],Registre_Maintenance[],4,FALSE),"")</f>
        <v/>
      </c>
      <c r="J667" t="str">
        <f>IFERROR(VLOOKUP(Logs_Registre[[#This Row],[Cell_ID]],Registre_Maintenance[],5,FALSE),"")</f>
        <v/>
      </c>
      <c r="K667" t="str">
        <f>IFERROR(VLOOKUP(Logs_Registre[[#This Row],[Cell_ID]],Registre_Maintenance[],6,FALSE),"")</f>
        <v/>
      </c>
    </row>
    <row r="668" spans="1:11" x14ac:dyDescent="0.25">
      <c r="A668" s="1" t="s">
        <v>1345</v>
      </c>
      <c r="B668" s="1" t="s">
        <v>1359</v>
      </c>
      <c r="C668" s="2">
        <v>45211.380555555559</v>
      </c>
      <c r="D668" s="3">
        <v>45211.380555555559</v>
      </c>
      <c r="E668">
        <v>84</v>
      </c>
      <c r="F668" s="1" t="s">
        <v>732</v>
      </c>
      <c r="G668" t="str">
        <f>IFERROR(VLOOKUP(Logs_Registre[[#This Row],[Cell_ID]],Registre_Maintenance[],2,FALSE),"")</f>
        <v/>
      </c>
      <c r="H668" t="str">
        <f>IFERROR(VLOOKUP(Logs_Registre[[#This Row],[Cell_ID]],Registre_Maintenance[],3,FALSE),"")</f>
        <v/>
      </c>
      <c r="I668" t="str">
        <f>IFERROR(VLOOKUP(Logs_Registre[[#This Row],[Cell_ID]],Registre_Maintenance[],4,FALSE),"")</f>
        <v/>
      </c>
      <c r="J668" t="str">
        <f>IFERROR(VLOOKUP(Logs_Registre[[#This Row],[Cell_ID]],Registre_Maintenance[],5,FALSE),"")</f>
        <v/>
      </c>
      <c r="K668" t="str">
        <f>IFERROR(VLOOKUP(Logs_Registre[[#This Row],[Cell_ID]],Registre_Maintenance[],6,FALSE),"")</f>
        <v/>
      </c>
    </row>
    <row r="669" spans="1:11" x14ac:dyDescent="0.25">
      <c r="A669" s="1" t="s">
        <v>1308</v>
      </c>
      <c r="B669" s="1" t="s">
        <v>896</v>
      </c>
      <c r="C669" s="2">
        <v>45211.368055555547</v>
      </c>
      <c r="D669" s="3">
        <v>45211.368055555547</v>
      </c>
      <c r="E669">
        <v>15</v>
      </c>
      <c r="F669" s="1" t="s">
        <v>735</v>
      </c>
      <c r="G669" t="str">
        <f>IFERROR(VLOOKUP(Logs_Registre[[#This Row],[Cell_ID]],Registre_Maintenance[],2,FALSE),"")</f>
        <v/>
      </c>
      <c r="H669" t="str">
        <f>IFERROR(VLOOKUP(Logs_Registre[[#This Row],[Cell_ID]],Registre_Maintenance[],3,FALSE),"")</f>
        <v/>
      </c>
      <c r="I669" t="str">
        <f>IFERROR(VLOOKUP(Logs_Registre[[#This Row],[Cell_ID]],Registre_Maintenance[],4,FALSE),"")</f>
        <v/>
      </c>
      <c r="J669" t="str">
        <f>IFERROR(VLOOKUP(Logs_Registre[[#This Row],[Cell_ID]],Registre_Maintenance[],5,FALSE),"")</f>
        <v/>
      </c>
      <c r="K669" t="str">
        <f>IFERROR(VLOOKUP(Logs_Registre[[#This Row],[Cell_ID]],Registre_Maintenance[],6,FALSE),"")</f>
        <v/>
      </c>
    </row>
    <row r="670" spans="1:11" x14ac:dyDescent="0.25">
      <c r="A670" s="1" t="s">
        <v>1193</v>
      </c>
      <c r="B670" s="1" t="s">
        <v>1207</v>
      </c>
      <c r="C670" s="2">
        <v>45211.337500000001</v>
      </c>
      <c r="D670" s="3">
        <v>45211.337500000001</v>
      </c>
      <c r="E670">
        <v>88</v>
      </c>
      <c r="F670" s="1" t="s">
        <v>735</v>
      </c>
      <c r="G670" t="str">
        <f>IFERROR(VLOOKUP(Logs_Registre[[#This Row],[Cell_ID]],Registre_Maintenance[],2,FALSE),"")</f>
        <v>Ituri</v>
      </c>
      <c r="H670">
        <f>IFERROR(VLOOKUP(Logs_Registre[[#This Row],[Cell_ID]],Registre_Maintenance[],3,FALSE),"")</f>
        <v>-12.364127999999999</v>
      </c>
      <c r="I670">
        <f>IFERROR(VLOOKUP(Logs_Registre[[#This Row],[Cell_ID]],Registre_Maintenance[],4,FALSE),"")</f>
        <v>19.576150999999999</v>
      </c>
      <c r="J670" t="str">
        <f>IFERROR(VLOOKUP(Logs_Registre[[#This Row],[Cell_ID]],Registre_Maintenance[],5,FALSE),"")</f>
        <v>3G</v>
      </c>
      <c r="K670" t="str">
        <f>IFERROR(VLOOKUP(Logs_Registre[[#This Row],[Cell_ID]],Registre_Maintenance[],6,FALSE),"")</f>
        <v>Nokia</v>
      </c>
    </row>
    <row r="671" spans="1:11" x14ac:dyDescent="0.25">
      <c r="A671" s="1" t="s">
        <v>1345</v>
      </c>
      <c r="B671" s="1" t="s">
        <v>1346</v>
      </c>
      <c r="C671" s="2">
        <v>45211.324305555558</v>
      </c>
      <c r="D671" s="3">
        <v>45211.324305555558</v>
      </c>
      <c r="E671">
        <v>120</v>
      </c>
      <c r="F671" s="1" t="s">
        <v>737</v>
      </c>
      <c r="G671" t="str">
        <f>IFERROR(VLOOKUP(Logs_Registre[[#This Row],[Cell_ID]],Registre_Maintenance[],2,FALSE),"")</f>
        <v/>
      </c>
      <c r="H671" t="str">
        <f>IFERROR(VLOOKUP(Logs_Registre[[#This Row],[Cell_ID]],Registre_Maintenance[],3,FALSE),"")</f>
        <v/>
      </c>
      <c r="I671" t="str">
        <f>IFERROR(VLOOKUP(Logs_Registre[[#This Row],[Cell_ID]],Registre_Maintenance[],4,FALSE),"")</f>
        <v/>
      </c>
      <c r="J671" t="str">
        <f>IFERROR(VLOOKUP(Logs_Registre[[#This Row],[Cell_ID]],Registre_Maintenance[],5,FALSE),"")</f>
        <v/>
      </c>
      <c r="K671" t="str">
        <f>IFERROR(VLOOKUP(Logs_Registre[[#This Row],[Cell_ID]],Registre_Maintenance[],6,FALSE),"")</f>
        <v/>
      </c>
    </row>
    <row r="672" spans="1:11" x14ac:dyDescent="0.25">
      <c r="A672" s="1" t="s">
        <v>1059</v>
      </c>
      <c r="B672" s="1" t="s">
        <v>1066</v>
      </c>
      <c r="C672" s="2">
        <v>45211.316666666673</v>
      </c>
      <c r="D672" s="3">
        <v>45211.316666666673</v>
      </c>
      <c r="E672">
        <v>93</v>
      </c>
      <c r="F672" s="1" t="s">
        <v>737</v>
      </c>
      <c r="G672" t="str">
        <f>IFERROR(VLOOKUP(Logs_Registre[[#This Row],[Cell_ID]],Registre_Maintenance[],2,FALSE),"")</f>
        <v>Lualaba</v>
      </c>
      <c r="H672">
        <f>IFERROR(VLOOKUP(Logs_Registre[[#This Row],[Cell_ID]],Registre_Maintenance[],3,FALSE),"")</f>
        <v>1.286548</v>
      </c>
      <c r="I672">
        <f>IFERROR(VLOOKUP(Logs_Registre[[#This Row],[Cell_ID]],Registre_Maintenance[],4,FALSE),"")</f>
        <v>29.823702999999998</v>
      </c>
      <c r="J672" t="str">
        <f>IFERROR(VLOOKUP(Logs_Registre[[#This Row],[Cell_ID]],Registre_Maintenance[],5,FALSE),"")</f>
        <v>4G</v>
      </c>
      <c r="K672" t="str">
        <f>IFERROR(VLOOKUP(Logs_Registre[[#This Row],[Cell_ID]],Registre_Maintenance[],6,FALSE),"")</f>
        <v>ZTE</v>
      </c>
    </row>
    <row r="673" spans="1:11" x14ac:dyDescent="0.25">
      <c r="A673" s="1" t="s">
        <v>1288</v>
      </c>
      <c r="B673" s="1" t="s">
        <v>1300</v>
      </c>
      <c r="C673" s="2">
        <v>45211.290277777778</v>
      </c>
      <c r="D673" s="3">
        <v>45211.290277777778</v>
      </c>
      <c r="E673">
        <v>73</v>
      </c>
      <c r="F673" s="1" t="s">
        <v>737</v>
      </c>
      <c r="G673" t="str">
        <f>IFERROR(VLOOKUP(Logs_Registre[[#This Row],[Cell_ID]],Registre_Maintenance[],2,FALSE),"")</f>
        <v/>
      </c>
      <c r="H673" t="str">
        <f>IFERROR(VLOOKUP(Logs_Registre[[#This Row],[Cell_ID]],Registre_Maintenance[],3,FALSE),"")</f>
        <v/>
      </c>
      <c r="I673" t="str">
        <f>IFERROR(VLOOKUP(Logs_Registre[[#This Row],[Cell_ID]],Registre_Maintenance[],4,FALSE),"")</f>
        <v/>
      </c>
      <c r="J673" t="str">
        <f>IFERROR(VLOOKUP(Logs_Registre[[#This Row],[Cell_ID]],Registre_Maintenance[],5,FALSE),"")</f>
        <v/>
      </c>
      <c r="K673" t="str">
        <f>IFERROR(VLOOKUP(Logs_Registre[[#This Row],[Cell_ID]],Registre_Maintenance[],6,FALSE),"")</f>
        <v/>
      </c>
    </row>
    <row r="674" spans="1:11" x14ac:dyDescent="0.25">
      <c r="A674" s="1" t="s">
        <v>730</v>
      </c>
      <c r="B674" s="1" t="s">
        <v>763</v>
      </c>
      <c r="C674" s="2">
        <v>45211.279166666667</v>
      </c>
      <c r="D674" s="3">
        <v>45211.279166666667</v>
      </c>
      <c r="E674">
        <v>75</v>
      </c>
      <c r="F674" s="1" t="s">
        <v>732</v>
      </c>
      <c r="G674" t="str">
        <f>IFERROR(VLOOKUP(Logs_Registre[[#This Row],[Cell_ID]],Registre_Maintenance[],2,FALSE),"")</f>
        <v>Nord-Ubangi</v>
      </c>
      <c r="H674">
        <f>IFERROR(VLOOKUP(Logs_Registre[[#This Row],[Cell_ID]],Registre_Maintenance[],3,FALSE),"")</f>
        <v>-8.1437910000000002</v>
      </c>
      <c r="I674">
        <f>IFERROR(VLOOKUP(Logs_Registre[[#This Row],[Cell_ID]],Registre_Maintenance[],4,FALSE),"")</f>
        <v>28.946161</v>
      </c>
      <c r="J674" t="str">
        <f>IFERROR(VLOOKUP(Logs_Registre[[#This Row],[Cell_ID]],Registre_Maintenance[],5,FALSE),"")</f>
        <v>4G</v>
      </c>
      <c r="K674" t="str">
        <f>IFERROR(VLOOKUP(Logs_Registre[[#This Row],[Cell_ID]],Registre_Maintenance[],6,FALSE),"")</f>
        <v>ZTE</v>
      </c>
    </row>
    <row r="675" spans="1:11" x14ac:dyDescent="0.25">
      <c r="A675" s="1" t="s">
        <v>861</v>
      </c>
      <c r="B675" s="1" t="s">
        <v>883</v>
      </c>
      <c r="C675" s="2">
        <v>45211.234722222223</v>
      </c>
      <c r="D675" s="3">
        <v>45211.234722222223</v>
      </c>
      <c r="E675">
        <v>62</v>
      </c>
      <c r="F675" s="1" t="s">
        <v>737</v>
      </c>
      <c r="G675" t="str">
        <f>IFERROR(VLOOKUP(Logs_Registre[[#This Row],[Cell_ID]],Registre_Maintenance[],2,FALSE),"")</f>
        <v>Nord-Kivu</v>
      </c>
      <c r="H675">
        <f>IFERROR(VLOOKUP(Logs_Registre[[#This Row],[Cell_ID]],Registre_Maintenance[],3,FALSE),"")</f>
        <v>-2.3102109999999998</v>
      </c>
      <c r="I675">
        <f>IFERROR(VLOOKUP(Logs_Registre[[#This Row],[Cell_ID]],Registre_Maintenance[],4,FALSE),"")</f>
        <v>12.362488000000001</v>
      </c>
      <c r="J675" t="str">
        <f>IFERROR(VLOOKUP(Logs_Registre[[#This Row],[Cell_ID]],Registre_Maintenance[],5,FALSE),"")</f>
        <v>5G</v>
      </c>
      <c r="K675" t="str">
        <f>IFERROR(VLOOKUP(Logs_Registre[[#This Row],[Cell_ID]],Registre_Maintenance[],6,FALSE),"")</f>
        <v>Nokia</v>
      </c>
    </row>
    <row r="676" spans="1:11" x14ac:dyDescent="0.25">
      <c r="A676" s="1" t="s">
        <v>730</v>
      </c>
      <c r="B676" s="1" t="s">
        <v>762</v>
      </c>
      <c r="C676" s="2">
        <v>45211.224305555559</v>
      </c>
      <c r="D676" s="3">
        <v>45211.224305555559</v>
      </c>
      <c r="E676">
        <v>37</v>
      </c>
      <c r="F676" s="1" t="s">
        <v>732</v>
      </c>
      <c r="G676" t="str">
        <f>IFERROR(VLOOKUP(Logs_Registre[[#This Row],[Cell_ID]],Registre_Maintenance[],2,FALSE),"")</f>
        <v>Tanganyika</v>
      </c>
      <c r="H676">
        <f>IFERROR(VLOOKUP(Logs_Registre[[#This Row],[Cell_ID]],Registre_Maintenance[],3,FALSE),"")</f>
        <v>-2.4662510000000002</v>
      </c>
      <c r="I676">
        <f>IFERROR(VLOOKUP(Logs_Registre[[#This Row],[Cell_ID]],Registre_Maintenance[],4,FALSE),"")</f>
        <v>18.007998000000001</v>
      </c>
      <c r="J676" t="str">
        <f>IFERROR(VLOOKUP(Logs_Registre[[#This Row],[Cell_ID]],Registre_Maintenance[],5,FALSE),"")</f>
        <v>5G</v>
      </c>
      <c r="K676" t="str">
        <f>IFERROR(VLOOKUP(Logs_Registre[[#This Row],[Cell_ID]],Registre_Maintenance[],6,FALSE),"")</f>
        <v>Ericsson</v>
      </c>
    </row>
    <row r="677" spans="1:11" x14ac:dyDescent="0.25">
      <c r="A677" s="1" t="s">
        <v>1261</v>
      </c>
      <c r="B677" s="1" t="s">
        <v>1275</v>
      </c>
      <c r="C677" s="2">
        <v>45211.219444444447</v>
      </c>
      <c r="D677" s="3">
        <v>45211.219444444447</v>
      </c>
      <c r="E677">
        <v>5</v>
      </c>
      <c r="F677" s="1" t="s">
        <v>732</v>
      </c>
      <c r="G677" t="str">
        <f>IFERROR(VLOOKUP(Logs_Registre[[#This Row],[Cell_ID]],Registre_Maintenance[],2,FALSE),"")</f>
        <v/>
      </c>
      <c r="H677" t="str">
        <f>IFERROR(VLOOKUP(Logs_Registre[[#This Row],[Cell_ID]],Registre_Maintenance[],3,FALSE),"")</f>
        <v/>
      </c>
      <c r="I677" t="str">
        <f>IFERROR(VLOOKUP(Logs_Registre[[#This Row],[Cell_ID]],Registre_Maintenance[],4,FALSE),"")</f>
        <v/>
      </c>
      <c r="J677" t="str">
        <f>IFERROR(VLOOKUP(Logs_Registre[[#This Row],[Cell_ID]],Registre_Maintenance[],5,FALSE),"")</f>
        <v/>
      </c>
      <c r="K677" t="str">
        <f>IFERROR(VLOOKUP(Logs_Registre[[#This Row],[Cell_ID]],Registre_Maintenance[],6,FALSE),"")</f>
        <v/>
      </c>
    </row>
    <row r="678" spans="1:11" x14ac:dyDescent="0.25">
      <c r="A678" s="1" t="s">
        <v>1261</v>
      </c>
      <c r="B678" s="1" t="s">
        <v>1284</v>
      </c>
      <c r="C678" s="2">
        <v>45211.147222222222</v>
      </c>
      <c r="D678" s="3">
        <v>45211.147222222222</v>
      </c>
      <c r="E678">
        <v>89</v>
      </c>
      <c r="F678" s="1" t="s">
        <v>735</v>
      </c>
      <c r="G678" t="str">
        <f>IFERROR(VLOOKUP(Logs_Registre[[#This Row],[Cell_ID]],Registre_Maintenance[],2,FALSE),"")</f>
        <v/>
      </c>
      <c r="H678" t="str">
        <f>IFERROR(VLOOKUP(Logs_Registre[[#This Row],[Cell_ID]],Registre_Maintenance[],3,FALSE),"")</f>
        <v/>
      </c>
      <c r="I678" t="str">
        <f>IFERROR(VLOOKUP(Logs_Registre[[#This Row],[Cell_ID]],Registre_Maintenance[],4,FALSE),"")</f>
        <v/>
      </c>
      <c r="J678" t="str">
        <f>IFERROR(VLOOKUP(Logs_Registre[[#This Row],[Cell_ID]],Registre_Maintenance[],5,FALSE),"")</f>
        <v/>
      </c>
      <c r="K678" t="str">
        <f>IFERROR(VLOOKUP(Logs_Registre[[#This Row],[Cell_ID]],Registre_Maintenance[],6,FALSE),"")</f>
        <v/>
      </c>
    </row>
    <row r="679" spans="1:11" x14ac:dyDescent="0.25">
      <c r="A679" s="1" t="s">
        <v>1193</v>
      </c>
      <c r="B679" s="1" t="s">
        <v>1206</v>
      </c>
      <c r="C679" s="2">
        <v>45211.128472222219</v>
      </c>
      <c r="D679" s="3">
        <v>45211.128472222219</v>
      </c>
      <c r="E679">
        <v>110</v>
      </c>
      <c r="F679" s="1" t="s">
        <v>735</v>
      </c>
      <c r="G679" t="str">
        <f>IFERROR(VLOOKUP(Logs_Registre[[#This Row],[Cell_ID]],Registre_Maintenance[],2,FALSE),"")</f>
        <v>Sud-Kivu</v>
      </c>
      <c r="H679">
        <f>IFERROR(VLOOKUP(Logs_Registre[[#This Row],[Cell_ID]],Registre_Maintenance[],3,FALSE),"")</f>
        <v>2.453036</v>
      </c>
      <c r="I679">
        <f>IFERROR(VLOOKUP(Logs_Registre[[#This Row],[Cell_ID]],Registre_Maintenance[],4,FALSE),"")</f>
        <v>20.555484</v>
      </c>
      <c r="J679" t="str">
        <f>IFERROR(VLOOKUP(Logs_Registre[[#This Row],[Cell_ID]],Registre_Maintenance[],5,FALSE),"")</f>
        <v>5G</v>
      </c>
      <c r="K679" t="str">
        <f>IFERROR(VLOOKUP(Logs_Registre[[#This Row],[Cell_ID]],Registre_Maintenance[],6,FALSE),"")</f>
        <v>Ericsson</v>
      </c>
    </row>
    <row r="680" spans="1:11" x14ac:dyDescent="0.25">
      <c r="A680" s="1" t="s">
        <v>1138</v>
      </c>
      <c r="B680" s="1" t="s">
        <v>848</v>
      </c>
      <c r="C680" s="2">
        <v>45211.123611111107</v>
      </c>
      <c r="D680" s="3">
        <v>45211.123611111107</v>
      </c>
      <c r="E680">
        <v>87</v>
      </c>
      <c r="F680" s="1" t="s">
        <v>732</v>
      </c>
      <c r="G680" t="str">
        <f>IFERROR(VLOOKUP(Logs_Registre[[#This Row],[Cell_ID]],Registre_Maintenance[],2,FALSE),"")</f>
        <v/>
      </c>
      <c r="H680" t="str">
        <f>IFERROR(VLOOKUP(Logs_Registre[[#This Row],[Cell_ID]],Registre_Maintenance[],3,FALSE),"")</f>
        <v/>
      </c>
      <c r="I680" t="str">
        <f>IFERROR(VLOOKUP(Logs_Registre[[#This Row],[Cell_ID]],Registre_Maintenance[],4,FALSE),"")</f>
        <v/>
      </c>
      <c r="J680" t="str">
        <f>IFERROR(VLOOKUP(Logs_Registre[[#This Row],[Cell_ID]],Registre_Maintenance[],5,FALSE),"")</f>
        <v/>
      </c>
      <c r="K680" t="str">
        <f>IFERROR(VLOOKUP(Logs_Registre[[#This Row],[Cell_ID]],Registre_Maintenance[],6,FALSE),"")</f>
        <v/>
      </c>
    </row>
    <row r="681" spans="1:11" x14ac:dyDescent="0.25">
      <c r="A681" s="1" t="s">
        <v>1165</v>
      </c>
      <c r="B681" s="1" t="s">
        <v>819</v>
      </c>
      <c r="C681" s="2">
        <v>45211.106944444437</v>
      </c>
      <c r="D681" s="3">
        <v>45211.106944444437</v>
      </c>
      <c r="E681">
        <v>87</v>
      </c>
      <c r="F681" s="1" t="s">
        <v>737</v>
      </c>
      <c r="G681" t="str">
        <f>IFERROR(VLOOKUP(Logs_Registre[[#This Row],[Cell_ID]],Registre_Maintenance[],2,FALSE),"")</f>
        <v>Sud-Kivu</v>
      </c>
      <c r="H681">
        <f>IFERROR(VLOOKUP(Logs_Registre[[#This Row],[Cell_ID]],Registre_Maintenance[],3,FALSE),"")</f>
        <v>-5.2526849999999996</v>
      </c>
      <c r="I681">
        <f>IFERROR(VLOOKUP(Logs_Registre[[#This Row],[Cell_ID]],Registre_Maintenance[],4,FALSE),"")</f>
        <v>12.374528</v>
      </c>
      <c r="J681" t="str">
        <f>IFERROR(VLOOKUP(Logs_Registre[[#This Row],[Cell_ID]],Registre_Maintenance[],5,FALSE),"")</f>
        <v>3G</v>
      </c>
      <c r="K681" t="str">
        <f>IFERROR(VLOOKUP(Logs_Registre[[#This Row],[Cell_ID]],Registre_Maintenance[],6,FALSE),"")</f>
        <v>Nokia</v>
      </c>
    </row>
    <row r="682" spans="1:11" x14ac:dyDescent="0.25">
      <c r="A682" s="1" t="s">
        <v>1059</v>
      </c>
      <c r="B682" s="1" t="s">
        <v>1067</v>
      </c>
      <c r="C682" s="2">
        <v>45211.106249999997</v>
      </c>
      <c r="D682" s="3">
        <v>45211.106249999997</v>
      </c>
      <c r="E682">
        <v>107</v>
      </c>
      <c r="F682" s="1" t="s">
        <v>732</v>
      </c>
      <c r="G682" t="str">
        <f>IFERROR(VLOOKUP(Logs_Registre[[#This Row],[Cell_ID]],Registre_Maintenance[],2,FALSE),"")</f>
        <v/>
      </c>
      <c r="H682" t="str">
        <f>IFERROR(VLOOKUP(Logs_Registre[[#This Row],[Cell_ID]],Registre_Maintenance[],3,FALSE),"")</f>
        <v/>
      </c>
      <c r="I682" t="str">
        <f>IFERROR(VLOOKUP(Logs_Registre[[#This Row],[Cell_ID]],Registre_Maintenance[],4,FALSE),"")</f>
        <v/>
      </c>
      <c r="J682" t="str">
        <f>IFERROR(VLOOKUP(Logs_Registre[[#This Row],[Cell_ID]],Registre_Maintenance[],5,FALSE),"")</f>
        <v/>
      </c>
      <c r="K682" t="str">
        <f>IFERROR(VLOOKUP(Logs_Registre[[#This Row],[Cell_ID]],Registre_Maintenance[],6,FALSE),"")</f>
        <v/>
      </c>
    </row>
    <row r="683" spans="1:11" x14ac:dyDescent="0.25">
      <c r="A683" s="1" t="s">
        <v>861</v>
      </c>
      <c r="B683" s="1" t="s">
        <v>761</v>
      </c>
      <c r="C683" s="2">
        <v>45211.105555555558</v>
      </c>
      <c r="D683" s="3">
        <v>45211.105555555558</v>
      </c>
      <c r="E683">
        <v>67</v>
      </c>
      <c r="F683" s="1" t="s">
        <v>732</v>
      </c>
      <c r="G683" t="str">
        <f>IFERROR(VLOOKUP(Logs_Registre[[#This Row],[Cell_ID]],Registre_Maintenance[],2,FALSE),"")</f>
        <v/>
      </c>
      <c r="H683" t="str">
        <f>IFERROR(VLOOKUP(Logs_Registre[[#This Row],[Cell_ID]],Registre_Maintenance[],3,FALSE),"")</f>
        <v/>
      </c>
      <c r="I683" t="str">
        <f>IFERROR(VLOOKUP(Logs_Registre[[#This Row],[Cell_ID]],Registre_Maintenance[],4,FALSE),"")</f>
        <v/>
      </c>
      <c r="J683" t="str">
        <f>IFERROR(VLOOKUP(Logs_Registre[[#This Row],[Cell_ID]],Registre_Maintenance[],5,FALSE),"")</f>
        <v/>
      </c>
      <c r="K683" t="str">
        <f>IFERROR(VLOOKUP(Logs_Registre[[#This Row],[Cell_ID]],Registre_Maintenance[],6,FALSE),"")</f>
        <v/>
      </c>
    </row>
    <row r="684" spans="1:11" x14ac:dyDescent="0.25">
      <c r="A684" s="1" t="s">
        <v>1059</v>
      </c>
      <c r="B684" s="1" t="s">
        <v>1071</v>
      </c>
      <c r="C684" s="2">
        <v>45211.098611111112</v>
      </c>
      <c r="D684" s="3">
        <v>45211.098611111112</v>
      </c>
      <c r="E684">
        <v>59</v>
      </c>
      <c r="F684" s="1" t="s">
        <v>737</v>
      </c>
      <c r="G684" t="str">
        <f>IFERROR(VLOOKUP(Logs_Registre[[#This Row],[Cell_ID]],Registre_Maintenance[],2,FALSE),"")</f>
        <v>Sud-Ubangi</v>
      </c>
      <c r="H684">
        <f>IFERROR(VLOOKUP(Logs_Registre[[#This Row],[Cell_ID]],Registre_Maintenance[],3,FALSE),"")</f>
        <v>-11.387295999999999</v>
      </c>
      <c r="I684">
        <f>IFERROR(VLOOKUP(Logs_Registre[[#This Row],[Cell_ID]],Registre_Maintenance[],4,FALSE),"")</f>
        <v>19.384257999999999</v>
      </c>
      <c r="J684" t="str">
        <f>IFERROR(VLOOKUP(Logs_Registre[[#This Row],[Cell_ID]],Registre_Maintenance[],5,FALSE),"")</f>
        <v>3G</v>
      </c>
      <c r="K684" t="str">
        <f>IFERROR(VLOOKUP(Logs_Registre[[#This Row],[Cell_ID]],Registre_Maintenance[],6,FALSE),"")</f>
        <v>Huawei</v>
      </c>
    </row>
    <row r="685" spans="1:11" x14ac:dyDescent="0.25">
      <c r="A685" s="1" t="s">
        <v>1059</v>
      </c>
      <c r="B685" s="1" t="s">
        <v>1084</v>
      </c>
      <c r="C685" s="2">
        <v>45211.079861111109</v>
      </c>
      <c r="D685" s="3">
        <v>45211.079861111109</v>
      </c>
      <c r="E685">
        <v>59</v>
      </c>
      <c r="F685" s="1" t="s">
        <v>735</v>
      </c>
      <c r="G685" t="str">
        <f>IFERROR(VLOOKUP(Logs_Registre[[#This Row],[Cell_ID]],Registre_Maintenance[],2,FALSE),"")</f>
        <v/>
      </c>
      <c r="H685" t="str">
        <f>IFERROR(VLOOKUP(Logs_Registre[[#This Row],[Cell_ID]],Registre_Maintenance[],3,FALSE),"")</f>
        <v/>
      </c>
      <c r="I685" t="str">
        <f>IFERROR(VLOOKUP(Logs_Registre[[#This Row],[Cell_ID]],Registre_Maintenance[],4,FALSE),"")</f>
        <v/>
      </c>
      <c r="J685" t="str">
        <f>IFERROR(VLOOKUP(Logs_Registre[[#This Row],[Cell_ID]],Registre_Maintenance[],5,FALSE),"")</f>
        <v/>
      </c>
      <c r="K685" t="str">
        <f>IFERROR(VLOOKUP(Logs_Registre[[#This Row],[Cell_ID]],Registre_Maintenance[],6,FALSE),"")</f>
        <v/>
      </c>
    </row>
    <row r="686" spans="1:11" x14ac:dyDescent="0.25">
      <c r="A686" s="1" t="s">
        <v>1330</v>
      </c>
      <c r="B686" s="1" t="s">
        <v>1339</v>
      </c>
      <c r="C686" s="2">
        <v>45211.063888888893</v>
      </c>
      <c r="D686" s="3">
        <v>45211.063888888893</v>
      </c>
      <c r="E686">
        <v>6</v>
      </c>
      <c r="F686" s="1" t="s">
        <v>737</v>
      </c>
      <c r="G686" t="str">
        <f>IFERROR(VLOOKUP(Logs_Registre[[#This Row],[Cell_ID]],Registre_Maintenance[],2,FALSE),"")</f>
        <v>Kasai-Oriental</v>
      </c>
      <c r="H686">
        <f>IFERROR(VLOOKUP(Logs_Registre[[#This Row],[Cell_ID]],Registre_Maintenance[],3,FALSE),"")</f>
        <v>1.7832440000000001</v>
      </c>
      <c r="I686">
        <f>IFERROR(VLOOKUP(Logs_Registre[[#This Row],[Cell_ID]],Registre_Maintenance[],4,FALSE),"")</f>
        <v>25.477405999999998</v>
      </c>
      <c r="J686" t="str">
        <f>IFERROR(VLOOKUP(Logs_Registre[[#This Row],[Cell_ID]],Registre_Maintenance[],5,FALSE),"")</f>
        <v>5G</v>
      </c>
      <c r="K686" t="str">
        <f>IFERROR(VLOOKUP(Logs_Registre[[#This Row],[Cell_ID]],Registre_Maintenance[],6,FALSE),"")</f>
        <v>Huawei</v>
      </c>
    </row>
    <row r="687" spans="1:11" x14ac:dyDescent="0.25">
      <c r="A687" s="1" t="s">
        <v>1193</v>
      </c>
      <c r="B687" s="1" t="s">
        <v>1041</v>
      </c>
      <c r="C687" s="2">
        <v>45211.04583333333</v>
      </c>
      <c r="D687" s="3">
        <v>45211.04583333333</v>
      </c>
      <c r="E687">
        <v>18</v>
      </c>
      <c r="F687" s="1" t="s">
        <v>737</v>
      </c>
      <c r="G687" t="str">
        <f>IFERROR(VLOOKUP(Logs_Registre[[#This Row],[Cell_ID]],Registre_Maintenance[],2,FALSE),"")</f>
        <v>Mongala</v>
      </c>
      <c r="H687">
        <f>IFERROR(VLOOKUP(Logs_Registre[[#This Row],[Cell_ID]],Registre_Maintenance[],3,FALSE),"")</f>
        <v>-5.3762689999999997</v>
      </c>
      <c r="I687">
        <f>IFERROR(VLOOKUP(Logs_Registre[[#This Row],[Cell_ID]],Registre_Maintenance[],4,FALSE),"")</f>
        <v>28.189575999999999</v>
      </c>
      <c r="J687" t="str">
        <f>IFERROR(VLOOKUP(Logs_Registre[[#This Row],[Cell_ID]],Registre_Maintenance[],5,FALSE),"")</f>
        <v>5G</v>
      </c>
      <c r="K687" t="str">
        <f>IFERROR(VLOOKUP(Logs_Registre[[#This Row],[Cell_ID]],Registre_Maintenance[],6,FALSE),"")</f>
        <v>Huawei</v>
      </c>
    </row>
    <row r="688" spans="1:11" x14ac:dyDescent="0.25">
      <c r="A688" s="1" t="s">
        <v>1330</v>
      </c>
      <c r="B688" s="1" t="s">
        <v>1334</v>
      </c>
      <c r="C688" s="2">
        <v>45211.01458333333</v>
      </c>
      <c r="D688" s="3">
        <v>45211.01458333333</v>
      </c>
      <c r="E688">
        <v>7</v>
      </c>
      <c r="F688" s="1" t="s">
        <v>737</v>
      </c>
      <c r="G688" t="str">
        <f>IFERROR(VLOOKUP(Logs_Registre[[#This Row],[Cell_ID]],Registre_Maintenance[],2,FALSE),"")</f>
        <v/>
      </c>
      <c r="H688" t="str">
        <f>IFERROR(VLOOKUP(Logs_Registre[[#This Row],[Cell_ID]],Registre_Maintenance[],3,FALSE),"")</f>
        <v/>
      </c>
      <c r="I688" t="str">
        <f>IFERROR(VLOOKUP(Logs_Registre[[#This Row],[Cell_ID]],Registre_Maintenance[],4,FALSE),"")</f>
        <v/>
      </c>
      <c r="J688" t="str">
        <f>IFERROR(VLOOKUP(Logs_Registre[[#This Row],[Cell_ID]],Registre_Maintenance[],5,FALSE),"")</f>
        <v/>
      </c>
      <c r="K688" t="str">
        <f>IFERROR(VLOOKUP(Logs_Registre[[#This Row],[Cell_ID]],Registre_Maintenance[],6,FALSE),"")</f>
        <v/>
      </c>
    </row>
    <row r="689" spans="1:11" x14ac:dyDescent="0.25">
      <c r="A689" s="1" t="s">
        <v>939</v>
      </c>
      <c r="B689" s="1" t="s">
        <v>943</v>
      </c>
      <c r="C689" s="2">
        <v>45210.979166666657</v>
      </c>
      <c r="D689" s="3">
        <v>45210.979166666657</v>
      </c>
      <c r="E689">
        <v>114</v>
      </c>
      <c r="F689" s="1" t="s">
        <v>737</v>
      </c>
      <c r="G689" t="str">
        <f>IFERROR(VLOOKUP(Logs_Registre[[#This Row],[Cell_ID]],Registre_Maintenance[],2,FALSE),"")</f>
        <v/>
      </c>
      <c r="H689" t="str">
        <f>IFERROR(VLOOKUP(Logs_Registre[[#This Row],[Cell_ID]],Registre_Maintenance[],3,FALSE),"")</f>
        <v/>
      </c>
      <c r="I689" t="str">
        <f>IFERROR(VLOOKUP(Logs_Registre[[#This Row],[Cell_ID]],Registre_Maintenance[],4,FALSE),"")</f>
        <v/>
      </c>
      <c r="J689" t="str">
        <f>IFERROR(VLOOKUP(Logs_Registre[[#This Row],[Cell_ID]],Registre_Maintenance[],5,FALSE),"")</f>
        <v/>
      </c>
      <c r="K689" t="str">
        <f>IFERROR(VLOOKUP(Logs_Registre[[#This Row],[Cell_ID]],Registre_Maintenance[],6,FALSE),"")</f>
        <v/>
      </c>
    </row>
    <row r="690" spans="1:11" x14ac:dyDescent="0.25">
      <c r="A690" s="1" t="s">
        <v>1308</v>
      </c>
      <c r="B690" s="1" t="s">
        <v>897</v>
      </c>
      <c r="C690" s="2">
        <v>45210.961111111108</v>
      </c>
      <c r="D690" s="3">
        <v>45210.961111111108</v>
      </c>
      <c r="E690">
        <v>66</v>
      </c>
      <c r="F690" s="1" t="s">
        <v>732</v>
      </c>
      <c r="G690" t="str">
        <f>IFERROR(VLOOKUP(Logs_Registre[[#This Row],[Cell_ID]],Registre_Maintenance[],2,FALSE),"")</f>
        <v/>
      </c>
      <c r="H690" t="str">
        <f>IFERROR(VLOOKUP(Logs_Registre[[#This Row],[Cell_ID]],Registre_Maintenance[],3,FALSE),"")</f>
        <v/>
      </c>
      <c r="I690" t="str">
        <f>IFERROR(VLOOKUP(Logs_Registre[[#This Row],[Cell_ID]],Registre_Maintenance[],4,FALSE),"")</f>
        <v/>
      </c>
      <c r="J690" t="str">
        <f>IFERROR(VLOOKUP(Logs_Registre[[#This Row],[Cell_ID]],Registre_Maintenance[],5,FALSE),"")</f>
        <v/>
      </c>
      <c r="K690" t="str">
        <f>IFERROR(VLOOKUP(Logs_Registre[[#This Row],[Cell_ID]],Registre_Maintenance[],6,FALSE),"")</f>
        <v/>
      </c>
    </row>
    <row r="691" spans="1:11" x14ac:dyDescent="0.25">
      <c r="A691" s="1" t="s">
        <v>1086</v>
      </c>
      <c r="B691" s="1" t="s">
        <v>923</v>
      </c>
      <c r="C691" s="2">
        <v>45210.926388888889</v>
      </c>
      <c r="D691" s="3">
        <v>45210.926388888889</v>
      </c>
      <c r="E691">
        <v>45</v>
      </c>
      <c r="F691" s="1" t="s">
        <v>735</v>
      </c>
      <c r="G691" t="str">
        <f>IFERROR(VLOOKUP(Logs_Registre[[#This Row],[Cell_ID]],Registre_Maintenance[],2,FALSE),"")</f>
        <v>Haut-Lomami</v>
      </c>
      <c r="H691">
        <f>IFERROR(VLOOKUP(Logs_Registre[[#This Row],[Cell_ID]],Registre_Maintenance[],3,FALSE),"")</f>
        <v>1.210869</v>
      </c>
      <c r="I691">
        <f>IFERROR(VLOOKUP(Logs_Registre[[#This Row],[Cell_ID]],Registre_Maintenance[],4,FALSE),"")</f>
        <v>25.598741</v>
      </c>
      <c r="J691" t="str">
        <f>IFERROR(VLOOKUP(Logs_Registre[[#This Row],[Cell_ID]],Registre_Maintenance[],5,FALSE),"")</f>
        <v>4G</v>
      </c>
      <c r="K691" t="str">
        <f>IFERROR(VLOOKUP(Logs_Registre[[#This Row],[Cell_ID]],Registre_Maintenance[],6,FALSE),"")</f>
        <v>Ericsson</v>
      </c>
    </row>
    <row r="692" spans="1:11" x14ac:dyDescent="0.25">
      <c r="A692" s="1" t="s">
        <v>1345</v>
      </c>
      <c r="B692" s="1" t="s">
        <v>1352</v>
      </c>
      <c r="C692" s="2">
        <v>45210.924305555563</v>
      </c>
      <c r="D692" s="3">
        <v>45210.924305555563</v>
      </c>
      <c r="E692">
        <v>32</v>
      </c>
      <c r="F692" s="1" t="s">
        <v>735</v>
      </c>
      <c r="G692" t="str">
        <f>IFERROR(VLOOKUP(Logs_Registre[[#This Row],[Cell_ID]],Registre_Maintenance[],2,FALSE),"")</f>
        <v/>
      </c>
      <c r="H692" t="str">
        <f>IFERROR(VLOOKUP(Logs_Registre[[#This Row],[Cell_ID]],Registre_Maintenance[],3,FALSE),"")</f>
        <v/>
      </c>
      <c r="I692" t="str">
        <f>IFERROR(VLOOKUP(Logs_Registre[[#This Row],[Cell_ID]],Registre_Maintenance[],4,FALSE),"")</f>
        <v/>
      </c>
      <c r="J692" t="str">
        <f>IFERROR(VLOOKUP(Logs_Registre[[#This Row],[Cell_ID]],Registre_Maintenance[],5,FALSE),"")</f>
        <v/>
      </c>
      <c r="K692" t="str">
        <f>IFERROR(VLOOKUP(Logs_Registre[[#This Row],[Cell_ID]],Registre_Maintenance[],6,FALSE),"")</f>
        <v/>
      </c>
    </row>
    <row r="693" spans="1:11" x14ac:dyDescent="0.25">
      <c r="A693" s="1" t="s">
        <v>1382</v>
      </c>
      <c r="B693" s="1" t="s">
        <v>1199</v>
      </c>
      <c r="C693" s="2">
        <v>45210.921527777777</v>
      </c>
      <c r="D693" s="3">
        <v>45210.921527777777</v>
      </c>
      <c r="E693">
        <v>86</v>
      </c>
      <c r="F693" s="1" t="s">
        <v>735</v>
      </c>
      <c r="G693" t="str">
        <f>IFERROR(VLOOKUP(Logs_Registre[[#This Row],[Cell_ID]],Registre_Maintenance[],2,FALSE),"")</f>
        <v/>
      </c>
      <c r="H693" t="str">
        <f>IFERROR(VLOOKUP(Logs_Registre[[#This Row],[Cell_ID]],Registre_Maintenance[],3,FALSE),"")</f>
        <v/>
      </c>
      <c r="I693" t="str">
        <f>IFERROR(VLOOKUP(Logs_Registre[[#This Row],[Cell_ID]],Registre_Maintenance[],4,FALSE),"")</f>
        <v/>
      </c>
      <c r="J693" t="str">
        <f>IFERROR(VLOOKUP(Logs_Registre[[#This Row],[Cell_ID]],Registre_Maintenance[],5,FALSE),"")</f>
        <v/>
      </c>
      <c r="K693" t="str">
        <f>IFERROR(VLOOKUP(Logs_Registre[[#This Row],[Cell_ID]],Registre_Maintenance[],6,FALSE),"")</f>
        <v/>
      </c>
    </row>
    <row r="694" spans="1:11" x14ac:dyDescent="0.25">
      <c r="A694" s="1" t="s">
        <v>823</v>
      </c>
      <c r="B694" s="1" t="s">
        <v>838</v>
      </c>
      <c r="C694" s="2">
        <v>45210.912499999999</v>
      </c>
      <c r="D694" s="3">
        <v>45210.912499999999</v>
      </c>
      <c r="E694">
        <v>119</v>
      </c>
      <c r="F694" s="1" t="s">
        <v>737</v>
      </c>
      <c r="G694" t="str">
        <f>IFERROR(VLOOKUP(Logs_Registre[[#This Row],[Cell_ID]],Registre_Maintenance[],2,FALSE),"")</f>
        <v/>
      </c>
      <c r="H694" t="str">
        <f>IFERROR(VLOOKUP(Logs_Registre[[#This Row],[Cell_ID]],Registre_Maintenance[],3,FALSE),"")</f>
        <v/>
      </c>
      <c r="I694" t="str">
        <f>IFERROR(VLOOKUP(Logs_Registre[[#This Row],[Cell_ID]],Registre_Maintenance[],4,FALSE),"")</f>
        <v/>
      </c>
      <c r="J694" t="str">
        <f>IFERROR(VLOOKUP(Logs_Registre[[#This Row],[Cell_ID]],Registre_Maintenance[],5,FALSE),"")</f>
        <v/>
      </c>
      <c r="K694" t="str">
        <f>IFERROR(VLOOKUP(Logs_Registre[[#This Row],[Cell_ID]],Registre_Maintenance[],6,FALSE),"")</f>
        <v/>
      </c>
    </row>
    <row r="695" spans="1:11" x14ac:dyDescent="0.25">
      <c r="A695" s="1" t="s">
        <v>1241</v>
      </c>
      <c r="B695" s="1" t="s">
        <v>1157</v>
      </c>
      <c r="C695" s="2">
        <v>45210.908333333333</v>
      </c>
      <c r="D695" s="3">
        <v>45210.908333333333</v>
      </c>
      <c r="E695">
        <v>57</v>
      </c>
      <c r="F695" s="1" t="s">
        <v>737</v>
      </c>
      <c r="G695" t="str">
        <f>IFERROR(VLOOKUP(Logs_Registre[[#This Row],[Cell_ID]],Registre_Maintenance[],2,FALSE),"")</f>
        <v>Nord-Ubangi</v>
      </c>
      <c r="H695">
        <f>IFERROR(VLOOKUP(Logs_Registre[[#This Row],[Cell_ID]],Registre_Maintenance[],3,FALSE),"")</f>
        <v>8.5490999999999998E-2</v>
      </c>
      <c r="I695">
        <f>IFERROR(VLOOKUP(Logs_Registre[[#This Row],[Cell_ID]],Registre_Maintenance[],4,FALSE),"")</f>
        <v>26.296129000000001</v>
      </c>
      <c r="J695" t="str">
        <f>IFERROR(VLOOKUP(Logs_Registre[[#This Row],[Cell_ID]],Registre_Maintenance[],5,FALSE),"")</f>
        <v>3G</v>
      </c>
      <c r="K695" t="str">
        <f>IFERROR(VLOOKUP(Logs_Registre[[#This Row],[Cell_ID]],Registre_Maintenance[],6,FALSE),"")</f>
        <v>ZTE</v>
      </c>
    </row>
    <row r="696" spans="1:11" x14ac:dyDescent="0.25">
      <c r="A696" s="1" t="s">
        <v>1114</v>
      </c>
      <c r="B696" s="1" t="s">
        <v>930</v>
      </c>
      <c r="C696" s="2">
        <v>45210.895833333343</v>
      </c>
      <c r="D696" s="3">
        <v>45210.895833333343</v>
      </c>
      <c r="E696">
        <v>110</v>
      </c>
      <c r="F696" s="1" t="s">
        <v>737</v>
      </c>
      <c r="G696" t="str">
        <f>IFERROR(VLOOKUP(Logs_Registre[[#This Row],[Cell_ID]],Registre_Maintenance[],2,FALSE),"")</f>
        <v>Kasai</v>
      </c>
      <c r="H696">
        <f>IFERROR(VLOOKUP(Logs_Registre[[#This Row],[Cell_ID]],Registre_Maintenance[],3,FALSE),"")</f>
        <v>-4.351254</v>
      </c>
      <c r="I696">
        <f>IFERROR(VLOOKUP(Logs_Registre[[#This Row],[Cell_ID]],Registre_Maintenance[],4,FALSE),"")</f>
        <v>30.097408999999999</v>
      </c>
      <c r="J696" t="str">
        <f>IFERROR(VLOOKUP(Logs_Registre[[#This Row],[Cell_ID]],Registre_Maintenance[],5,FALSE),"")</f>
        <v>5G</v>
      </c>
      <c r="K696" t="str">
        <f>IFERROR(VLOOKUP(Logs_Registre[[#This Row],[Cell_ID]],Registre_Maintenance[],6,FALSE),"")</f>
        <v>Nokia</v>
      </c>
    </row>
    <row r="697" spans="1:11" x14ac:dyDescent="0.25">
      <c r="A697" s="1" t="s">
        <v>1086</v>
      </c>
      <c r="B697" s="1" t="s">
        <v>926</v>
      </c>
      <c r="C697" s="2">
        <v>45210.890277777777</v>
      </c>
      <c r="D697" s="3">
        <v>45210.890277777777</v>
      </c>
      <c r="E697">
        <v>118</v>
      </c>
      <c r="F697" s="1" t="s">
        <v>732</v>
      </c>
      <c r="G697" t="str">
        <f>IFERROR(VLOOKUP(Logs_Registre[[#This Row],[Cell_ID]],Registre_Maintenance[],2,FALSE),"")</f>
        <v/>
      </c>
      <c r="H697" t="str">
        <f>IFERROR(VLOOKUP(Logs_Registre[[#This Row],[Cell_ID]],Registre_Maintenance[],3,FALSE),"")</f>
        <v/>
      </c>
      <c r="I697" t="str">
        <f>IFERROR(VLOOKUP(Logs_Registre[[#This Row],[Cell_ID]],Registre_Maintenance[],4,FALSE),"")</f>
        <v/>
      </c>
      <c r="J697" t="str">
        <f>IFERROR(VLOOKUP(Logs_Registre[[#This Row],[Cell_ID]],Registre_Maintenance[],5,FALSE),"")</f>
        <v/>
      </c>
      <c r="K697" t="str">
        <f>IFERROR(VLOOKUP(Logs_Registre[[#This Row],[Cell_ID]],Registre_Maintenance[],6,FALSE),"")</f>
        <v/>
      </c>
    </row>
    <row r="698" spans="1:11" x14ac:dyDescent="0.25">
      <c r="A698" s="1" t="s">
        <v>1114</v>
      </c>
      <c r="B698" s="1" t="s">
        <v>1122</v>
      </c>
      <c r="C698" s="2">
        <v>45210.879861111112</v>
      </c>
      <c r="D698" s="3">
        <v>45210.879861111112</v>
      </c>
      <c r="E698">
        <v>53</v>
      </c>
      <c r="F698" s="1" t="s">
        <v>732</v>
      </c>
      <c r="G698" t="str">
        <f>IFERROR(VLOOKUP(Logs_Registre[[#This Row],[Cell_ID]],Registre_Maintenance[],2,FALSE),"")</f>
        <v>Lomami</v>
      </c>
      <c r="H698">
        <f>IFERROR(VLOOKUP(Logs_Registre[[#This Row],[Cell_ID]],Registre_Maintenance[],3,FALSE),"")</f>
        <v>-7.8770429999999996</v>
      </c>
      <c r="I698">
        <f>IFERROR(VLOOKUP(Logs_Registre[[#This Row],[Cell_ID]],Registre_Maintenance[],4,FALSE),"")</f>
        <v>16.357762999999998</v>
      </c>
      <c r="J698" t="str">
        <f>IFERROR(VLOOKUP(Logs_Registre[[#This Row],[Cell_ID]],Registre_Maintenance[],5,FALSE),"")</f>
        <v>4G</v>
      </c>
      <c r="K698" t="str">
        <f>IFERROR(VLOOKUP(Logs_Registre[[#This Row],[Cell_ID]],Registre_Maintenance[],6,FALSE),"")</f>
        <v>Ericsson</v>
      </c>
    </row>
    <row r="699" spans="1:11" x14ac:dyDescent="0.25">
      <c r="A699" s="1" t="s">
        <v>1345</v>
      </c>
      <c r="B699" s="1" t="s">
        <v>936</v>
      </c>
      <c r="C699" s="2">
        <v>45210.84097222222</v>
      </c>
      <c r="D699" s="3">
        <v>45210.84097222222</v>
      </c>
      <c r="E699">
        <v>7</v>
      </c>
      <c r="F699" s="1" t="s">
        <v>732</v>
      </c>
      <c r="G699" t="str">
        <f>IFERROR(VLOOKUP(Logs_Registre[[#This Row],[Cell_ID]],Registre_Maintenance[],2,FALSE),"")</f>
        <v/>
      </c>
      <c r="H699" t="str">
        <f>IFERROR(VLOOKUP(Logs_Registre[[#This Row],[Cell_ID]],Registre_Maintenance[],3,FALSE),"")</f>
        <v/>
      </c>
      <c r="I699" t="str">
        <f>IFERROR(VLOOKUP(Logs_Registre[[#This Row],[Cell_ID]],Registre_Maintenance[],4,FALSE),"")</f>
        <v/>
      </c>
      <c r="J699" t="str">
        <f>IFERROR(VLOOKUP(Logs_Registre[[#This Row],[Cell_ID]],Registre_Maintenance[],5,FALSE),"")</f>
        <v/>
      </c>
      <c r="K699" t="str">
        <f>IFERROR(VLOOKUP(Logs_Registre[[#This Row],[Cell_ID]],Registre_Maintenance[],6,FALSE),"")</f>
        <v/>
      </c>
    </row>
    <row r="700" spans="1:11" x14ac:dyDescent="0.25">
      <c r="A700" s="1" t="s">
        <v>1165</v>
      </c>
      <c r="B700" s="1" t="s">
        <v>1173</v>
      </c>
      <c r="C700" s="2">
        <v>45210.836805555547</v>
      </c>
      <c r="D700" s="3">
        <v>45210.836805555547</v>
      </c>
      <c r="E700">
        <v>118</v>
      </c>
      <c r="F700" s="1" t="s">
        <v>732</v>
      </c>
      <c r="G700" t="str">
        <f>IFERROR(VLOOKUP(Logs_Registre[[#This Row],[Cell_ID]],Registre_Maintenance[],2,FALSE),"")</f>
        <v>Mongala</v>
      </c>
      <c r="H700">
        <f>IFERROR(VLOOKUP(Logs_Registre[[#This Row],[Cell_ID]],Registre_Maintenance[],3,FALSE),"")</f>
        <v>-11.407966</v>
      </c>
      <c r="I700">
        <f>IFERROR(VLOOKUP(Logs_Registre[[#This Row],[Cell_ID]],Registre_Maintenance[],4,FALSE),"")</f>
        <v>28.378274000000001</v>
      </c>
      <c r="J700" t="str">
        <f>IFERROR(VLOOKUP(Logs_Registre[[#This Row],[Cell_ID]],Registre_Maintenance[],5,FALSE),"")</f>
        <v>4G</v>
      </c>
      <c r="K700" t="str">
        <f>IFERROR(VLOOKUP(Logs_Registre[[#This Row],[Cell_ID]],Registre_Maintenance[],6,FALSE),"")</f>
        <v>ZTE</v>
      </c>
    </row>
    <row r="701" spans="1:11" x14ac:dyDescent="0.25">
      <c r="A701" s="1" t="s">
        <v>1086</v>
      </c>
      <c r="B701" s="1" t="s">
        <v>1099</v>
      </c>
      <c r="C701" s="2">
        <v>45210.836111111108</v>
      </c>
      <c r="D701" s="3">
        <v>45210.836111111108</v>
      </c>
      <c r="E701">
        <v>25</v>
      </c>
      <c r="F701" s="1" t="s">
        <v>737</v>
      </c>
      <c r="G701" t="str">
        <f>IFERROR(VLOOKUP(Logs_Registre[[#This Row],[Cell_ID]],Registre_Maintenance[],2,FALSE),"")</f>
        <v/>
      </c>
      <c r="H701" t="str">
        <f>IFERROR(VLOOKUP(Logs_Registre[[#This Row],[Cell_ID]],Registre_Maintenance[],3,FALSE),"")</f>
        <v/>
      </c>
      <c r="I701" t="str">
        <f>IFERROR(VLOOKUP(Logs_Registre[[#This Row],[Cell_ID]],Registre_Maintenance[],4,FALSE),"")</f>
        <v/>
      </c>
      <c r="J701" t="str">
        <f>IFERROR(VLOOKUP(Logs_Registre[[#This Row],[Cell_ID]],Registre_Maintenance[],5,FALSE),"")</f>
        <v/>
      </c>
      <c r="K701" t="str">
        <f>IFERROR(VLOOKUP(Logs_Registre[[#This Row],[Cell_ID]],Registre_Maintenance[],6,FALSE),"")</f>
        <v/>
      </c>
    </row>
    <row r="702" spans="1:11" x14ac:dyDescent="0.25">
      <c r="A702" s="1" t="s">
        <v>1345</v>
      </c>
      <c r="B702" s="1" t="s">
        <v>805</v>
      </c>
      <c r="C702" s="2">
        <v>45210.835416666669</v>
      </c>
      <c r="D702" s="3">
        <v>45210.835416666669</v>
      </c>
      <c r="E702">
        <v>80</v>
      </c>
      <c r="F702" s="1" t="s">
        <v>735</v>
      </c>
      <c r="G702" t="str">
        <f>IFERROR(VLOOKUP(Logs_Registre[[#This Row],[Cell_ID]],Registre_Maintenance[],2,FALSE),"")</f>
        <v>Haut-Katanga</v>
      </c>
      <c r="H702">
        <f>IFERROR(VLOOKUP(Logs_Registre[[#This Row],[Cell_ID]],Registre_Maintenance[],3,FALSE),"")</f>
        <v>4.4712560000000003</v>
      </c>
      <c r="I702">
        <f>IFERROR(VLOOKUP(Logs_Registre[[#This Row],[Cell_ID]],Registre_Maintenance[],4,FALSE),"")</f>
        <v>27.107028</v>
      </c>
      <c r="J702" t="str">
        <f>IFERROR(VLOOKUP(Logs_Registre[[#This Row],[Cell_ID]],Registre_Maintenance[],5,FALSE),"")</f>
        <v>3G</v>
      </c>
      <c r="K702" t="str">
        <f>IFERROR(VLOOKUP(Logs_Registre[[#This Row],[Cell_ID]],Registre_Maintenance[],6,FALSE),"")</f>
        <v>Ericsson</v>
      </c>
    </row>
    <row r="703" spans="1:11" x14ac:dyDescent="0.25">
      <c r="A703" s="1" t="s">
        <v>1114</v>
      </c>
      <c r="B703" s="1" t="s">
        <v>1118</v>
      </c>
      <c r="C703" s="2">
        <v>45210.805555555547</v>
      </c>
      <c r="D703" s="3">
        <v>45210.805555555547</v>
      </c>
      <c r="E703">
        <v>97</v>
      </c>
      <c r="F703" s="1" t="s">
        <v>732</v>
      </c>
      <c r="G703" t="str">
        <f>IFERROR(VLOOKUP(Logs_Registre[[#This Row],[Cell_ID]],Registre_Maintenance[],2,FALSE),"")</f>
        <v/>
      </c>
      <c r="H703" t="str">
        <f>IFERROR(VLOOKUP(Logs_Registre[[#This Row],[Cell_ID]],Registre_Maintenance[],3,FALSE),"")</f>
        <v/>
      </c>
      <c r="I703" t="str">
        <f>IFERROR(VLOOKUP(Logs_Registre[[#This Row],[Cell_ID]],Registre_Maintenance[],4,FALSE),"")</f>
        <v/>
      </c>
      <c r="J703" t="str">
        <f>IFERROR(VLOOKUP(Logs_Registre[[#This Row],[Cell_ID]],Registre_Maintenance[],5,FALSE),"")</f>
        <v/>
      </c>
      <c r="K703" t="str">
        <f>IFERROR(VLOOKUP(Logs_Registre[[#This Row],[Cell_ID]],Registre_Maintenance[],6,FALSE),"")</f>
        <v/>
      </c>
    </row>
    <row r="704" spans="1:11" x14ac:dyDescent="0.25">
      <c r="A704" s="1" t="s">
        <v>902</v>
      </c>
      <c r="B704" s="1" t="s">
        <v>937</v>
      </c>
      <c r="C704" s="2">
        <v>45210.802777777782</v>
      </c>
      <c r="D704" s="3">
        <v>45210.802777777782</v>
      </c>
      <c r="E704">
        <v>9</v>
      </c>
      <c r="F704" s="1" t="s">
        <v>735</v>
      </c>
      <c r="G704" t="str">
        <f>IFERROR(VLOOKUP(Logs_Registre[[#This Row],[Cell_ID]],Registre_Maintenance[],2,FALSE),"")</f>
        <v/>
      </c>
      <c r="H704" t="str">
        <f>IFERROR(VLOOKUP(Logs_Registre[[#This Row],[Cell_ID]],Registre_Maintenance[],3,FALSE),"")</f>
        <v/>
      </c>
      <c r="I704" t="str">
        <f>IFERROR(VLOOKUP(Logs_Registre[[#This Row],[Cell_ID]],Registre_Maintenance[],4,FALSE),"")</f>
        <v/>
      </c>
      <c r="J704" t="str">
        <f>IFERROR(VLOOKUP(Logs_Registre[[#This Row],[Cell_ID]],Registre_Maintenance[],5,FALSE),"")</f>
        <v/>
      </c>
      <c r="K704" t="str">
        <f>IFERROR(VLOOKUP(Logs_Registre[[#This Row],[Cell_ID]],Registre_Maintenance[],6,FALSE),"")</f>
        <v/>
      </c>
    </row>
    <row r="705" spans="1:11" x14ac:dyDescent="0.25">
      <c r="A705" s="1" t="s">
        <v>1114</v>
      </c>
      <c r="B705" s="1" t="s">
        <v>1120</v>
      </c>
      <c r="C705" s="2">
        <v>45210.703472222223</v>
      </c>
      <c r="D705" s="3">
        <v>45210.703472222223</v>
      </c>
      <c r="E705">
        <v>20</v>
      </c>
      <c r="F705" s="1" t="s">
        <v>732</v>
      </c>
      <c r="G705" t="str">
        <f>IFERROR(VLOOKUP(Logs_Registre[[#This Row],[Cell_ID]],Registre_Maintenance[],2,FALSE),"")</f>
        <v>Equateur</v>
      </c>
      <c r="H705">
        <f>IFERROR(VLOOKUP(Logs_Registre[[#This Row],[Cell_ID]],Registre_Maintenance[],3,FALSE),"")</f>
        <v>-0.79459900000000006</v>
      </c>
      <c r="I705">
        <f>IFERROR(VLOOKUP(Logs_Registre[[#This Row],[Cell_ID]],Registre_Maintenance[],4,FALSE),"")</f>
        <v>26.775570999999999</v>
      </c>
      <c r="J705" t="str">
        <f>IFERROR(VLOOKUP(Logs_Registre[[#This Row],[Cell_ID]],Registre_Maintenance[],5,FALSE),"")</f>
        <v>5G</v>
      </c>
      <c r="K705" t="str">
        <f>IFERROR(VLOOKUP(Logs_Registre[[#This Row],[Cell_ID]],Registre_Maintenance[],6,FALSE),"")</f>
        <v>Huawei</v>
      </c>
    </row>
    <row r="706" spans="1:11" x14ac:dyDescent="0.25">
      <c r="A706" s="1" t="s">
        <v>1361</v>
      </c>
      <c r="B706" s="1" t="s">
        <v>1012</v>
      </c>
      <c r="C706" s="2">
        <v>45210.689583333333</v>
      </c>
      <c r="D706" s="3">
        <v>45210.689583333333</v>
      </c>
      <c r="E706">
        <v>16</v>
      </c>
      <c r="F706" s="1" t="s">
        <v>732</v>
      </c>
      <c r="G706" t="str">
        <f>IFERROR(VLOOKUP(Logs_Registre[[#This Row],[Cell_ID]],Registre_Maintenance[],2,FALSE),"")</f>
        <v>Haut-Uele</v>
      </c>
      <c r="H706">
        <f>IFERROR(VLOOKUP(Logs_Registre[[#This Row],[Cell_ID]],Registre_Maintenance[],3,FALSE),"")</f>
        <v>-4.869434</v>
      </c>
      <c r="I706">
        <f>IFERROR(VLOOKUP(Logs_Registre[[#This Row],[Cell_ID]],Registre_Maintenance[],4,FALSE),"")</f>
        <v>22.326522000000001</v>
      </c>
      <c r="J706" t="str">
        <f>IFERROR(VLOOKUP(Logs_Registre[[#This Row],[Cell_ID]],Registre_Maintenance[],5,FALSE),"")</f>
        <v>5G</v>
      </c>
      <c r="K706" t="str">
        <f>IFERROR(VLOOKUP(Logs_Registre[[#This Row],[Cell_ID]],Registre_Maintenance[],6,FALSE),"")</f>
        <v>Ericsson</v>
      </c>
    </row>
    <row r="707" spans="1:11" x14ac:dyDescent="0.25">
      <c r="A707" s="1" t="s">
        <v>1138</v>
      </c>
      <c r="B707" s="1" t="s">
        <v>1157</v>
      </c>
      <c r="C707" s="2">
        <v>45210.686111111107</v>
      </c>
      <c r="D707" s="3">
        <v>45210.686111111107</v>
      </c>
      <c r="E707">
        <v>62</v>
      </c>
      <c r="F707" s="1" t="s">
        <v>735</v>
      </c>
      <c r="G707" t="str">
        <f>IFERROR(VLOOKUP(Logs_Registre[[#This Row],[Cell_ID]],Registre_Maintenance[],2,FALSE),"")</f>
        <v>Nord-Ubangi</v>
      </c>
      <c r="H707">
        <f>IFERROR(VLOOKUP(Logs_Registre[[#This Row],[Cell_ID]],Registre_Maintenance[],3,FALSE),"")</f>
        <v>8.5490999999999998E-2</v>
      </c>
      <c r="I707">
        <f>IFERROR(VLOOKUP(Logs_Registre[[#This Row],[Cell_ID]],Registre_Maintenance[],4,FALSE),"")</f>
        <v>26.296129000000001</v>
      </c>
      <c r="J707" t="str">
        <f>IFERROR(VLOOKUP(Logs_Registre[[#This Row],[Cell_ID]],Registre_Maintenance[],5,FALSE),"")</f>
        <v>3G</v>
      </c>
      <c r="K707" t="str">
        <f>IFERROR(VLOOKUP(Logs_Registre[[#This Row],[Cell_ID]],Registre_Maintenance[],6,FALSE),"")</f>
        <v>ZTE</v>
      </c>
    </row>
    <row r="708" spans="1:11" x14ac:dyDescent="0.25">
      <c r="A708" s="1" t="s">
        <v>1345</v>
      </c>
      <c r="B708" s="1" t="s">
        <v>944</v>
      </c>
      <c r="C708" s="2">
        <v>45210.675000000003</v>
      </c>
      <c r="D708" s="3">
        <v>45210.675000000003</v>
      </c>
      <c r="E708">
        <v>86</v>
      </c>
      <c r="F708" s="1" t="s">
        <v>737</v>
      </c>
      <c r="G708" t="str">
        <f>IFERROR(VLOOKUP(Logs_Registre[[#This Row],[Cell_ID]],Registre_Maintenance[],2,FALSE),"")</f>
        <v/>
      </c>
      <c r="H708" t="str">
        <f>IFERROR(VLOOKUP(Logs_Registre[[#This Row],[Cell_ID]],Registre_Maintenance[],3,FALSE),"")</f>
        <v/>
      </c>
      <c r="I708" t="str">
        <f>IFERROR(VLOOKUP(Logs_Registre[[#This Row],[Cell_ID]],Registre_Maintenance[],4,FALSE),"")</f>
        <v/>
      </c>
      <c r="J708" t="str">
        <f>IFERROR(VLOOKUP(Logs_Registre[[#This Row],[Cell_ID]],Registre_Maintenance[],5,FALSE),"")</f>
        <v/>
      </c>
      <c r="K708" t="str">
        <f>IFERROR(VLOOKUP(Logs_Registre[[#This Row],[Cell_ID]],Registre_Maintenance[],6,FALSE),"")</f>
        <v/>
      </c>
    </row>
    <row r="709" spans="1:11" x14ac:dyDescent="0.25">
      <c r="A709" s="1" t="s">
        <v>823</v>
      </c>
      <c r="B709" s="1" t="s">
        <v>829</v>
      </c>
      <c r="C709" s="2">
        <v>45210.568055555559</v>
      </c>
      <c r="D709" s="3">
        <v>45210.568055555559</v>
      </c>
      <c r="E709">
        <v>96</v>
      </c>
      <c r="F709" s="1" t="s">
        <v>732</v>
      </c>
      <c r="G709" t="str">
        <f>IFERROR(VLOOKUP(Logs_Registre[[#This Row],[Cell_ID]],Registre_Maintenance[],2,FALSE),"")</f>
        <v>Kinshasa</v>
      </c>
      <c r="H709">
        <f>IFERROR(VLOOKUP(Logs_Registre[[#This Row],[Cell_ID]],Registre_Maintenance[],3,FALSE),"")</f>
        <v>-5.4126279999999998</v>
      </c>
      <c r="I709">
        <f>IFERROR(VLOOKUP(Logs_Registre[[#This Row],[Cell_ID]],Registre_Maintenance[],4,FALSE),"")</f>
        <v>25.498235999999999</v>
      </c>
      <c r="J709" t="str">
        <f>IFERROR(VLOOKUP(Logs_Registre[[#This Row],[Cell_ID]],Registre_Maintenance[],5,FALSE),"")</f>
        <v>5G</v>
      </c>
      <c r="K709" t="str">
        <f>IFERROR(VLOOKUP(Logs_Registre[[#This Row],[Cell_ID]],Registre_Maintenance[],6,FALSE),"")</f>
        <v>ZTE</v>
      </c>
    </row>
    <row r="710" spans="1:11" x14ac:dyDescent="0.25">
      <c r="A710" s="1" t="s">
        <v>1288</v>
      </c>
      <c r="B710" s="1" t="s">
        <v>1307</v>
      </c>
      <c r="C710" s="2">
        <v>45210.511805555558</v>
      </c>
      <c r="D710" s="3">
        <v>45210.511805555558</v>
      </c>
      <c r="E710">
        <v>27</v>
      </c>
      <c r="F710" s="1" t="s">
        <v>735</v>
      </c>
      <c r="G710" t="str">
        <f>IFERROR(VLOOKUP(Logs_Registre[[#This Row],[Cell_ID]],Registre_Maintenance[],2,FALSE),"")</f>
        <v/>
      </c>
      <c r="H710" t="str">
        <f>IFERROR(VLOOKUP(Logs_Registre[[#This Row],[Cell_ID]],Registre_Maintenance[],3,FALSE),"")</f>
        <v/>
      </c>
      <c r="I710" t="str">
        <f>IFERROR(VLOOKUP(Logs_Registre[[#This Row],[Cell_ID]],Registre_Maintenance[],4,FALSE),"")</f>
        <v/>
      </c>
      <c r="J710" t="str">
        <f>IFERROR(VLOOKUP(Logs_Registre[[#This Row],[Cell_ID]],Registre_Maintenance[],5,FALSE),"")</f>
        <v/>
      </c>
      <c r="K710" t="str">
        <f>IFERROR(VLOOKUP(Logs_Registre[[#This Row],[Cell_ID]],Registre_Maintenance[],6,FALSE),"")</f>
        <v/>
      </c>
    </row>
    <row r="711" spans="1:11" x14ac:dyDescent="0.25">
      <c r="A711" s="1" t="s">
        <v>1193</v>
      </c>
      <c r="B711" s="1" t="s">
        <v>1212</v>
      </c>
      <c r="C711" s="2">
        <v>45210.5</v>
      </c>
      <c r="D711" s="3">
        <v>45210.5</v>
      </c>
      <c r="E711">
        <v>30</v>
      </c>
      <c r="F711" s="1" t="s">
        <v>732</v>
      </c>
      <c r="G711" t="str">
        <f>IFERROR(VLOOKUP(Logs_Registre[[#This Row],[Cell_ID]],Registre_Maintenance[],2,FALSE),"")</f>
        <v/>
      </c>
      <c r="H711" t="str">
        <f>IFERROR(VLOOKUP(Logs_Registre[[#This Row],[Cell_ID]],Registre_Maintenance[],3,FALSE),"")</f>
        <v/>
      </c>
      <c r="I711" t="str">
        <f>IFERROR(VLOOKUP(Logs_Registre[[#This Row],[Cell_ID]],Registre_Maintenance[],4,FALSE),"")</f>
        <v/>
      </c>
      <c r="J711" t="str">
        <f>IFERROR(VLOOKUP(Logs_Registre[[#This Row],[Cell_ID]],Registre_Maintenance[],5,FALSE),"")</f>
        <v/>
      </c>
      <c r="K711" t="str">
        <f>IFERROR(VLOOKUP(Logs_Registre[[#This Row],[Cell_ID]],Registre_Maintenance[],6,FALSE),"")</f>
        <v/>
      </c>
    </row>
    <row r="712" spans="1:11" x14ac:dyDescent="0.25">
      <c r="A712" s="1" t="s">
        <v>1241</v>
      </c>
      <c r="B712" s="1" t="s">
        <v>964</v>
      </c>
      <c r="C712" s="2">
        <v>45210.49722222222</v>
      </c>
      <c r="D712" s="3">
        <v>45210.49722222222</v>
      </c>
      <c r="E712">
        <v>75</v>
      </c>
      <c r="F712" s="1" t="s">
        <v>737</v>
      </c>
      <c r="G712" t="str">
        <f>IFERROR(VLOOKUP(Logs_Registre[[#This Row],[Cell_ID]],Registre_Maintenance[],2,FALSE),"")</f>
        <v>Sud-Kivu</v>
      </c>
      <c r="H712">
        <f>IFERROR(VLOOKUP(Logs_Registre[[#This Row],[Cell_ID]],Registre_Maintenance[],3,FALSE),"")</f>
        <v>-9.3900009999999998</v>
      </c>
      <c r="I712">
        <f>IFERROR(VLOOKUP(Logs_Registre[[#This Row],[Cell_ID]],Registre_Maintenance[],4,FALSE),"")</f>
        <v>30.001517</v>
      </c>
      <c r="J712" t="str">
        <f>IFERROR(VLOOKUP(Logs_Registre[[#This Row],[Cell_ID]],Registre_Maintenance[],5,FALSE),"")</f>
        <v>3G</v>
      </c>
      <c r="K712" t="str">
        <f>IFERROR(VLOOKUP(Logs_Registre[[#This Row],[Cell_ID]],Registre_Maintenance[],6,FALSE),"")</f>
        <v>Nokia</v>
      </c>
    </row>
    <row r="713" spans="1:11" x14ac:dyDescent="0.25">
      <c r="A713" s="1" t="s">
        <v>999</v>
      </c>
      <c r="B713" s="1" t="s">
        <v>920</v>
      </c>
      <c r="C713" s="2">
        <v>45210.458333333343</v>
      </c>
      <c r="D713" s="3">
        <v>45210.458333333343</v>
      </c>
      <c r="E713">
        <v>95</v>
      </c>
      <c r="F713" s="1" t="s">
        <v>735</v>
      </c>
      <c r="G713" t="str">
        <f>IFERROR(VLOOKUP(Logs_Registre[[#This Row],[Cell_ID]],Registre_Maintenance[],2,FALSE),"")</f>
        <v>Haut-Lomami</v>
      </c>
      <c r="H713">
        <f>IFERROR(VLOOKUP(Logs_Registre[[#This Row],[Cell_ID]],Registre_Maintenance[],3,FALSE),"")</f>
        <v>-12.112682</v>
      </c>
      <c r="I713">
        <f>IFERROR(VLOOKUP(Logs_Registre[[#This Row],[Cell_ID]],Registre_Maintenance[],4,FALSE),"")</f>
        <v>19.972052000000001</v>
      </c>
      <c r="J713" t="str">
        <f>IFERROR(VLOOKUP(Logs_Registre[[#This Row],[Cell_ID]],Registre_Maintenance[],5,FALSE),"")</f>
        <v>4G</v>
      </c>
      <c r="K713" t="str">
        <f>IFERROR(VLOOKUP(Logs_Registre[[#This Row],[Cell_ID]],Registre_Maintenance[],6,FALSE),"")</f>
        <v>Huawei</v>
      </c>
    </row>
    <row r="714" spans="1:11" x14ac:dyDescent="0.25">
      <c r="A714" s="1" t="s">
        <v>861</v>
      </c>
      <c r="B714" s="1" t="s">
        <v>872</v>
      </c>
      <c r="C714" s="2">
        <v>45210.45</v>
      </c>
      <c r="D714" s="3">
        <v>45210.45</v>
      </c>
      <c r="E714">
        <v>66</v>
      </c>
      <c r="F714" s="1" t="s">
        <v>732</v>
      </c>
      <c r="G714" t="str">
        <f>IFERROR(VLOOKUP(Logs_Registre[[#This Row],[Cell_ID]],Registre_Maintenance[],2,FALSE),"")</f>
        <v>Lualaba</v>
      </c>
      <c r="H714">
        <f>IFERROR(VLOOKUP(Logs_Registre[[#This Row],[Cell_ID]],Registre_Maintenance[],3,FALSE),"")</f>
        <v>-9.7803979999999999</v>
      </c>
      <c r="I714">
        <f>IFERROR(VLOOKUP(Logs_Registre[[#This Row],[Cell_ID]],Registre_Maintenance[],4,FALSE),"")</f>
        <v>17.686595000000001</v>
      </c>
      <c r="J714" t="str">
        <f>IFERROR(VLOOKUP(Logs_Registre[[#This Row],[Cell_ID]],Registre_Maintenance[],5,FALSE),"")</f>
        <v>4G</v>
      </c>
      <c r="K714" t="str">
        <f>IFERROR(VLOOKUP(Logs_Registre[[#This Row],[Cell_ID]],Registre_Maintenance[],6,FALSE),"")</f>
        <v>Ericsson</v>
      </c>
    </row>
    <row r="715" spans="1:11" x14ac:dyDescent="0.25">
      <c r="A715" s="1" t="s">
        <v>1165</v>
      </c>
      <c r="B715" s="1" t="s">
        <v>832</v>
      </c>
      <c r="C715" s="2">
        <v>45210.39166666667</v>
      </c>
      <c r="D715" s="3">
        <v>45210.39166666667</v>
      </c>
      <c r="E715">
        <v>85</v>
      </c>
      <c r="F715" s="1" t="s">
        <v>735</v>
      </c>
      <c r="G715" t="str">
        <f>IFERROR(VLOOKUP(Logs_Registre[[#This Row],[Cell_ID]],Registre_Maintenance[],2,FALSE),"")</f>
        <v>Nord-Kivu</v>
      </c>
      <c r="H715">
        <f>IFERROR(VLOOKUP(Logs_Registre[[#This Row],[Cell_ID]],Registre_Maintenance[],3,FALSE),"")</f>
        <v>1.017161</v>
      </c>
      <c r="I715">
        <f>IFERROR(VLOOKUP(Logs_Registre[[#This Row],[Cell_ID]],Registre_Maintenance[],4,FALSE),"")</f>
        <v>16.519689</v>
      </c>
      <c r="J715" t="str">
        <f>IFERROR(VLOOKUP(Logs_Registre[[#This Row],[Cell_ID]],Registre_Maintenance[],5,FALSE),"")</f>
        <v>3G</v>
      </c>
      <c r="K715" t="str">
        <f>IFERROR(VLOOKUP(Logs_Registre[[#This Row],[Cell_ID]],Registre_Maintenance[],6,FALSE),"")</f>
        <v>Nokia</v>
      </c>
    </row>
    <row r="716" spans="1:11" x14ac:dyDescent="0.25">
      <c r="A716" s="1" t="s">
        <v>1241</v>
      </c>
      <c r="B716" s="1" t="s">
        <v>919</v>
      </c>
      <c r="C716" s="2">
        <v>45210.38958333333</v>
      </c>
      <c r="D716" s="3">
        <v>45210.38958333333</v>
      </c>
      <c r="E716">
        <v>85</v>
      </c>
      <c r="F716" s="1" t="s">
        <v>732</v>
      </c>
      <c r="G716" t="str">
        <f>IFERROR(VLOOKUP(Logs_Registre[[#This Row],[Cell_ID]],Registre_Maintenance[],2,FALSE),"")</f>
        <v>Maniema</v>
      </c>
      <c r="H716">
        <f>IFERROR(VLOOKUP(Logs_Registre[[#This Row],[Cell_ID]],Registre_Maintenance[],3,FALSE),"")</f>
        <v>-4.2645619999999997</v>
      </c>
      <c r="I716">
        <f>IFERROR(VLOOKUP(Logs_Registre[[#This Row],[Cell_ID]],Registre_Maintenance[],4,FALSE),"")</f>
        <v>18.960726000000001</v>
      </c>
      <c r="J716" t="str">
        <f>IFERROR(VLOOKUP(Logs_Registre[[#This Row],[Cell_ID]],Registre_Maintenance[],5,FALSE),"")</f>
        <v>4G</v>
      </c>
      <c r="K716" t="str">
        <f>IFERROR(VLOOKUP(Logs_Registre[[#This Row],[Cell_ID]],Registre_Maintenance[],6,FALSE),"")</f>
        <v>Huawei</v>
      </c>
    </row>
    <row r="717" spans="1:11" x14ac:dyDescent="0.25">
      <c r="A717" s="1" t="s">
        <v>1165</v>
      </c>
      <c r="B717" s="1" t="s">
        <v>1192</v>
      </c>
      <c r="C717" s="2">
        <v>45210.366666666669</v>
      </c>
      <c r="D717" s="3">
        <v>45210.366666666669</v>
      </c>
      <c r="E717">
        <v>67</v>
      </c>
      <c r="F717" s="1" t="s">
        <v>735</v>
      </c>
      <c r="G717" t="str">
        <f>IFERROR(VLOOKUP(Logs_Registre[[#This Row],[Cell_ID]],Registre_Maintenance[],2,FALSE),"")</f>
        <v>Lualaba</v>
      </c>
      <c r="H717">
        <f>IFERROR(VLOOKUP(Logs_Registre[[#This Row],[Cell_ID]],Registre_Maintenance[],3,FALSE),"")</f>
        <v>-8.0301989999999996</v>
      </c>
      <c r="I717">
        <f>IFERROR(VLOOKUP(Logs_Registre[[#This Row],[Cell_ID]],Registre_Maintenance[],4,FALSE),"")</f>
        <v>24.122495000000001</v>
      </c>
      <c r="J717" t="str">
        <f>IFERROR(VLOOKUP(Logs_Registre[[#This Row],[Cell_ID]],Registre_Maintenance[],5,FALSE),"")</f>
        <v>5G</v>
      </c>
      <c r="K717" t="str">
        <f>IFERROR(VLOOKUP(Logs_Registre[[#This Row],[Cell_ID]],Registre_Maintenance[],6,FALSE),"")</f>
        <v>ZTE</v>
      </c>
    </row>
    <row r="718" spans="1:11" x14ac:dyDescent="0.25">
      <c r="A718" s="1" t="s">
        <v>1261</v>
      </c>
      <c r="B718" s="1" t="s">
        <v>1069</v>
      </c>
      <c r="C718" s="2">
        <v>45210.30972222222</v>
      </c>
      <c r="D718" s="3">
        <v>45210.30972222222</v>
      </c>
      <c r="E718">
        <v>47</v>
      </c>
      <c r="F718" s="1" t="s">
        <v>735</v>
      </c>
      <c r="G718" t="str">
        <f>IFERROR(VLOOKUP(Logs_Registre[[#This Row],[Cell_ID]],Registre_Maintenance[],2,FALSE),"")</f>
        <v/>
      </c>
      <c r="H718" t="str">
        <f>IFERROR(VLOOKUP(Logs_Registre[[#This Row],[Cell_ID]],Registre_Maintenance[],3,FALSE),"")</f>
        <v/>
      </c>
      <c r="I718" t="str">
        <f>IFERROR(VLOOKUP(Logs_Registre[[#This Row],[Cell_ID]],Registre_Maintenance[],4,FALSE),"")</f>
        <v/>
      </c>
      <c r="J718" t="str">
        <f>IFERROR(VLOOKUP(Logs_Registre[[#This Row],[Cell_ID]],Registre_Maintenance[],5,FALSE),"")</f>
        <v/>
      </c>
      <c r="K718" t="str">
        <f>IFERROR(VLOOKUP(Logs_Registre[[#This Row],[Cell_ID]],Registre_Maintenance[],6,FALSE),"")</f>
        <v/>
      </c>
    </row>
    <row r="719" spans="1:11" x14ac:dyDescent="0.25">
      <c r="A719" s="1" t="s">
        <v>939</v>
      </c>
      <c r="B719" s="1" t="s">
        <v>941</v>
      </c>
      <c r="C719" s="2">
        <v>45210.280555555553</v>
      </c>
      <c r="D719" s="3">
        <v>45210.280555555553</v>
      </c>
      <c r="E719">
        <v>43</v>
      </c>
      <c r="F719" s="1" t="s">
        <v>735</v>
      </c>
      <c r="G719" t="str">
        <f>IFERROR(VLOOKUP(Logs_Registre[[#This Row],[Cell_ID]],Registre_Maintenance[],2,FALSE),"")</f>
        <v>Sud-Ubangi</v>
      </c>
      <c r="H719">
        <f>IFERROR(VLOOKUP(Logs_Registre[[#This Row],[Cell_ID]],Registre_Maintenance[],3,FALSE),"")</f>
        <v>-12.342053999999999</v>
      </c>
      <c r="I719">
        <f>IFERROR(VLOOKUP(Logs_Registre[[#This Row],[Cell_ID]],Registre_Maintenance[],4,FALSE),"")</f>
        <v>18.756862000000002</v>
      </c>
      <c r="J719" t="str">
        <f>IFERROR(VLOOKUP(Logs_Registre[[#This Row],[Cell_ID]],Registre_Maintenance[],5,FALSE),"")</f>
        <v>3G</v>
      </c>
      <c r="K719" t="str">
        <f>IFERROR(VLOOKUP(Logs_Registre[[#This Row],[Cell_ID]],Registre_Maintenance[],6,FALSE),"")</f>
        <v>Ericsson</v>
      </c>
    </row>
    <row r="720" spans="1:11" x14ac:dyDescent="0.25">
      <c r="A720" s="1" t="s">
        <v>861</v>
      </c>
      <c r="B720" s="1" t="s">
        <v>871</v>
      </c>
      <c r="C720" s="2">
        <v>45210.270138888889</v>
      </c>
      <c r="D720" s="3">
        <v>45210.270138888889</v>
      </c>
      <c r="E720">
        <v>104</v>
      </c>
      <c r="F720" s="1" t="s">
        <v>737</v>
      </c>
      <c r="G720" t="str">
        <f>IFERROR(VLOOKUP(Logs_Registre[[#This Row],[Cell_ID]],Registre_Maintenance[],2,FALSE),"")</f>
        <v/>
      </c>
      <c r="H720" t="str">
        <f>IFERROR(VLOOKUP(Logs_Registre[[#This Row],[Cell_ID]],Registre_Maintenance[],3,FALSE),"")</f>
        <v/>
      </c>
      <c r="I720" t="str">
        <f>IFERROR(VLOOKUP(Logs_Registre[[#This Row],[Cell_ID]],Registre_Maintenance[],4,FALSE),"")</f>
        <v/>
      </c>
      <c r="J720" t="str">
        <f>IFERROR(VLOOKUP(Logs_Registre[[#This Row],[Cell_ID]],Registre_Maintenance[],5,FALSE),"")</f>
        <v/>
      </c>
      <c r="K720" t="str">
        <f>IFERROR(VLOOKUP(Logs_Registre[[#This Row],[Cell_ID]],Registre_Maintenance[],6,FALSE),"")</f>
        <v/>
      </c>
    </row>
    <row r="721" spans="1:11" x14ac:dyDescent="0.25">
      <c r="A721" s="1" t="s">
        <v>1308</v>
      </c>
      <c r="B721" s="1" t="s">
        <v>1300</v>
      </c>
      <c r="C721" s="2">
        <v>45210.24722222222</v>
      </c>
      <c r="D721" s="3">
        <v>45210.24722222222</v>
      </c>
      <c r="E721">
        <v>74</v>
      </c>
      <c r="F721" s="1" t="s">
        <v>732</v>
      </c>
      <c r="G721" t="str">
        <f>IFERROR(VLOOKUP(Logs_Registre[[#This Row],[Cell_ID]],Registre_Maintenance[],2,FALSE),"")</f>
        <v/>
      </c>
      <c r="H721" t="str">
        <f>IFERROR(VLOOKUP(Logs_Registre[[#This Row],[Cell_ID]],Registre_Maintenance[],3,FALSE),"")</f>
        <v/>
      </c>
      <c r="I721" t="str">
        <f>IFERROR(VLOOKUP(Logs_Registre[[#This Row],[Cell_ID]],Registre_Maintenance[],4,FALSE),"")</f>
        <v/>
      </c>
      <c r="J721" t="str">
        <f>IFERROR(VLOOKUP(Logs_Registre[[#This Row],[Cell_ID]],Registre_Maintenance[],5,FALSE),"")</f>
        <v/>
      </c>
      <c r="K721" t="str">
        <f>IFERROR(VLOOKUP(Logs_Registre[[#This Row],[Cell_ID]],Registre_Maintenance[],6,FALSE),"")</f>
        <v/>
      </c>
    </row>
    <row r="722" spans="1:11" x14ac:dyDescent="0.25">
      <c r="A722" s="1" t="s">
        <v>1059</v>
      </c>
      <c r="B722" s="1" t="s">
        <v>1074</v>
      </c>
      <c r="C722" s="2">
        <v>45210.168055555558</v>
      </c>
      <c r="D722" s="3">
        <v>45210.168055555558</v>
      </c>
      <c r="E722">
        <v>110</v>
      </c>
      <c r="F722" s="1" t="s">
        <v>732</v>
      </c>
      <c r="G722" t="str">
        <f>IFERROR(VLOOKUP(Logs_Registre[[#This Row],[Cell_ID]],Registre_Maintenance[],2,FALSE),"")</f>
        <v>Tanganyika</v>
      </c>
      <c r="H722">
        <f>IFERROR(VLOOKUP(Logs_Registre[[#This Row],[Cell_ID]],Registre_Maintenance[],3,FALSE),"")</f>
        <v>-9.9565739999999998</v>
      </c>
      <c r="I722">
        <f>IFERROR(VLOOKUP(Logs_Registre[[#This Row],[Cell_ID]],Registre_Maintenance[],4,FALSE),"")</f>
        <v>21.017202000000001</v>
      </c>
      <c r="J722" t="str">
        <f>IFERROR(VLOOKUP(Logs_Registre[[#This Row],[Cell_ID]],Registre_Maintenance[],5,FALSE),"")</f>
        <v>4G</v>
      </c>
      <c r="K722" t="str">
        <f>IFERROR(VLOOKUP(Logs_Registre[[#This Row],[Cell_ID]],Registre_Maintenance[],6,FALSE),"")</f>
        <v>Huawei</v>
      </c>
    </row>
    <row r="723" spans="1:11" x14ac:dyDescent="0.25">
      <c r="A723" s="1" t="s">
        <v>730</v>
      </c>
      <c r="B723" s="1" t="s">
        <v>750</v>
      </c>
      <c r="C723" s="2">
        <v>45210.128472222219</v>
      </c>
      <c r="D723" s="3">
        <v>45210.128472222219</v>
      </c>
      <c r="E723">
        <v>115</v>
      </c>
      <c r="F723" s="1" t="s">
        <v>732</v>
      </c>
      <c r="G723" t="str">
        <f>IFERROR(VLOOKUP(Logs_Registre[[#This Row],[Cell_ID]],Registre_Maintenance[],2,FALSE),"")</f>
        <v/>
      </c>
      <c r="H723" t="str">
        <f>IFERROR(VLOOKUP(Logs_Registre[[#This Row],[Cell_ID]],Registre_Maintenance[],3,FALSE),"")</f>
        <v/>
      </c>
      <c r="I723" t="str">
        <f>IFERROR(VLOOKUP(Logs_Registre[[#This Row],[Cell_ID]],Registre_Maintenance[],4,FALSE),"")</f>
        <v/>
      </c>
      <c r="J723" t="str">
        <f>IFERROR(VLOOKUP(Logs_Registre[[#This Row],[Cell_ID]],Registre_Maintenance[],5,FALSE),"")</f>
        <v/>
      </c>
      <c r="K723" t="str">
        <f>IFERROR(VLOOKUP(Logs_Registre[[#This Row],[Cell_ID]],Registre_Maintenance[],6,FALSE),"")</f>
        <v/>
      </c>
    </row>
    <row r="724" spans="1:11" x14ac:dyDescent="0.25">
      <c r="A724" s="1" t="s">
        <v>939</v>
      </c>
      <c r="B724" s="1" t="s">
        <v>965</v>
      </c>
      <c r="C724" s="2">
        <v>45210.054166666669</v>
      </c>
      <c r="D724" s="3">
        <v>45210.054166666669</v>
      </c>
      <c r="E724">
        <v>68</v>
      </c>
      <c r="F724" s="1" t="s">
        <v>737</v>
      </c>
      <c r="G724" t="str">
        <f>IFERROR(VLOOKUP(Logs_Registre[[#This Row],[Cell_ID]],Registre_Maintenance[],2,FALSE),"")</f>
        <v/>
      </c>
      <c r="H724" t="str">
        <f>IFERROR(VLOOKUP(Logs_Registre[[#This Row],[Cell_ID]],Registre_Maintenance[],3,FALSE),"")</f>
        <v/>
      </c>
      <c r="I724" t="str">
        <f>IFERROR(VLOOKUP(Logs_Registre[[#This Row],[Cell_ID]],Registre_Maintenance[],4,FALSE),"")</f>
        <v/>
      </c>
      <c r="J724" t="str">
        <f>IFERROR(VLOOKUP(Logs_Registre[[#This Row],[Cell_ID]],Registre_Maintenance[],5,FALSE),"")</f>
        <v/>
      </c>
      <c r="K724" t="str">
        <f>IFERROR(VLOOKUP(Logs_Registre[[#This Row],[Cell_ID]],Registre_Maintenance[],6,FALSE),"")</f>
        <v/>
      </c>
    </row>
    <row r="725" spans="1:11" x14ac:dyDescent="0.25">
      <c r="A725" s="1" t="s">
        <v>730</v>
      </c>
      <c r="B725" s="1" t="s">
        <v>771</v>
      </c>
      <c r="C725" s="2">
        <v>45210.051388888889</v>
      </c>
      <c r="D725" s="3">
        <v>45210.051388888889</v>
      </c>
      <c r="E725">
        <v>73</v>
      </c>
      <c r="F725" s="1" t="s">
        <v>732</v>
      </c>
      <c r="G725" t="str">
        <f>IFERROR(VLOOKUP(Logs_Registre[[#This Row],[Cell_ID]],Registre_Maintenance[],2,FALSE),"")</f>
        <v>Tanganyika</v>
      </c>
      <c r="H725">
        <f>IFERROR(VLOOKUP(Logs_Registre[[#This Row],[Cell_ID]],Registre_Maintenance[],3,FALSE),"")</f>
        <v>-10.776204</v>
      </c>
      <c r="I725">
        <f>IFERROR(VLOOKUP(Logs_Registre[[#This Row],[Cell_ID]],Registre_Maintenance[],4,FALSE),"")</f>
        <v>24.672934000000001</v>
      </c>
      <c r="J725" t="str">
        <f>IFERROR(VLOOKUP(Logs_Registre[[#This Row],[Cell_ID]],Registre_Maintenance[],5,FALSE),"")</f>
        <v>4G</v>
      </c>
      <c r="K725" t="str">
        <f>IFERROR(VLOOKUP(Logs_Registre[[#This Row],[Cell_ID]],Registre_Maintenance[],6,FALSE),"")</f>
        <v>Ericsson</v>
      </c>
    </row>
    <row r="726" spans="1:11" x14ac:dyDescent="0.25">
      <c r="A726" s="1" t="s">
        <v>1361</v>
      </c>
      <c r="B726" s="1" t="s">
        <v>1072</v>
      </c>
      <c r="C726" s="2">
        <v>45210.03125</v>
      </c>
      <c r="D726" s="3">
        <v>45210.03125</v>
      </c>
      <c r="E726">
        <v>63</v>
      </c>
      <c r="F726" s="1" t="s">
        <v>737</v>
      </c>
      <c r="G726" t="str">
        <f>IFERROR(VLOOKUP(Logs_Registre[[#This Row],[Cell_ID]],Registre_Maintenance[],2,FALSE),"")</f>
        <v>Kwango</v>
      </c>
      <c r="H726">
        <f>IFERROR(VLOOKUP(Logs_Registre[[#This Row],[Cell_ID]],Registre_Maintenance[],3,FALSE),"")</f>
        <v>-9.0798120000000004</v>
      </c>
      <c r="I726">
        <f>IFERROR(VLOOKUP(Logs_Registre[[#This Row],[Cell_ID]],Registre_Maintenance[],4,FALSE),"")</f>
        <v>14.945484</v>
      </c>
      <c r="J726" t="str">
        <f>IFERROR(VLOOKUP(Logs_Registre[[#This Row],[Cell_ID]],Registre_Maintenance[],5,FALSE),"")</f>
        <v>5G</v>
      </c>
      <c r="K726" t="str">
        <f>IFERROR(VLOOKUP(Logs_Registre[[#This Row],[Cell_ID]],Registre_Maintenance[],6,FALSE),"")</f>
        <v>Ericsson</v>
      </c>
    </row>
    <row r="727" spans="1:11" x14ac:dyDescent="0.25">
      <c r="A727" s="1" t="s">
        <v>978</v>
      </c>
      <c r="B727" s="1" t="s">
        <v>998</v>
      </c>
      <c r="C727" s="2">
        <v>45210.007638888892</v>
      </c>
      <c r="D727" s="3">
        <v>45210.007638888892</v>
      </c>
      <c r="E727">
        <v>59</v>
      </c>
      <c r="F727" s="1" t="s">
        <v>735</v>
      </c>
      <c r="G727" t="str">
        <f>IFERROR(VLOOKUP(Logs_Registre[[#This Row],[Cell_ID]],Registre_Maintenance[],2,FALSE),"")</f>
        <v/>
      </c>
      <c r="H727" t="str">
        <f>IFERROR(VLOOKUP(Logs_Registre[[#This Row],[Cell_ID]],Registre_Maintenance[],3,FALSE),"")</f>
        <v/>
      </c>
      <c r="I727" t="str">
        <f>IFERROR(VLOOKUP(Logs_Registre[[#This Row],[Cell_ID]],Registre_Maintenance[],4,FALSE),"")</f>
        <v/>
      </c>
      <c r="J727" t="str">
        <f>IFERROR(VLOOKUP(Logs_Registre[[#This Row],[Cell_ID]],Registre_Maintenance[],5,FALSE),"")</f>
        <v/>
      </c>
      <c r="K727" t="str">
        <f>IFERROR(VLOOKUP(Logs_Registre[[#This Row],[Cell_ID]],Registre_Maintenance[],6,FALSE),"")</f>
        <v/>
      </c>
    </row>
    <row r="728" spans="1:11" x14ac:dyDescent="0.25">
      <c r="A728" s="1" t="s">
        <v>1241</v>
      </c>
      <c r="B728" s="1" t="s">
        <v>1254</v>
      </c>
      <c r="C728" s="2">
        <v>45209.988888888889</v>
      </c>
      <c r="D728" s="3">
        <v>45209.988888888889</v>
      </c>
      <c r="E728">
        <v>80</v>
      </c>
      <c r="F728" s="1" t="s">
        <v>735</v>
      </c>
      <c r="G728" t="str">
        <f>IFERROR(VLOOKUP(Logs_Registre[[#This Row],[Cell_ID]],Registre_Maintenance[],2,FALSE),"")</f>
        <v/>
      </c>
      <c r="H728" t="str">
        <f>IFERROR(VLOOKUP(Logs_Registre[[#This Row],[Cell_ID]],Registre_Maintenance[],3,FALSE),"")</f>
        <v/>
      </c>
      <c r="I728" t="str">
        <f>IFERROR(VLOOKUP(Logs_Registre[[#This Row],[Cell_ID]],Registre_Maintenance[],4,FALSE),"")</f>
        <v/>
      </c>
      <c r="J728" t="str">
        <f>IFERROR(VLOOKUP(Logs_Registre[[#This Row],[Cell_ID]],Registre_Maintenance[],5,FALSE),"")</f>
        <v/>
      </c>
      <c r="K728" t="str">
        <f>IFERROR(VLOOKUP(Logs_Registre[[#This Row],[Cell_ID]],Registre_Maintenance[],6,FALSE),"")</f>
        <v/>
      </c>
    </row>
    <row r="729" spans="1:11" x14ac:dyDescent="0.25">
      <c r="A729" s="1" t="s">
        <v>1308</v>
      </c>
      <c r="B729" s="1" t="s">
        <v>1200</v>
      </c>
      <c r="C729" s="2">
        <v>45209.988888888889</v>
      </c>
      <c r="D729" s="3">
        <v>45209.988888888889</v>
      </c>
      <c r="E729">
        <v>51</v>
      </c>
      <c r="F729" s="1" t="s">
        <v>735</v>
      </c>
      <c r="G729" t="str">
        <f>IFERROR(VLOOKUP(Logs_Registre[[#This Row],[Cell_ID]],Registre_Maintenance[],2,FALSE),"")</f>
        <v>Equateur</v>
      </c>
      <c r="H729">
        <f>IFERROR(VLOOKUP(Logs_Registre[[#This Row],[Cell_ID]],Registre_Maintenance[],3,FALSE),"")</f>
        <v>-6.1490739999999997</v>
      </c>
      <c r="I729">
        <f>IFERROR(VLOOKUP(Logs_Registre[[#This Row],[Cell_ID]],Registre_Maintenance[],4,FALSE),"")</f>
        <v>23.304411000000002</v>
      </c>
      <c r="J729" t="str">
        <f>IFERROR(VLOOKUP(Logs_Registre[[#This Row],[Cell_ID]],Registre_Maintenance[],5,FALSE),"")</f>
        <v>5G</v>
      </c>
      <c r="K729" t="str">
        <f>IFERROR(VLOOKUP(Logs_Registre[[#This Row],[Cell_ID]],Registre_Maintenance[],6,FALSE),"")</f>
        <v>ZTE</v>
      </c>
    </row>
    <row r="730" spans="1:11" x14ac:dyDescent="0.25">
      <c r="A730" s="1" t="s">
        <v>1330</v>
      </c>
      <c r="B730" s="1" t="s">
        <v>1255</v>
      </c>
      <c r="C730" s="2">
        <v>45209.977777777778</v>
      </c>
      <c r="D730" s="3">
        <v>45209.977777777778</v>
      </c>
      <c r="E730">
        <v>6</v>
      </c>
      <c r="F730" s="1" t="s">
        <v>737</v>
      </c>
      <c r="G730" t="str">
        <f>IFERROR(VLOOKUP(Logs_Registre[[#This Row],[Cell_ID]],Registre_Maintenance[],2,FALSE),"")</f>
        <v/>
      </c>
      <c r="H730" t="str">
        <f>IFERROR(VLOOKUP(Logs_Registre[[#This Row],[Cell_ID]],Registre_Maintenance[],3,FALSE),"")</f>
        <v/>
      </c>
      <c r="I730" t="str">
        <f>IFERROR(VLOOKUP(Logs_Registre[[#This Row],[Cell_ID]],Registre_Maintenance[],4,FALSE),"")</f>
        <v/>
      </c>
      <c r="J730" t="str">
        <f>IFERROR(VLOOKUP(Logs_Registre[[#This Row],[Cell_ID]],Registre_Maintenance[],5,FALSE),"")</f>
        <v/>
      </c>
      <c r="K730" t="str">
        <f>IFERROR(VLOOKUP(Logs_Registre[[#This Row],[Cell_ID]],Registre_Maintenance[],6,FALSE),"")</f>
        <v/>
      </c>
    </row>
    <row r="731" spans="1:11" x14ac:dyDescent="0.25">
      <c r="A731" s="1" t="s">
        <v>902</v>
      </c>
      <c r="B731" s="1" t="s">
        <v>924</v>
      </c>
      <c r="C731" s="2">
        <v>45209.954861111109</v>
      </c>
      <c r="D731" s="3">
        <v>45209.954861111109</v>
      </c>
      <c r="E731">
        <v>57</v>
      </c>
      <c r="F731" s="1" t="s">
        <v>732</v>
      </c>
      <c r="G731" t="str">
        <f>IFERROR(VLOOKUP(Logs_Registre[[#This Row],[Cell_ID]],Registre_Maintenance[],2,FALSE),"")</f>
        <v/>
      </c>
      <c r="H731" t="str">
        <f>IFERROR(VLOOKUP(Logs_Registre[[#This Row],[Cell_ID]],Registre_Maintenance[],3,FALSE),"")</f>
        <v/>
      </c>
      <c r="I731" t="str">
        <f>IFERROR(VLOOKUP(Logs_Registre[[#This Row],[Cell_ID]],Registre_Maintenance[],4,FALSE),"")</f>
        <v/>
      </c>
      <c r="J731" t="str">
        <f>IFERROR(VLOOKUP(Logs_Registre[[#This Row],[Cell_ID]],Registre_Maintenance[],5,FALSE),"")</f>
        <v/>
      </c>
      <c r="K731" t="str">
        <f>IFERROR(VLOOKUP(Logs_Registre[[#This Row],[Cell_ID]],Registre_Maintenance[],6,FALSE),"")</f>
        <v/>
      </c>
    </row>
    <row r="732" spans="1:11" x14ac:dyDescent="0.25">
      <c r="A732" s="1" t="s">
        <v>1382</v>
      </c>
      <c r="B732" s="1" t="s">
        <v>1158</v>
      </c>
      <c r="C732" s="2">
        <v>45209.940972222219</v>
      </c>
      <c r="D732" s="3">
        <v>45209.940972222219</v>
      </c>
      <c r="E732">
        <v>30</v>
      </c>
      <c r="F732" s="1" t="s">
        <v>737</v>
      </c>
      <c r="G732" t="str">
        <f>IFERROR(VLOOKUP(Logs_Registre[[#This Row],[Cell_ID]],Registre_Maintenance[],2,FALSE),"")</f>
        <v/>
      </c>
      <c r="H732" t="str">
        <f>IFERROR(VLOOKUP(Logs_Registre[[#This Row],[Cell_ID]],Registre_Maintenance[],3,FALSE),"")</f>
        <v/>
      </c>
      <c r="I732" t="str">
        <f>IFERROR(VLOOKUP(Logs_Registre[[#This Row],[Cell_ID]],Registre_Maintenance[],4,FALSE),"")</f>
        <v/>
      </c>
      <c r="J732" t="str">
        <f>IFERROR(VLOOKUP(Logs_Registre[[#This Row],[Cell_ID]],Registre_Maintenance[],5,FALSE),"")</f>
        <v/>
      </c>
      <c r="K732" t="str">
        <f>IFERROR(VLOOKUP(Logs_Registre[[#This Row],[Cell_ID]],Registre_Maintenance[],6,FALSE),"")</f>
        <v/>
      </c>
    </row>
    <row r="733" spans="1:11" x14ac:dyDescent="0.25">
      <c r="A733" s="1" t="s">
        <v>1330</v>
      </c>
      <c r="B733" s="1" t="s">
        <v>792</v>
      </c>
      <c r="C733" s="2">
        <v>45209.938888888893</v>
      </c>
      <c r="D733" s="3">
        <v>45209.938888888893</v>
      </c>
      <c r="E733">
        <v>37</v>
      </c>
      <c r="F733" s="1" t="s">
        <v>735</v>
      </c>
      <c r="G733" t="str">
        <f>IFERROR(VLOOKUP(Logs_Registre[[#This Row],[Cell_ID]],Registre_Maintenance[],2,FALSE),"")</f>
        <v>Haut-Katanga</v>
      </c>
      <c r="H733">
        <f>IFERROR(VLOOKUP(Logs_Registre[[#This Row],[Cell_ID]],Registre_Maintenance[],3,FALSE),"")</f>
        <v>-5.5445120000000001</v>
      </c>
      <c r="I733">
        <f>IFERROR(VLOOKUP(Logs_Registre[[#This Row],[Cell_ID]],Registre_Maintenance[],4,FALSE),"")</f>
        <v>27.547335</v>
      </c>
      <c r="J733" t="str">
        <f>IFERROR(VLOOKUP(Logs_Registre[[#This Row],[Cell_ID]],Registre_Maintenance[],5,FALSE),"")</f>
        <v>4G</v>
      </c>
      <c r="K733" t="str">
        <f>IFERROR(VLOOKUP(Logs_Registre[[#This Row],[Cell_ID]],Registre_Maintenance[],6,FALSE),"")</f>
        <v>Ericsson</v>
      </c>
    </row>
    <row r="734" spans="1:11" x14ac:dyDescent="0.25">
      <c r="A734" s="1" t="s">
        <v>1114</v>
      </c>
      <c r="B734" s="1" t="s">
        <v>1136</v>
      </c>
      <c r="C734" s="2">
        <v>45209.925694444442</v>
      </c>
      <c r="D734" s="3">
        <v>45209.925694444442</v>
      </c>
      <c r="E734">
        <v>35</v>
      </c>
      <c r="F734" s="1" t="s">
        <v>732</v>
      </c>
      <c r="G734" t="str">
        <f>IFERROR(VLOOKUP(Logs_Registre[[#This Row],[Cell_ID]],Registre_Maintenance[],2,FALSE),"")</f>
        <v/>
      </c>
      <c r="H734" t="str">
        <f>IFERROR(VLOOKUP(Logs_Registre[[#This Row],[Cell_ID]],Registre_Maintenance[],3,FALSE),"")</f>
        <v/>
      </c>
      <c r="I734" t="str">
        <f>IFERROR(VLOOKUP(Logs_Registre[[#This Row],[Cell_ID]],Registre_Maintenance[],4,FALSE),"")</f>
        <v/>
      </c>
      <c r="J734" t="str">
        <f>IFERROR(VLOOKUP(Logs_Registre[[#This Row],[Cell_ID]],Registre_Maintenance[],5,FALSE),"")</f>
        <v/>
      </c>
      <c r="K734" t="str">
        <f>IFERROR(VLOOKUP(Logs_Registre[[#This Row],[Cell_ID]],Registre_Maintenance[],6,FALSE),"")</f>
        <v/>
      </c>
    </row>
    <row r="735" spans="1:11" x14ac:dyDescent="0.25">
      <c r="A735" s="1" t="s">
        <v>1138</v>
      </c>
      <c r="B735" s="1" t="s">
        <v>922</v>
      </c>
      <c r="C735" s="2">
        <v>45209.921527777777</v>
      </c>
      <c r="D735" s="3">
        <v>45209.921527777777</v>
      </c>
      <c r="E735">
        <v>119</v>
      </c>
      <c r="F735" s="1" t="s">
        <v>732</v>
      </c>
      <c r="G735" t="str">
        <f>IFERROR(VLOOKUP(Logs_Registre[[#This Row],[Cell_ID]],Registre_Maintenance[],2,FALSE),"")</f>
        <v>Bas-Uele</v>
      </c>
      <c r="H735">
        <f>IFERROR(VLOOKUP(Logs_Registre[[#This Row],[Cell_ID]],Registre_Maintenance[],3,FALSE),"")</f>
        <v>1.5278670000000001</v>
      </c>
      <c r="I735">
        <f>IFERROR(VLOOKUP(Logs_Registre[[#This Row],[Cell_ID]],Registre_Maintenance[],4,FALSE),"")</f>
        <v>13.899388999999999</v>
      </c>
      <c r="J735" t="str">
        <f>IFERROR(VLOOKUP(Logs_Registre[[#This Row],[Cell_ID]],Registre_Maintenance[],5,FALSE),"")</f>
        <v>3G</v>
      </c>
      <c r="K735" t="str">
        <f>IFERROR(VLOOKUP(Logs_Registre[[#This Row],[Cell_ID]],Registre_Maintenance[],6,FALSE),"")</f>
        <v>Huawei</v>
      </c>
    </row>
    <row r="736" spans="1:11" x14ac:dyDescent="0.25">
      <c r="A736" s="1" t="s">
        <v>1404</v>
      </c>
      <c r="B736" s="1" t="s">
        <v>1057</v>
      </c>
      <c r="C736" s="2">
        <v>45209.913888888892</v>
      </c>
      <c r="D736" s="3">
        <v>45209.913888888892</v>
      </c>
      <c r="E736">
        <v>111</v>
      </c>
      <c r="F736" s="1" t="s">
        <v>737</v>
      </c>
      <c r="G736" t="str">
        <f>IFERROR(VLOOKUP(Logs_Registre[[#This Row],[Cell_ID]],Registre_Maintenance[],2,FALSE),"")</f>
        <v>Bas-Uele</v>
      </c>
      <c r="H736">
        <f>IFERROR(VLOOKUP(Logs_Registre[[#This Row],[Cell_ID]],Registre_Maintenance[],3,FALSE),"")</f>
        <v>-6.4197189999999997</v>
      </c>
      <c r="I736">
        <f>IFERROR(VLOOKUP(Logs_Registre[[#This Row],[Cell_ID]],Registre_Maintenance[],4,FALSE),"")</f>
        <v>22.287264</v>
      </c>
      <c r="J736" t="str">
        <f>IFERROR(VLOOKUP(Logs_Registre[[#This Row],[Cell_ID]],Registre_Maintenance[],5,FALSE),"")</f>
        <v>3G</v>
      </c>
      <c r="K736" t="str">
        <f>IFERROR(VLOOKUP(Logs_Registre[[#This Row],[Cell_ID]],Registre_Maintenance[],6,FALSE),"")</f>
        <v>Ericsson</v>
      </c>
    </row>
    <row r="737" spans="1:11" x14ac:dyDescent="0.25">
      <c r="A737" s="1" t="s">
        <v>1261</v>
      </c>
      <c r="B737" s="1" t="s">
        <v>1264</v>
      </c>
      <c r="C737" s="2">
        <v>45209.907638888893</v>
      </c>
      <c r="D737" s="3">
        <v>45209.907638888893</v>
      </c>
      <c r="E737">
        <v>99</v>
      </c>
      <c r="F737" s="1" t="s">
        <v>737</v>
      </c>
      <c r="G737" t="str">
        <f>IFERROR(VLOOKUP(Logs_Registre[[#This Row],[Cell_ID]],Registre_Maintenance[],2,FALSE),"")</f>
        <v>Kasai</v>
      </c>
      <c r="H737">
        <f>IFERROR(VLOOKUP(Logs_Registre[[#This Row],[Cell_ID]],Registre_Maintenance[],3,FALSE),"")</f>
        <v>-7.6757720000000003</v>
      </c>
      <c r="I737">
        <f>IFERROR(VLOOKUP(Logs_Registre[[#This Row],[Cell_ID]],Registre_Maintenance[],4,FALSE),"")</f>
        <v>30.222971000000001</v>
      </c>
      <c r="J737" t="str">
        <f>IFERROR(VLOOKUP(Logs_Registre[[#This Row],[Cell_ID]],Registre_Maintenance[],5,FALSE),"")</f>
        <v>5G</v>
      </c>
      <c r="K737" t="str">
        <f>IFERROR(VLOOKUP(Logs_Registre[[#This Row],[Cell_ID]],Registre_Maintenance[],6,FALSE),"")</f>
        <v>Ericsson</v>
      </c>
    </row>
    <row r="738" spans="1:11" x14ac:dyDescent="0.25">
      <c r="A738" s="1" t="s">
        <v>999</v>
      </c>
      <c r="B738" s="1" t="s">
        <v>759</v>
      </c>
      <c r="C738" s="2">
        <v>45209.904861111107</v>
      </c>
      <c r="D738" s="3">
        <v>45209.904861111107</v>
      </c>
      <c r="E738">
        <v>45</v>
      </c>
      <c r="F738" s="1" t="s">
        <v>737</v>
      </c>
      <c r="G738" t="str">
        <f>IFERROR(VLOOKUP(Logs_Registre[[#This Row],[Cell_ID]],Registre_Maintenance[],2,FALSE),"")</f>
        <v/>
      </c>
      <c r="H738" t="str">
        <f>IFERROR(VLOOKUP(Logs_Registre[[#This Row],[Cell_ID]],Registre_Maintenance[],3,FALSE),"")</f>
        <v/>
      </c>
      <c r="I738" t="str">
        <f>IFERROR(VLOOKUP(Logs_Registre[[#This Row],[Cell_ID]],Registre_Maintenance[],4,FALSE),"")</f>
        <v/>
      </c>
      <c r="J738" t="str">
        <f>IFERROR(VLOOKUP(Logs_Registre[[#This Row],[Cell_ID]],Registre_Maintenance[],5,FALSE),"")</f>
        <v/>
      </c>
      <c r="K738" t="str">
        <f>IFERROR(VLOOKUP(Logs_Registre[[#This Row],[Cell_ID]],Registre_Maintenance[],6,FALSE),"")</f>
        <v/>
      </c>
    </row>
    <row r="739" spans="1:11" x14ac:dyDescent="0.25">
      <c r="A739" s="1" t="s">
        <v>861</v>
      </c>
      <c r="B739" s="1" t="s">
        <v>893</v>
      </c>
      <c r="C739" s="2">
        <v>45209.901388888888</v>
      </c>
      <c r="D739" s="3">
        <v>45209.901388888888</v>
      </c>
      <c r="E739">
        <v>68</v>
      </c>
      <c r="F739" s="1" t="s">
        <v>735</v>
      </c>
      <c r="G739" t="str">
        <f>IFERROR(VLOOKUP(Logs_Registre[[#This Row],[Cell_ID]],Registre_Maintenance[],2,FALSE),"")</f>
        <v>Sud-Ubangi</v>
      </c>
      <c r="H739">
        <f>IFERROR(VLOOKUP(Logs_Registre[[#This Row],[Cell_ID]],Registre_Maintenance[],3,FALSE),"")</f>
        <v>-8.3241560000000003</v>
      </c>
      <c r="I739">
        <f>IFERROR(VLOOKUP(Logs_Registre[[#This Row],[Cell_ID]],Registre_Maintenance[],4,FALSE),"")</f>
        <v>19.543866000000001</v>
      </c>
      <c r="J739" t="str">
        <f>IFERROR(VLOOKUP(Logs_Registre[[#This Row],[Cell_ID]],Registre_Maintenance[],5,FALSE),"")</f>
        <v>4G</v>
      </c>
      <c r="K739" t="str">
        <f>IFERROR(VLOOKUP(Logs_Registre[[#This Row],[Cell_ID]],Registre_Maintenance[],6,FALSE),"")</f>
        <v>ZTE</v>
      </c>
    </row>
    <row r="740" spans="1:11" x14ac:dyDescent="0.25">
      <c r="A740" s="1" t="s">
        <v>939</v>
      </c>
      <c r="B740" s="1" t="s">
        <v>910</v>
      </c>
      <c r="C740" s="2">
        <v>45209.898611111108</v>
      </c>
      <c r="D740" s="3">
        <v>45209.898611111108</v>
      </c>
      <c r="E740">
        <v>29</v>
      </c>
      <c r="F740" s="1" t="s">
        <v>735</v>
      </c>
      <c r="G740" t="str">
        <f>IFERROR(VLOOKUP(Logs_Registre[[#This Row],[Cell_ID]],Registre_Maintenance[],2,FALSE),"")</f>
        <v>Lualaba</v>
      </c>
      <c r="H740">
        <f>IFERROR(VLOOKUP(Logs_Registre[[#This Row],[Cell_ID]],Registre_Maintenance[],3,FALSE),"")</f>
        <v>-10.872631999999999</v>
      </c>
      <c r="I740">
        <f>IFERROR(VLOOKUP(Logs_Registre[[#This Row],[Cell_ID]],Registre_Maintenance[],4,FALSE),"")</f>
        <v>12.773279</v>
      </c>
      <c r="J740" t="str">
        <f>IFERROR(VLOOKUP(Logs_Registre[[#This Row],[Cell_ID]],Registre_Maintenance[],5,FALSE),"")</f>
        <v>3G</v>
      </c>
      <c r="K740" t="str">
        <f>IFERROR(VLOOKUP(Logs_Registre[[#This Row],[Cell_ID]],Registre_Maintenance[],6,FALSE),"")</f>
        <v>ZTE</v>
      </c>
    </row>
    <row r="741" spans="1:11" x14ac:dyDescent="0.25">
      <c r="A741" s="1" t="s">
        <v>939</v>
      </c>
      <c r="B741" s="1" t="s">
        <v>976</v>
      </c>
      <c r="C741" s="2">
        <v>45209.852083333331</v>
      </c>
      <c r="D741" s="3">
        <v>45209.852083333331</v>
      </c>
      <c r="E741">
        <v>91</v>
      </c>
      <c r="F741" s="1" t="s">
        <v>737</v>
      </c>
      <c r="G741" t="str">
        <f>IFERROR(VLOOKUP(Logs_Registre[[#This Row],[Cell_ID]],Registre_Maintenance[],2,FALSE),"")</f>
        <v>Kwango</v>
      </c>
      <c r="H741">
        <f>IFERROR(VLOOKUP(Logs_Registre[[#This Row],[Cell_ID]],Registre_Maintenance[],3,FALSE),"")</f>
        <v>-12.431227</v>
      </c>
      <c r="I741">
        <f>IFERROR(VLOOKUP(Logs_Registre[[#This Row],[Cell_ID]],Registre_Maintenance[],4,FALSE),"")</f>
        <v>18.414290999999999</v>
      </c>
      <c r="J741" t="str">
        <f>IFERROR(VLOOKUP(Logs_Registre[[#This Row],[Cell_ID]],Registre_Maintenance[],5,FALSE),"")</f>
        <v>5G</v>
      </c>
      <c r="K741" t="str">
        <f>IFERROR(VLOOKUP(Logs_Registre[[#This Row],[Cell_ID]],Registre_Maintenance[],6,FALSE),"")</f>
        <v>Huawei</v>
      </c>
    </row>
    <row r="742" spans="1:11" x14ac:dyDescent="0.25">
      <c r="A742" s="1" t="s">
        <v>902</v>
      </c>
      <c r="B742" s="1" t="s">
        <v>863</v>
      </c>
      <c r="C742" s="2">
        <v>45209.824305555558</v>
      </c>
      <c r="D742" s="3">
        <v>45209.824305555558</v>
      </c>
      <c r="E742">
        <v>93</v>
      </c>
      <c r="F742" s="1" t="s">
        <v>737</v>
      </c>
      <c r="G742" t="str">
        <f>IFERROR(VLOOKUP(Logs_Registre[[#This Row],[Cell_ID]],Registre_Maintenance[],2,FALSE),"")</f>
        <v>Kasai-Central</v>
      </c>
      <c r="H742">
        <f>IFERROR(VLOOKUP(Logs_Registre[[#This Row],[Cell_ID]],Registre_Maintenance[],3,FALSE),"")</f>
        <v>-10.414493</v>
      </c>
      <c r="I742">
        <f>IFERROR(VLOOKUP(Logs_Registre[[#This Row],[Cell_ID]],Registre_Maintenance[],4,FALSE),"")</f>
        <v>12.333356999999999</v>
      </c>
      <c r="J742" t="str">
        <f>IFERROR(VLOOKUP(Logs_Registre[[#This Row],[Cell_ID]],Registre_Maintenance[],5,FALSE),"")</f>
        <v>3G</v>
      </c>
      <c r="K742" t="str">
        <f>IFERROR(VLOOKUP(Logs_Registre[[#This Row],[Cell_ID]],Registre_Maintenance[],6,FALSE),"")</f>
        <v>Ericsson</v>
      </c>
    </row>
    <row r="743" spans="1:11" x14ac:dyDescent="0.25">
      <c r="A743" s="1" t="s">
        <v>1086</v>
      </c>
      <c r="B743" s="1" t="s">
        <v>822</v>
      </c>
      <c r="C743" s="2">
        <v>45209.81527777778</v>
      </c>
      <c r="D743" s="3">
        <v>45209.81527777778</v>
      </c>
      <c r="E743">
        <v>115</v>
      </c>
      <c r="F743" s="1" t="s">
        <v>737</v>
      </c>
      <c r="G743" t="str">
        <f>IFERROR(VLOOKUP(Logs_Registre[[#This Row],[Cell_ID]],Registre_Maintenance[],2,FALSE),"")</f>
        <v/>
      </c>
      <c r="H743" t="str">
        <f>IFERROR(VLOOKUP(Logs_Registre[[#This Row],[Cell_ID]],Registre_Maintenance[],3,FALSE),"")</f>
        <v/>
      </c>
      <c r="I743" t="str">
        <f>IFERROR(VLOOKUP(Logs_Registre[[#This Row],[Cell_ID]],Registre_Maintenance[],4,FALSE),"")</f>
        <v/>
      </c>
      <c r="J743" t="str">
        <f>IFERROR(VLOOKUP(Logs_Registre[[#This Row],[Cell_ID]],Registre_Maintenance[],5,FALSE),"")</f>
        <v/>
      </c>
      <c r="K743" t="str">
        <f>IFERROR(VLOOKUP(Logs_Registre[[#This Row],[Cell_ID]],Registre_Maintenance[],6,FALSE),"")</f>
        <v/>
      </c>
    </row>
    <row r="744" spans="1:11" x14ac:dyDescent="0.25">
      <c r="A744" s="1" t="s">
        <v>1138</v>
      </c>
      <c r="B744" s="1" t="s">
        <v>1110</v>
      </c>
      <c r="C744" s="2">
        <v>45209.781944444447</v>
      </c>
      <c r="D744" s="3">
        <v>45209.781944444447</v>
      </c>
      <c r="E744">
        <v>10</v>
      </c>
      <c r="F744" s="1" t="s">
        <v>735</v>
      </c>
      <c r="G744" t="str">
        <f>IFERROR(VLOOKUP(Logs_Registre[[#This Row],[Cell_ID]],Registre_Maintenance[],2,FALSE),"")</f>
        <v/>
      </c>
      <c r="H744" t="str">
        <f>IFERROR(VLOOKUP(Logs_Registre[[#This Row],[Cell_ID]],Registre_Maintenance[],3,FALSE),"")</f>
        <v/>
      </c>
      <c r="I744" t="str">
        <f>IFERROR(VLOOKUP(Logs_Registre[[#This Row],[Cell_ID]],Registre_Maintenance[],4,FALSE),"")</f>
        <v/>
      </c>
      <c r="J744" t="str">
        <f>IFERROR(VLOOKUP(Logs_Registre[[#This Row],[Cell_ID]],Registre_Maintenance[],5,FALSE),"")</f>
        <v/>
      </c>
      <c r="K744" t="str">
        <f>IFERROR(VLOOKUP(Logs_Registre[[#This Row],[Cell_ID]],Registre_Maintenance[],6,FALSE),"")</f>
        <v/>
      </c>
    </row>
    <row r="745" spans="1:11" x14ac:dyDescent="0.25">
      <c r="A745" s="1" t="s">
        <v>902</v>
      </c>
      <c r="B745" s="1" t="s">
        <v>916</v>
      </c>
      <c r="C745" s="2">
        <v>45209.777083333327</v>
      </c>
      <c r="D745" s="3">
        <v>45209.777083333327</v>
      </c>
      <c r="E745">
        <v>40</v>
      </c>
      <c r="F745" s="1" t="s">
        <v>737</v>
      </c>
      <c r="G745" t="str">
        <f>IFERROR(VLOOKUP(Logs_Registre[[#This Row],[Cell_ID]],Registre_Maintenance[],2,FALSE),"")</f>
        <v>Lualaba</v>
      </c>
      <c r="H745">
        <f>IFERROR(VLOOKUP(Logs_Registre[[#This Row],[Cell_ID]],Registre_Maintenance[],3,FALSE),"")</f>
        <v>-9.5243310000000001</v>
      </c>
      <c r="I745">
        <f>IFERROR(VLOOKUP(Logs_Registre[[#This Row],[Cell_ID]],Registre_Maintenance[],4,FALSE),"")</f>
        <v>30.541212000000002</v>
      </c>
      <c r="J745" t="str">
        <f>IFERROR(VLOOKUP(Logs_Registre[[#This Row],[Cell_ID]],Registre_Maintenance[],5,FALSE),"")</f>
        <v>3G</v>
      </c>
      <c r="K745" t="str">
        <f>IFERROR(VLOOKUP(Logs_Registre[[#This Row],[Cell_ID]],Registre_Maintenance[],6,FALSE),"")</f>
        <v>Ericsson</v>
      </c>
    </row>
    <row r="746" spans="1:11" x14ac:dyDescent="0.25">
      <c r="A746" s="1" t="s">
        <v>1024</v>
      </c>
      <c r="B746" s="1" t="s">
        <v>1048</v>
      </c>
      <c r="C746" s="2">
        <v>45209.724999999999</v>
      </c>
      <c r="D746" s="3">
        <v>45209.724999999999</v>
      </c>
      <c r="E746">
        <v>97</v>
      </c>
      <c r="F746" s="1" t="s">
        <v>737</v>
      </c>
      <c r="G746" t="str">
        <f>IFERROR(VLOOKUP(Logs_Registre[[#This Row],[Cell_ID]],Registre_Maintenance[],2,FALSE),"")</f>
        <v/>
      </c>
      <c r="H746" t="str">
        <f>IFERROR(VLOOKUP(Logs_Registre[[#This Row],[Cell_ID]],Registre_Maintenance[],3,FALSE),"")</f>
        <v/>
      </c>
      <c r="I746" t="str">
        <f>IFERROR(VLOOKUP(Logs_Registre[[#This Row],[Cell_ID]],Registre_Maintenance[],4,FALSE),"")</f>
        <v/>
      </c>
      <c r="J746" t="str">
        <f>IFERROR(VLOOKUP(Logs_Registre[[#This Row],[Cell_ID]],Registre_Maintenance[],5,FALSE),"")</f>
        <v/>
      </c>
      <c r="K746" t="str">
        <f>IFERROR(VLOOKUP(Logs_Registre[[#This Row],[Cell_ID]],Registre_Maintenance[],6,FALSE),"")</f>
        <v/>
      </c>
    </row>
    <row r="747" spans="1:11" x14ac:dyDescent="0.25">
      <c r="A747" s="1" t="s">
        <v>1059</v>
      </c>
      <c r="B747" s="1" t="s">
        <v>931</v>
      </c>
      <c r="C747" s="2">
        <v>45209.684027777781</v>
      </c>
      <c r="D747" s="3">
        <v>45209.684027777781</v>
      </c>
      <c r="E747">
        <v>44</v>
      </c>
      <c r="F747" s="1" t="s">
        <v>737</v>
      </c>
      <c r="G747" t="str">
        <f>IFERROR(VLOOKUP(Logs_Registre[[#This Row],[Cell_ID]],Registre_Maintenance[],2,FALSE),"")</f>
        <v/>
      </c>
      <c r="H747" t="str">
        <f>IFERROR(VLOOKUP(Logs_Registre[[#This Row],[Cell_ID]],Registre_Maintenance[],3,FALSE),"")</f>
        <v/>
      </c>
      <c r="I747" t="str">
        <f>IFERROR(VLOOKUP(Logs_Registre[[#This Row],[Cell_ID]],Registre_Maintenance[],4,FALSE),"")</f>
        <v/>
      </c>
      <c r="J747" t="str">
        <f>IFERROR(VLOOKUP(Logs_Registre[[#This Row],[Cell_ID]],Registre_Maintenance[],5,FALSE),"")</f>
        <v/>
      </c>
      <c r="K747" t="str">
        <f>IFERROR(VLOOKUP(Logs_Registre[[#This Row],[Cell_ID]],Registre_Maintenance[],6,FALSE),"")</f>
        <v/>
      </c>
    </row>
    <row r="748" spans="1:11" x14ac:dyDescent="0.25">
      <c r="A748" s="1" t="s">
        <v>823</v>
      </c>
      <c r="B748" s="1" t="s">
        <v>840</v>
      </c>
      <c r="C748" s="2">
        <v>45209.679861111108</v>
      </c>
      <c r="D748" s="3">
        <v>45209.679861111108</v>
      </c>
      <c r="E748">
        <v>115</v>
      </c>
      <c r="F748" s="1" t="s">
        <v>737</v>
      </c>
      <c r="G748" t="str">
        <f>IFERROR(VLOOKUP(Logs_Registre[[#This Row],[Cell_ID]],Registre_Maintenance[],2,FALSE),"")</f>
        <v/>
      </c>
      <c r="H748" t="str">
        <f>IFERROR(VLOOKUP(Logs_Registre[[#This Row],[Cell_ID]],Registre_Maintenance[],3,FALSE),"")</f>
        <v/>
      </c>
      <c r="I748" t="str">
        <f>IFERROR(VLOOKUP(Logs_Registre[[#This Row],[Cell_ID]],Registre_Maintenance[],4,FALSE),"")</f>
        <v/>
      </c>
      <c r="J748" t="str">
        <f>IFERROR(VLOOKUP(Logs_Registre[[#This Row],[Cell_ID]],Registre_Maintenance[],5,FALSE),"")</f>
        <v/>
      </c>
      <c r="K748" t="str">
        <f>IFERROR(VLOOKUP(Logs_Registre[[#This Row],[Cell_ID]],Registre_Maintenance[],6,FALSE),"")</f>
        <v/>
      </c>
    </row>
    <row r="749" spans="1:11" x14ac:dyDescent="0.25">
      <c r="A749" s="1" t="s">
        <v>1193</v>
      </c>
      <c r="B749" s="1" t="s">
        <v>990</v>
      </c>
      <c r="C749" s="2">
        <v>45209.659722222219</v>
      </c>
      <c r="D749" s="3">
        <v>45209.659722222219</v>
      </c>
      <c r="E749">
        <v>67</v>
      </c>
      <c r="F749" s="1" t="s">
        <v>737</v>
      </c>
      <c r="G749" t="str">
        <f>IFERROR(VLOOKUP(Logs_Registre[[#This Row],[Cell_ID]],Registre_Maintenance[],2,FALSE),"")</f>
        <v>Nord-Ubangi</v>
      </c>
      <c r="H749">
        <f>IFERROR(VLOOKUP(Logs_Registre[[#This Row],[Cell_ID]],Registre_Maintenance[],3,FALSE),"")</f>
        <v>-7.7839049999999999</v>
      </c>
      <c r="I749">
        <f>IFERROR(VLOOKUP(Logs_Registre[[#This Row],[Cell_ID]],Registre_Maintenance[],4,FALSE),"")</f>
        <v>14.114281999999999</v>
      </c>
      <c r="J749" t="str">
        <f>IFERROR(VLOOKUP(Logs_Registre[[#This Row],[Cell_ID]],Registre_Maintenance[],5,FALSE),"")</f>
        <v>3G</v>
      </c>
      <c r="K749" t="str">
        <f>IFERROR(VLOOKUP(Logs_Registre[[#This Row],[Cell_ID]],Registre_Maintenance[],6,FALSE),"")</f>
        <v>ZTE</v>
      </c>
    </row>
    <row r="750" spans="1:11" x14ac:dyDescent="0.25">
      <c r="A750" s="1" t="s">
        <v>902</v>
      </c>
      <c r="B750" s="1" t="s">
        <v>853</v>
      </c>
      <c r="C750" s="2">
        <v>45209.588194444441</v>
      </c>
      <c r="D750" s="3">
        <v>45209.588194444441</v>
      </c>
      <c r="E750">
        <v>41</v>
      </c>
      <c r="F750" s="1" t="s">
        <v>735</v>
      </c>
      <c r="G750" t="str">
        <f>IFERROR(VLOOKUP(Logs_Registre[[#This Row],[Cell_ID]],Registre_Maintenance[],2,FALSE),"")</f>
        <v/>
      </c>
      <c r="H750" t="str">
        <f>IFERROR(VLOOKUP(Logs_Registre[[#This Row],[Cell_ID]],Registre_Maintenance[],3,FALSE),"")</f>
        <v/>
      </c>
      <c r="I750" t="str">
        <f>IFERROR(VLOOKUP(Logs_Registre[[#This Row],[Cell_ID]],Registre_Maintenance[],4,FALSE),"")</f>
        <v/>
      </c>
      <c r="J750" t="str">
        <f>IFERROR(VLOOKUP(Logs_Registre[[#This Row],[Cell_ID]],Registre_Maintenance[],5,FALSE),"")</f>
        <v/>
      </c>
      <c r="K750" t="str">
        <f>IFERROR(VLOOKUP(Logs_Registre[[#This Row],[Cell_ID]],Registre_Maintenance[],6,FALSE),"")</f>
        <v/>
      </c>
    </row>
    <row r="751" spans="1:11" x14ac:dyDescent="0.25">
      <c r="A751" s="1" t="s">
        <v>1219</v>
      </c>
      <c r="B751" s="1" t="s">
        <v>1222</v>
      </c>
      <c r="C751" s="2">
        <v>45209.581944444442</v>
      </c>
      <c r="D751" s="3">
        <v>45209.581944444442</v>
      </c>
      <c r="E751">
        <v>93</v>
      </c>
      <c r="F751" s="1" t="s">
        <v>735</v>
      </c>
      <c r="G751" t="str">
        <f>IFERROR(VLOOKUP(Logs_Registre[[#This Row],[Cell_ID]],Registre_Maintenance[],2,FALSE),"")</f>
        <v/>
      </c>
      <c r="H751" t="str">
        <f>IFERROR(VLOOKUP(Logs_Registre[[#This Row],[Cell_ID]],Registre_Maintenance[],3,FALSE),"")</f>
        <v/>
      </c>
      <c r="I751" t="str">
        <f>IFERROR(VLOOKUP(Logs_Registre[[#This Row],[Cell_ID]],Registre_Maintenance[],4,FALSE),"")</f>
        <v/>
      </c>
      <c r="J751" t="str">
        <f>IFERROR(VLOOKUP(Logs_Registre[[#This Row],[Cell_ID]],Registre_Maintenance[],5,FALSE),"")</f>
        <v/>
      </c>
      <c r="K751" t="str">
        <f>IFERROR(VLOOKUP(Logs_Registre[[#This Row],[Cell_ID]],Registre_Maintenance[],6,FALSE),"")</f>
        <v/>
      </c>
    </row>
    <row r="752" spans="1:11" x14ac:dyDescent="0.25">
      <c r="A752" s="1" t="s">
        <v>1193</v>
      </c>
      <c r="B752" s="1" t="s">
        <v>1213</v>
      </c>
      <c r="C752" s="2">
        <v>45209.558333333327</v>
      </c>
      <c r="D752" s="3">
        <v>45209.558333333327</v>
      </c>
      <c r="E752">
        <v>66</v>
      </c>
      <c r="F752" s="1" t="s">
        <v>735</v>
      </c>
      <c r="G752" t="str">
        <f>IFERROR(VLOOKUP(Logs_Registre[[#This Row],[Cell_ID]],Registre_Maintenance[],2,FALSE),"")</f>
        <v>Ituri</v>
      </c>
      <c r="H752">
        <f>IFERROR(VLOOKUP(Logs_Registre[[#This Row],[Cell_ID]],Registre_Maintenance[],3,FALSE),"")</f>
        <v>-12.595355</v>
      </c>
      <c r="I752">
        <f>IFERROR(VLOOKUP(Logs_Registre[[#This Row],[Cell_ID]],Registre_Maintenance[],4,FALSE),"")</f>
        <v>17.897442000000002</v>
      </c>
      <c r="J752" t="str">
        <f>IFERROR(VLOOKUP(Logs_Registre[[#This Row],[Cell_ID]],Registre_Maintenance[],5,FALSE),"")</f>
        <v>4G</v>
      </c>
      <c r="K752" t="str">
        <f>IFERROR(VLOOKUP(Logs_Registre[[#This Row],[Cell_ID]],Registre_Maintenance[],6,FALSE),"")</f>
        <v>Huawei</v>
      </c>
    </row>
    <row r="753" spans="1:11" x14ac:dyDescent="0.25">
      <c r="A753" s="1" t="s">
        <v>1086</v>
      </c>
      <c r="B753" s="1" t="s">
        <v>1096</v>
      </c>
      <c r="C753" s="2">
        <v>45209.53125</v>
      </c>
      <c r="D753" s="3">
        <v>45209.53125</v>
      </c>
      <c r="E753">
        <v>63</v>
      </c>
      <c r="F753" s="1" t="s">
        <v>732</v>
      </c>
      <c r="G753" t="str">
        <f>IFERROR(VLOOKUP(Logs_Registre[[#This Row],[Cell_ID]],Registre_Maintenance[],2,FALSE),"")</f>
        <v>Maniema</v>
      </c>
      <c r="H753">
        <f>IFERROR(VLOOKUP(Logs_Registre[[#This Row],[Cell_ID]],Registre_Maintenance[],3,FALSE),"")</f>
        <v>1.727095</v>
      </c>
      <c r="I753">
        <f>IFERROR(VLOOKUP(Logs_Registre[[#This Row],[Cell_ID]],Registre_Maintenance[],4,FALSE),"")</f>
        <v>22.099651999999999</v>
      </c>
      <c r="J753" t="str">
        <f>IFERROR(VLOOKUP(Logs_Registre[[#This Row],[Cell_ID]],Registre_Maintenance[],5,FALSE),"")</f>
        <v>4G</v>
      </c>
      <c r="K753" t="str">
        <f>IFERROR(VLOOKUP(Logs_Registre[[#This Row],[Cell_ID]],Registre_Maintenance[],6,FALSE),"")</f>
        <v>Huawei</v>
      </c>
    </row>
    <row r="754" spans="1:11" x14ac:dyDescent="0.25">
      <c r="A754" s="1" t="s">
        <v>823</v>
      </c>
      <c r="B754" s="1" t="s">
        <v>847</v>
      </c>
      <c r="C754" s="2">
        <v>45209.524305555547</v>
      </c>
      <c r="D754" s="3">
        <v>45209.524305555547</v>
      </c>
      <c r="E754">
        <v>27</v>
      </c>
      <c r="F754" s="1" t="s">
        <v>737</v>
      </c>
      <c r="G754" t="str">
        <f>IFERROR(VLOOKUP(Logs_Registre[[#This Row],[Cell_ID]],Registre_Maintenance[],2,FALSE),"")</f>
        <v>Kwilu</v>
      </c>
      <c r="H754">
        <f>IFERROR(VLOOKUP(Logs_Registre[[#This Row],[Cell_ID]],Registre_Maintenance[],3,FALSE),"")</f>
        <v>2.4741019999999998</v>
      </c>
      <c r="I754">
        <f>IFERROR(VLOOKUP(Logs_Registre[[#This Row],[Cell_ID]],Registre_Maintenance[],4,FALSE),"")</f>
        <v>29.297391000000001</v>
      </c>
      <c r="J754" t="str">
        <f>IFERROR(VLOOKUP(Logs_Registre[[#This Row],[Cell_ID]],Registre_Maintenance[],5,FALSE),"")</f>
        <v>4G</v>
      </c>
      <c r="K754" t="str">
        <f>IFERROR(VLOOKUP(Logs_Registre[[#This Row],[Cell_ID]],Registre_Maintenance[],6,FALSE),"")</f>
        <v>Ericsson</v>
      </c>
    </row>
    <row r="755" spans="1:11" x14ac:dyDescent="0.25">
      <c r="A755" s="1" t="s">
        <v>999</v>
      </c>
      <c r="B755" s="1" t="s">
        <v>998</v>
      </c>
      <c r="C755" s="2">
        <v>45209.462500000001</v>
      </c>
      <c r="D755" s="3">
        <v>45209.462500000001</v>
      </c>
      <c r="E755">
        <v>102</v>
      </c>
      <c r="F755" s="1" t="s">
        <v>737</v>
      </c>
      <c r="G755" t="str">
        <f>IFERROR(VLOOKUP(Logs_Registre[[#This Row],[Cell_ID]],Registre_Maintenance[],2,FALSE),"")</f>
        <v/>
      </c>
      <c r="H755" t="str">
        <f>IFERROR(VLOOKUP(Logs_Registre[[#This Row],[Cell_ID]],Registre_Maintenance[],3,FALSE),"")</f>
        <v/>
      </c>
      <c r="I755" t="str">
        <f>IFERROR(VLOOKUP(Logs_Registre[[#This Row],[Cell_ID]],Registre_Maintenance[],4,FALSE),"")</f>
        <v/>
      </c>
      <c r="J755" t="str">
        <f>IFERROR(VLOOKUP(Logs_Registre[[#This Row],[Cell_ID]],Registre_Maintenance[],5,FALSE),"")</f>
        <v/>
      </c>
      <c r="K755" t="str">
        <f>IFERROR(VLOOKUP(Logs_Registre[[#This Row],[Cell_ID]],Registre_Maintenance[],6,FALSE),"")</f>
        <v/>
      </c>
    </row>
    <row r="756" spans="1:11" x14ac:dyDescent="0.25">
      <c r="A756" s="1" t="s">
        <v>1261</v>
      </c>
      <c r="B756" s="1" t="s">
        <v>1286</v>
      </c>
      <c r="C756" s="2">
        <v>45209.388888888891</v>
      </c>
      <c r="D756" s="3">
        <v>45209.388888888891</v>
      </c>
      <c r="E756">
        <v>44</v>
      </c>
      <c r="F756" s="1" t="s">
        <v>732</v>
      </c>
      <c r="G756" t="str">
        <f>IFERROR(VLOOKUP(Logs_Registre[[#This Row],[Cell_ID]],Registre_Maintenance[],2,FALSE),"")</f>
        <v/>
      </c>
      <c r="H756" t="str">
        <f>IFERROR(VLOOKUP(Logs_Registre[[#This Row],[Cell_ID]],Registre_Maintenance[],3,FALSE),"")</f>
        <v/>
      </c>
      <c r="I756" t="str">
        <f>IFERROR(VLOOKUP(Logs_Registre[[#This Row],[Cell_ID]],Registre_Maintenance[],4,FALSE),"")</f>
        <v/>
      </c>
      <c r="J756" t="str">
        <f>IFERROR(VLOOKUP(Logs_Registre[[#This Row],[Cell_ID]],Registre_Maintenance[],5,FALSE),"")</f>
        <v/>
      </c>
      <c r="K756" t="str">
        <f>IFERROR(VLOOKUP(Logs_Registre[[#This Row],[Cell_ID]],Registre_Maintenance[],6,FALSE),"")</f>
        <v/>
      </c>
    </row>
    <row r="757" spans="1:11" x14ac:dyDescent="0.25">
      <c r="A757" s="1" t="s">
        <v>1024</v>
      </c>
      <c r="B757" s="1" t="s">
        <v>1042</v>
      </c>
      <c r="C757" s="2">
        <v>45209.365277777782</v>
      </c>
      <c r="D757" s="3">
        <v>45209.365277777782</v>
      </c>
      <c r="E757">
        <v>120</v>
      </c>
      <c r="F757" s="1" t="s">
        <v>732</v>
      </c>
      <c r="G757" t="str">
        <f>IFERROR(VLOOKUP(Logs_Registre[[#This Row],[Cell_ID]],Registre_Maintenance[],2,FALSE),"")</f>
        <v>Sankuru</v>
      </c>
      <c r="H757">
        <f>IFERROR(VLOOKUP(Logs_Registre[[#This Row],[Cell_ID]],Registre_Maintenance[],3,FALSE),"")</f>
        <v>-1.4110389999999999</v>
      </c>
      <c r="I757">
        <f>IFERROR(VLOOKUP(Logs_Registre[[#This Row],[Cell_ID]],Registre_Maintenance[],4,FALSE),"")</f>
        <v>21.261644</v>
      </c>
      <c r="J757" t="str">
        <f>IFERROR(VLOOKUP(Logs_Registre[[#This Row],[Cell_ID]],Registre_Maintenance[],5,FALSE),"")</f>
        <v>4G</v>
      </c>
      <c r="K757" t="str">
        <f>IFERROR(VLOOKUP(Logs_Registre[[#This Row],[Cell_ID]],Registre_Maintenance[],6,FALSE),"")</f>
        <v>ZTE</v>
      </c>
    </row>
    <row r="758" spans="1:11" x14ac:dyDescent="0.25">
      <c r="A758" s="1" t="s">
        <v>1193</v>
      </c>
      <c r="B758" s="1" t="s">
        <v>1148</v>
      </c>
      <c r="C758" s="2">
        <v>45209.354861111111</v>
      </c>
      <c r="D758" s="3">
        <v>45209.354861111111</v>
      </c>
      <c r="E758">
        <v>99</v>
      </c>
      <c r="F758" s="1" t="s">
        <v>735</v>
      </c>
      <c r="G758" t="str">
        <f>IFERROR(VLOOKUP(Logs_Registre[[#This Row],[Cell_ID]],Registre_Maintenance[],2,FALSE),"")</f>
        <v>Kinshasa</v>
      </c>
      <c r="H758">
        <f>IFERROR(VLOOKUP(Logs_Registre[[#This Row],[Cell_ID]],Registre_Maintenance[],3,FALSE),"")</f>
        <v>1.3006180000000001</v>
      </c>
      <c r="I758">
        <f>IFERROR(VLOOKUP(Logs_Registre[[#This Row],[Cell_ID]],Registre_Maintenance[],4,FALSE),"")</f>
        <v>29.060970999999999</v>
      </c>
      <c r="J758" t="str">
        <f>IFERROR(VLOOKUP(Logs_Registre[[#This Row],[Cell_ID]],Registre_Maintenance[],5,FALSE),"")</f>
        <v>3G</v>
      </c>
      <c r="K758" t="str">
        <f>IFERROR(VLOOKUP(Logs_Registre[[#This Row],[Cell_ID]],Registre_Maintenance[],6,FALSE),"")</f>
        <v>ZTE</v>
      </c>
    </row>
    <row r="759" spans="1:11" x14ac:dyDescent="0.25">
      <c r="A759" s="1" t="s">
        <v>823</v>
      </c>
      <c r="B759" s="1" t="s">
        <v>857</v>
      </c>
      <c r="C759" s="2">
        <v>45209.32708333333</v>
      </c>
      <c r="D759" s="3">
        <v>45209.32708333333</v>
      </c>
      <c r="E759">
        <v>107</v>
      </c>
      <c r="F759" s="1" t="s">
        <v>735</v>
      </c>
      <c r="G759" t="str">
        <f>IFERROR(VLOOKUP(Logs_Registre[[#This Row],[Cell_ID]],Registre_Maintenance[],2,FALSE),"")</f>
        <v>Equateur</v>
      </c>
      <c r="H759">
        <f>IFERROR(VLOOKUP(Logs_Registre[[#This Row],[Cell_ID]],Registre_Maintenance[],3,FALSE),"")</f>
        <v>-5.0402180000000003</v>
      </c>
      <c r="I759">
        <f>IFERROR(VLOOKUP(Logs_Registre[[#This Row],[Cell_ID]],Registre_Maintenance[],4,FALSE),"")</f>
        <v>13.892471</v>
      </c>
      <c r="J759" t="str">
        <f>IFERROR(VLOOKUP(Logs_Registre[[#This Row],[Cell_ID]],Registre_Maintenance[],5,FALSE),"")</f>
        <v>3G</v>
      </c>
      <c r="K759" t="str">
        <f>IFERROR(VLOOKUP(Logs_Registre[[#This Row],[Cell_ID]],Registre_Maintenance[],6,FALSE),"")</f>
        <v>ZTE</v>
      </c>
    </row>
    <row r="760" spans="1:11" x14ac:dyDescent="0.25">
      <c r="A760" s="1" t="s">
        <v>823</v>
      </c>
      <c r="B760" s="1" t="s">
        <v>849</v>
      </c>
      <c r="C760" s="2">
        <v>45209.268750000003</v>
      </c>
      <c r="D760" s="3">
        <v>45209.268750000003</v>
      </c>
      <c r="E760">
        <v>94</v>
      </c>
      <c r="F760" s="1" t="s">
        <v>735</v>
      </c>
      <c r="G760" t="str">
        <f>IFERROR(VLOOKUP(Logs_Registre[[#This Row],[Cell_ID]],Registre_Maintenance[],2,FALSE),"")</f>
        <v/>
      </c>
      <c r="H760" t="str">
        <f>IFERROR(VLOOKUP(Logs_Registre[[#This Row],[Cell_ID]],Registre_Maintenance[],3,FALSE),"")</f>
        <v/>
      </c>
      <c r="I760" t="str">
        <f>IFERROR(VLOOKUP(Logs_Registre[[#This Row],[Cell_ID]],Registre_Maintenance[],4,FALSE),"")</f>
        <v/>
      </c>
      <c r="J760" t="str">
        <f>IFERROR(VLOOKUP(Logs_Registre[[#This Row],[Cell_ID]],Registre_Maintenance[],5,FALSE),"")</f>
        <v/>
      </c>
      <c r="K760" t="str">
        <f>IFERROR(VLOOKUP(Logs_Registre[[#This Row],[Cell_ID]],Registre_Maintenance[],6,FALSE),"")</f>
        <v/>
      </c>
    </row>
    <row r="761" spans="1:11" x14ac:dyDescent="0.25">
      <c r="A761" s="1" t="s">
        <v>1059</v>
      </c>
      <c r="B761" s="1" t="s">
        <v>986</v>
      </c>
      <c r="C761" s="2">
        <v>45209.251388888893</v>
      </c>
      <c r="D761" s="3">
        <v>45209.251388888893</v>
      </c>
      <c r="E761">
        <v>46</v>
      </c>
      <c r="F761" s="1" t="s">
        <v>735</v>
      </c>
      <c r="G761" t="str">
        <f>IFERROR(VLOOKUP(Logs_Registre[[#This Row],[Cell_ID]],Registre_Maintenance[],2,FALSE),"")</f>
        <v/>
      </c>
      <c r="H761" t="str">
        <f>IFERROR(VLOOKUP(Logs_Registre[[#This Row],[Cell_ID]],Registre_Maintenance[],3,FALSE),"")</f>
        <v/>
      </c>
      <c r="I761" t="str">
        <f>IFERROR(VLOOKUP(Logs_Registre[[#This Row],[Cell_ID]],Registre_Maintenance[],4,FALSE),"")</f>
        <v/>
      </c>
      <c r="J761" t="str">
        <f>IFERROR(VLOOKUP(Logs_Registre[[#This Row],[Cell_ID]],Registre_Maintenance[],5,FALSE),"")</f>
        <v/>
      </c>
      <c r="K761" t="str">
        <f>IFERROR(VLOOKUP(Logs_Registre[[#This Row],[Cell_ID]],Registre_Maintenance[],6,FALSE),"")</f>
        <v/>
      </c>
    </row>
    <row r="762" spans="1:11" x14ac:dyDescent="0.25">
      <c r="A762" s="1" t="s">
        <v>1086</v>
      </c>
      <c r="B762" s="1" t="s">
        <v>1088</v>
      </c>
      <c r="C762" s="2">
        <v>45209.239583333343</v>
      </c>
      <c r="D762" s="3">
        <v>45209.239583333343</v>
      </c>
      <c r="E762">
        <v>42</v>
      </c>
      <c r="F762" s="1" t="s">
        <v>737</v>
      </c>
      <c r="G762" t="str">
        <f>IFERROR(VLOOKUP(Logs_Registre[[#This Row],[Cell_ID]],Registre_Maintenance[],2,FALSE),"")</f>
        <v/>
      </c>
      <c r="H762" t="str">
        <f>IFERROR(VLOOKUP(Logs_Registre[[#This Row],[Cell_ID]],Registre_Maintenance[],3,FALSE),"")</f>
        <v/>
      </c>
      <c r="I762" t="str">
        <f>IFERROR(VLOOKUP(Logs_Registre[[#This Row],[Cell_ID]],Registre_Maintenance[],4,FALSE),"")</f>
        <v/>
      </c>
      <c r="J762" t="str">
        <f>IFERROR(VLOOKUP(Logs_Registre[[#This Row],[Cell_ID]],Registre_Maintenance[],5,FALSE),"")</f>
        <v/>
      </c>
      <c r="K762" t="str">
        <f>IFERROR(VLOOKUP(Logs_Registre[[#This Row],[Cell_ID]],Registre_Maintenance[],6,FALSE),"")</f>
        <v/>
      </c>
    </row>
    <row r="763" spans="1:11" x14ac:dyDescent="0.25">
      <c r="A763" s="1" t="s">
        <v>1086</v>
      </c>
      <c r="B763" s="1" t="s">
        <v>1076</v>
      </c>
      <c r="C763" s="2">
        <v>45209.215277777781</v>
      </c>
      <c r="D763" s="3">
        <v>45209.215277777781</v>
      </c>
      <c r="E763">
        <v>23</v>
      </c>
      <c r="F763" s="1" t="s">
        <v>737</v>
      </c>
      <c r="G763" t="str">
        <f>IFERROR(VLOOKUP(Logs_Registre[[#This Row],[Cell_ID]],Registre_Maintenance[],2,FALSE),"")</f>
        <v>Kinshasa</v>
      </c>
      <c r="H763">
        <f>IFERROR(VLOOKUP(Logs_Registre[[#This Row],[Cell_ID]],Registre_Maintenance[],3,FALSE),"")</f>
        <v>-11.389362</v>
      </c>
      <c r="I763">
        <f>IFERROR(VLOOKUP(Logs_Registre[[#This Row],[Cell_ID]],Registre_Maintenance[],4,FALSE),"")</f>
        <v>22.240174</v>
      </c>
      <c r="J763" t="str">
        <f>IFERROR(VLOOKUP(Logs_Registre[[#This Row],[Cell_ID]],Registre_Maintenance[],5,FALSE),"")</f>
        <v>5G</v>
      </c>
      <c r="K763" t="str">
        <f>IFERROR(VLOOKUP(Logs_Registre[[#This Row],[Cell_ID]],Registre_Maintenance[],6,FALSE),"")</f>
        <v>ZTE</v>
      </c>
    </row>
    <row r="764" spans="1:11" x14ac:dyDescent="0.25">
      <c r="A764" s="1" t="s">
        <v>1241</v>
      </c>
      <c r="B764" s="1" t="s">
        <v>1259</v>
      </c>
      <c r="C764" s="2">
        <v>45209.183333333327</v>
      </c>
      <c r="D764" s="3">
        <v>45209.183333333327</v>
      </c>
      <c r="E764">
        <v>81</v>
      </c>
      <c r="F764" s="1" t="s">
        <v>735</v>
      </c>
      <c r="G764" t="str">
        <f>IFERROR(VLOOKUP(Logs_Registre[[#This Row],[Cell_ID]],Registre_Maintenance[],2,FALSE),"")</f>
        <v/>
      </c>
      <c r="H764" t="str">
        <f>IFERROR(VLOOKUP(Logs_Registre[[#This Row],[Cell_ID]],Registre_Maintenance[],3,FALSE),"")</f>
        <v/>
      </c>
      <c r="I764" t="str">
        <f>IFERROR(VLOOKUP(Logs_Registre[[#This Row],[Cell_ID]],Registre_Maintenance[],4,FALSE),"")</f>
        <v/>
      </c>
      <c r="J764" t="str">
        <f>IFERROR(VLOOKUP(Logs_Registre[[#This Row],[Cell_ID]],Registre_Maintenance[],5,FALSE),"")</f>
        <v/>
      </c>
      <c r="K764" t="str">
        <f>IFERROR(VLOOKUP(Logs_Registre[[#This Row],[Cell_ID]],Registre_Maintenance[],6,FALSE),"")</f>
        <v/>
      </c>
    </row>
    <row r="765" spans="1:11" x14ac:dyDescent="0.25">
      <c r="A765" s="1" t="s">
        <v>1308</v>
      </c>
      <c r="B765" s="1" t="s">
        <v>1284</v>
      </c>
      <c r="C765" s="2">
        <v>45209.174305555563</v>
      </c>
      <c r="D765" s="3">
        <v>45209.174305555563</v>
      </c>
      <c r="E765">
        <v>5</v>
      </c>
      <c r="F765" s="1" t="s">
        <v>732</v>
      </c>
      <c r="G765" t="str">
        <f>IFERROR(VLOOKUP(Logs_Registre[[#This Row],[Cell_ID]],Registre_Maintenance[],2,FALSE),"")</f>
        <v/>
      </c>
      <c r="H765" t="str">
        <f>IFERROR(VLOOKUP(Logs_Registre[[#This Row],[Cell_ID]],Registre_Maintenance[],3,FALSE),"")</f>
        <v/>
      </c>
      <c r="I765" t="str">
        <f>IFERROR(VLOOKUP(Logs_Registre[[#This Row],[Cell_ID]],Registre_Maintenance[],4,FALSE),"")</f>
        <v/>
      </c>
      <c r="J765" t="str">
        <f>IFERROR(VLOOKUP(Logs_Registre[[#This Row],[Cell_ID]],Registre_Maintenance[],5,FALSE),"")</f>
        <v/>
      </c>
      <c r="K765" t="str">
        <f>IFERROR(VLOOKUP(Logs_Registre[[#This Row],[Cell_ID]],Registre_Maintenance[],6,FALSE),"")</f>
        <v/>
      </c>
    </row>
    <row r="766" spans="1:11" x14ac:dyDescent="0.25">
      <c r="A766" s="1" t="s">
        <v>1086</v>
      </c>
      <c r="B766" s="1" t="s">
        <v>1106</v>
      </c>
      <c r="C766" s="2">
        <v>45209.094444444447</v>
      </c>
      <c r="D766" s="3">
        <v>45209.094444444447</v>
      </c>
      <c r="E766">
        <v>96</v>
      </c>
      <c r="F766" s="1" t="s">
        <v>732</v>
      </c>
      <c r="G766" t="str">
        <f>IFERROR(VLOOKUP(Logs_Registre[[#This Row],[Cell_ID]],Registre_Maintenance[],2,FALSE),"")</f>
        <v/>
      </c>
      <c r="H766" t="str">
        <f>IFERROR(VLOOKUP(Logs_Registre[[#This Row],[Cell_ID]],Registre_Maintenance[],3,FALSE),"")</f>
        <v/>
      </c>
      <c r="I766" t="str">
        <f>IFERROR(VLOOKUP(Logs_Registre[[#This Row],[Cell_ID]],Registre_Maintenance[],4,FALSE),"")</f>
        <v/>
      </c>
      <c r="J766" t="str">
        <f>IFERROR(VLOOKUP(Logs_Registre[[#This Row],[Cell_ID]],Registre_Maintenance[],5,FALSE),"")</f>
        <v/>
      </c>
      <c r="K766" t="str">
        <f>IFERROR(VLOOKUP(Logs_Registre[[#This Row],[Cell_ID]],Registre_Maintenance[],6,FALSE),"")</f>
        <v/>
      </c>
    </row>
    <row r="767" spans="1:11" x14ac:dyDescent="0.25">
      <c r="A767" s="1" t="s">
        <v>1330</v>
      </c>
      <c r="B767" s="1" t="s">
        <v>1343</v>
      </c>
      <c r="C767" s="2">
        <v>45209.01666666667</v>
      </c>
      <c r="D767" s="3">
        <v>45209.01666666667</v>
      </c>
      <c r="E767">
        <v>43</v>
      </c>
      <c r="F767" s="1" t="s">
        <v>732</v>
      </c>
      <c r="G767" t="str">
        <f>IFERROR(VLOOKUP(Logs_Registre[[#This Row],[Cell_ID]],Registre_Maintenance[],2,FALSE),"")</f>
        <v/>
      </c>
      <c r="H767" t="str">
        <f>IFERROR(VLOOKUP(Logs_Registre[[#This Row],[Cell_ID]],Registre_Maintenance[],3,FALSE),"")</f>
        <v/>
      </c>
      <c r="I767" t="str">
        <f>IFERROR(VLOOKUP(Logs_Registre[[#This Row],[Cell_ID]],Registre_Maintenance[],4,FALSE),"")</f>
        <v/>
      </c>
      <c r="J767" t="str">
        <f>IFERROR(VLOOKUP(Logs_Registre[[#This Row],[Cell_ID]],Registre_Maintenance[],5,FALSE),"")</f>
        <v/>
      </c>
      <c r="K767" t="str">
        <f>IFERROR(VLOOKUP(Logs_Registre[[#This Row],[Cell_ID]],Registre_Maintenance[],6,FALSE),"")</f>
        <v/>
      </c>
    </row>
    <row r="768" spans="1:11" x14ac:dyDescent="0.25">
      <c r="A768" s="1" t="s">
        <v>1361</v>
      </c>
      <c r="B768" s="1" t="s">
        <v>1363</v>
      </c>
      <c r="C768" s="2">
        <v>45208.961805555547</v>
      </c>
      <c r="D768" s="3">
        <v>45208.961805555547</v>
      </c>
      <c r="E768">
        <v>68</v>
      </c>
      <c r="F768" s="1" t="s">
        <v>732</v>
      </c>
      <c r="G768" t="str">
        <f>IFERROR(VLOOKUP(Logs_Registre[[#This Row],[Cell_ID]],Registre_Maintenance[],2,FALSE),"")</f>
        <v>Bas-Uele</v>
      </c>
      <c r="H768">
        <f>IFERROR(VLOOKUP(Logs_Registre[[#This Row],[Cell_ID]],Registre_Maintenance[],3,FALSE),"")</f>
        <v>-2.3269820000000001</v>
      </c>
      <c r="I768">
        <f>IFERROR(VLOOKUP(Logs_Registre[[#This Row],[Cell_ID]],Registre_Maintenance[],4,FALSE),"")</f>
        <v>14.609259</v>
      </c>
      <c r="J768" t="str">
        <f>IFERROR(VLOOKUP(Logs_Registre[[#This Row],[Cell_ID]],Registre_Maintenance[],5,FALSE),"")</f>
        <v>3G</v>
      </c>
      <c r="K768" t="str">
        <f>IFERROR(VLOOKUP(Logs_Registre[[#This Row],[Cell_ID]],Registre_Maintenance[],6,FALSE),"")</f>
        <v>Nokia</v>
      </c>
    </row>
    <row r="769" spans="1:11" x14ac:dyDescent="0.25">
      <c r="A769" s="1" t="s">
        <v>1059</v>
      </c>
      <c r="B769" s="1" t="s">
        <v>797</v>
      </c>
      <c r="C769" s="2">
        <v>45208.959027777782</v>
      </c>
      <c r="D769" s="3">
        <v>45208.959027777782</v>
      </c>
      <c r="E769">
        <v>98</v>
      </c>
      <c r="F769" s="1" t="s">
        <v>737</v>
      </c>
      <c r="G769" t="str">
        <f>IFERROR(VLOOKUP(Logs_Registre[[#This Row],[Cell_ID]],Registre_Maintenance[],2,FALSE),"")</f>
        <v>Nord-Kivu</v>
      </c>
      <c r="H769">
        <f>IFERROR(VLOOKUP(Logs_Registre[[#This Row],[Cell_ID]],Registre_Maintenance[],3,FALSE),"")</f>
        <v>0.82868600000000003</v>
      </c>
      <c r="I769">
        <f>IFERROR(VLOOKUP(Logs_Registre[[#This Row],[Cell_ID]],Registre_Maintenance[],4,FALSE),"")</f>
        <v>26.958843999999999</v>
      </c>
      <c r="J769" t="str">
        <f>IFERROR(VLOOKUP(Logs_Registre[[#This Row],[Cell_ID]],Registre_Maintenance[],5,FALSE),"")</f>
        <v>5G</v>
      </c>
      <c r="K769" t="str">
        <f>IFERROR(VLOOKUP(Logs_Registre[[#This Row],[Cell_ID]],Registre_Maintenance[],6,FALSE),"")</f>
        <v>ZTE</v>
      </c>
    </row>
    <row r="770" spans="1:11" x14ac:dyDescent="0.25">
      <c r="A770" s="1" t="s">
        <v>730</v>
      </c>
      <c r="B770" s="1" t="s">
        <v>764</v>
      </c>
      <c r="C770" s="2">
        <v>45208.957638888889</v>
      </c>
      <c r="D770" s="3">
        <v>45208.957638888889</v>
      </c>
      <c r="E770">
        <v>115</v>
      </c>
      <c r="F770" s="1" t="s">
        <v>732</v>
      </c>
      <c r="G770" t="str">
        <f>IFERROR(VLOOKUP(Logs_Registre[[#This Row],[Cell_ID]],Registre_Maintenance[],2,FALSE),"")</f>
        <v>Tshopo</v>
      </c>
      <c r="H770">
        <f>IFERROR(VLOOKUP(Logs_Registre[[#This Row],[Cell_ID]],Registre_Maintenance[],3,FALSE),"")</f>
        <v>-6.1837850000000003</v>
      </c>
      <c r="I770">
        <f>IFERROR(VLOOKUP(Logs_Registre[[#This Row],[Cell_ID]],Registre_Maintenance[],4,FALSE),"")</f>
        <v>25.138759</v>
      </c>
      <c r="J770" t="str">
        <f>IFERROR(VLOOKUP(Logs_Registre[[#This Row],[Cell_ID]],Registre_Maintenance[],5,FALSE),"")</f>
        <v>3G</v>
      </c>
      <c r="K770" t="str">
        <f>IFERROR(VLOOKUP(Logs_Registre[[#This Row],[Cell_ID]],Registre_Maintenance[],6,FALSE),"")</f>
        <v>Ericsson</v>
      </c>
    </row>
    <row r="771" spans="1:11" x14ac:dyDescent="0.25">
      <c r="A771" s="1" t="s">
        <v>730</v>
      </c>
      <c r="B771" s="1" t="s">
        <v>769</v>
      </c>
      <c r="C771" s="2">
        <v>45208.863888888889</v>
      </c>
      <c r="D771" s="3">
        <v>45208.863888888889</v>
      </c>
      <c r="E771">
        <v>92</v>
      </c>
      <c r="F771" s="1" t="s">
        <v>732</v>
      </c>
      <c r="G771" t="str">
        <f>IFERROR(VLOOKUP(Logs_Registre[[#This Row],[Cell_ID]],Registre_Maintenance[],2,FALSE),"")</f>
        <v>Kwilu</v>
      </c>
      <c r="H771">
        <f>IFERROR(VLOOKUP(Logs_Registre[[#This Row],[Cell_ID]],Registre_Maintenance[],3,FALSE),"")</f>
        <v>-0.77432100000000004</v>
      </c>
      <c r="I771">
        <f>IFERROR(VLOOKUP(Logs_Registre[[#This Row],[Cell_ID]],Registre_Maintenance[],4,FALSE),"")</f>
        <v>18.628658999999999</v>
      </c>
      <c r="J771" t="str">
        <f>IFERROR(VLOOKUP(Logs_Registre[[#This Row],[Cell_ID]],Registre_Maintenance[],5,FALSE),"")</f>
        <v>4G</v>
      </c>
      <c r="K771" t="str">
        <f>IFERROR(VLOOKUP(Logs_Registre[[#This Row],[Cell_ID]],Registre_Maintenance[],6,FALSE),"")</f>
        <v>Huawei</v>
      </c>
    </row>
    <row r="772" spans="1:11" x14ac:dyDescent="0.25">
      <c r="A772" s="1" t="s">
        <v>1345</v>
      </c>
      <c r="B772" s="1" t="s">
        <v>1347</v>
      </c>
      <c r="C772" s="2">
        <v>45208.762499999997</v>
      </c>
      <c r="D772" s="3">
        <v>45208.762499999997</v>
      </c>
      <c r="E772">
        <v>101</v>
      </c>
      <c r="F772" s="1" t="s">
        <v>732</v>
      </c>
      <c r="G772" t="str">
        <f>IFERROR(VLOOKUP(Logs_Registre[[#This Row],[Cell_ID]],Registre_Maintenance[],2,FALSE),"")</f>
        <v/>
      </c>
      <c r="H772" t="str">
        <f>IFERROR(VLOOKUP(Logs_Registre[[#This Row],[Cell_ID]],Registre_Maintenance[],3,FALSE),"")</f>
        <v/>
      </c>
      <c r="I772" t="str">
        <f>IFERROR(VLOOKUP(Logs_Registre[[#This Row],[Cell_ID]],Registre_Maintenance[],4,FALSE),"")</f>
        <v/>
      </c>
      <c r="J772" t="str">
        <f>IFERROR(VLOOKUP(Logs_Registre[[#This Row],[Cell_ID]],Registre_Maintenance[],5,FALSE),"")</f>
        <v/>
      </c>
      <c r="K772" t="str">
        <f>IFERROR(VLOOKUP(Logs_Registre[[#This Row],[Cell_ID]],Registre_Maintenance[],6,FALSE),"")</f>
        <v/>
      </c>
    </row>
    <row r="773" spans="1:11" x14ac:dyDescent="0.25">
      <c r="A773" s="1" t="s">
        <v>1404</v>
      </c>
      <c r="B773" s="1" t="s">
        <v>1085</v>
      </c>
      <c r="C773" s="2">
        <v>45208.711111111108</v>
      </c>
      <c r="D773" s="3">
        <v>45208.711111111108</v>
      </c>
      <c r="E773">
        <v>75</v>
      </c>
      <c r="F773" s="1" t="s">
        <v>735</v>
      </c>
      <c r="G773" t="str">
        <f>IFERROR(VLOOKUP(Logs_Registre[[#This Row],[Cell_ID]],Registre_Maintenance[],2,FALSE),"")</f>
        <v/>
      </c>
      <c r="H773" t="str">
        <f>IFERROR(VLOOKUP(Logs_Registre[[#This Row],[Cell_ID]],Registre_Maintenance[],3,FALSE),"")</f>
        <v/>
      </c>
      <c r="I773" t="str">
        <f>IFERROR(VLOOKUP(Logs_Registre[[#This Row],[Cell_ID]],Registre_Maintenance[],4,FALSE),"")</f>
        <v/>
      </c>
      <c r="J773" t="str">
        <f>IFERROR(VLOOKUP(Logs_Registre[[#This Row],[Cell_ID]],Registre_Maintenance[],5,FALSE),"")</f>
        <v/>
      </c>
      <c r="K773" t="str">
        <f>IFERROR(VLOOKUP(Logs_Registre[[#This Row],[Cell_ID]],Registre_Maintenance[],6,FALSE),"")</f>
        <v/>
      </c>
    </row>
    <row r="774" spans="1:11" x14ac:dyDescent="0.25">
      <c r="A774" s="1" t="s">
        <v>1330</v>
      </c>
      <c r="B774" s="1" t="s">
        <v>1336</v>
      </c>
      <c r="C774" s="2">
        <v>45208.662499999999</v>
      </c>
      <c r="D774" s="3">
        <v>45208.662499999999</v>
      </c>
      <c r="E774">
        <v>104</v>
      </c>
      <c r="F774" s="1" t="s">
        <v>737</v>
      </c>
      <c r="G774" t="str">
        <f>IFERROR(VLOOKUP(Logs_Registre[[#This Row],[Cell_ID]],Registre_Maintenance[],2,FALSE),"")</f>
        <v/>
      </c>
      <c r="H774" t="str">
        <f>IFERROR(VLOOKUP(Logs_Registre[[#This Row],[Cell_ID]],Registre_Maintenance[],3,FALSE),"")</f>
        <v/>
      </c>
      <c r="I774" t="str">
        <f>IFERROR(VLOOKUP(Logs_Registre[[#This Row],[Cell_ID]],Registre_Maintenance[],4,FALSE),"")</f>
        <v/>
      </c>
      <c r="J774" t="str">
        <f>IFERROR(VLOOKUP(Logs_Registre[[#This Row],[Cell_ID]],Registre_Maintenance[],5,FALSE),"")</f>
        <v/>
      </c>
      <c r="K774" t="str">
        <f>IFERROR(VLOOKUP(Logs_Registre[[#This Row],[Cell_ID]],Registre_Maintenance[],6,FALSE),"")</f>
        <v/>
      </c>
    </row>
    <row r="775" spans="1:11" x14ac:dyDescent="0.25">
      <c r="A775" s="1" t="s">
        <v>939</v>
      </c>
      <c r="B775" s="1" t="s">
        <v>972</v>
      </c>
      <c r="C775" s="2">
        <v>45208.594444444447</v>
      </c>
      <c r="D775" s="3">
        <v>45208.594444444447</v>
      </c>
      <c r="E775">
        <v>50</v>
      </c>
      <c r="F775" s="1" t="s">
        <v>732</v>
      </c>
      <c r="G775" t="str">
        <f>IFERROR(VLOOKUP(Logs_Registre[[#This Row],[Cell_ID]],Registre_Maintenance[],2,FALSE),"")</f>
        <v/>
      </c>
      <c r="H775" t="str">
        <f>IFERROR(VLOOKUP(Logs_Registre[[#This Row],[Cell_ID]],Registre_Maintenance[],3,FALSE),"")</f>
        <v/>
      </c>
      <c r="I775" t="str">
        <f>IFERROR(VLOOKUP(Logs_Registre[[#This Row],[Cell_ID]],Registre_Maintenance[],4,FALSE),"")</f>
        <v/>
      </c>
      <c r="J775" t="str">
        <f>IFERROR(VLOOKUP(Logs_Registre[[#This Row],[Cell_ID]],Registre_Maintenance[],5,FALSE),"")</f>
        <v/>
      </c>
      <c r="K775" t="str">
        <f>IFERROR(VLOOKUP(Logs_Registre[[#This Row],[Cell_ID]],Registre_Maintenance[],6,FALSE),"")</f>
        <v/>
      </c>
    </row>
    <row r="776" spans="1:11" x14ac:dyDescent="0.25">
      <c r="A776" s="1" t="s">
        <v>1404</v>
      </c>
      <c r="B776" s="1" t="s">
        <v>1397</v>
      </c>
      <c r="C776" s="2">
        <v>45208.558333333327</v>
      </c>
      <c r="D776" s="3">
        <v>45208.558333333327</v>
      </c>
      <c r="E776">
        <v>44</v>
      </c>
      <c r="F776" s="1" t="s">
        <v>737</v>
      </c>
      <c r="G776" t="str">
        <f>IFERROR(VLOOKUP(Logs_Registre[[#This Row],[Cell_ID]],Registre_Maintenance[],2,FALSE),"")</f>
        <v>Kasai-Central</v>
      </c>
      <c r="H776">
        <f>IFERROR(VLOOKUP(Logs_Registre[[#This Row],[Cell_ID]],Registre_Maintenance[],3,FALSE),"")</f>
        <v>-8.0800809999999998</v>
      </c>
      <c r="I776">
        <f>IFERROR(VLOOKUP(Logs_Registre[[#This Row],[Cell_ID]],Registre_Maintenance[],4,FALSE),"")</f>
        <v>30.147970999999998</v>
      </c>
      <c r="J776" t="str">
        <f>IFERROR(VLOOKUP(Logs_Registre[[#This Row],[Cell_ID]],Registre_Maintenance[],5,FALSE),"")</f>
        <v>5G</v>
      </c>
      <c r="K776" t="str">
        <f>IFERROR(VLOOKUP(Logs_Registre[[#This Row],[Cell_ID]],Registre_Maintenance[],6,FALSE),"")</f>
        <v>Huawei</v>
      </c>
    </row>
    <row r="777" spans="1:11" x14ac:dyDescent="0.25">
      <c r="A777" s="1" t="s">
        <v>1165</v>
      </c>
      <c r="B777" s="1" t="s">
        <v>1175</v>
      </c>
      <c r="C777" s="2">
        <v>45208.529861111107</v>
      </c>
      <c r="D777" s="3">
        <v>45208.529861111107</v>
      </c>
      <c r="E777">
        <v>72</v>
      </c>
      <c r="F777" s="1" t="s">
        <v>737</v>
      </c>
      <c r="G777" t="str">
        <f>IFERROR(VLOOKUP(Logs_Registre[[#This Row],[Cell_ID]],Registre_Maintenance[],2,FALSE),"")</f>
        <v/>
      </c>
      <c r="H777" t="str">
        <f>IFERROR(VLOOKUP(Logs_Registre[[#This Row],[Cell_ID]],Registre_Maintenance[],3,FALSE),"")</f>
        <v/>
      </c>
      <c r="I777" t="str">
        <f>IFERROR(VLOOKUP(Logs_Registre[[#This Row],[Cell_ID]],Registre_Maintenance[],4,FALSE),"")</f>
        <v/>
      </c>
      <c r="J777" t="str">
        <f>IFERROR(VLOOKUP(Logs_Registre[[#This Row],[Cell_ID]],Registre_Maintenance[],5,FALSE),"")</f>
        <v/>
      </c>
      <c r="K777" t="str">
        <f>IFERROR(VLOOKUP(Logs_Registre[[#This Row],[Cell_ID]],Registre_Maintenance[],6,FALSE),"")</f>
        <v/>
      </c>
    </row>
    <row r="778" spans="1:11" x14ac:dyDescent="0.25">
      <c r="A778" s="1" t="s">
        <v>1330</v>
      </c>
      <c r="B778" s="1" t="s">
        <v>910</v>
      </c>
      <c r="C778" s="2">
        <v>45208.52847222222</v>
      </c>
      <c r="D778" s="3">
        <v>45208.52847222222</v>
      </c>
      <c r="E778">
        <v>33</v>
      </c>
      <c r="F778" s="1" t="s">
        <v>735</v>
      </c>
      <c r="G778" t="str">
        <f>IFERROR(VLOOKUP(Logs_Registre[[#This Row],[Cell_ID]],Registre_Maintenance[],2,FALSE),"")</f>
        <v>Lualaba</v>
      </c>
      <c r="H778">
        <f>IFERROR(VLOOKUP(Logs_Registre[[#This Row],[Cell_ID]],Registre_Maintenance[],3,FALSE),"")</f>
        <v>-10.872631999999999</v>
      </c>
      <c r="I778">
        <f>IFERROR(VLOOKUP(Logs_Registre[[#This Row],[Cell_ID]],Registre_Maintenance[],4,FALSE),"")</f>
        <v>12.773279</v>
      </c>
      <c r="J778" t="str">
        <f>IFERROR(VLOOKUP(Logs_Registre[[#This Row],[Cell_ID]],Registre_Maintenance[],5,FALSE),"")</f>
        <v>3G</v>
      </c>
      <c r="K778" t="str">
        <f>IFERROR(VLOOKUP(Logs_Registre[[#This Row],[Cell_ID]],Registre_Maintenance[],6,FALSE),"")</f>
        <v>ZTE</v>
      </c>
    </row>
    <row r="779" spans="1:11" x14ac:dyDescent="0.25">
      <c r="A779" s="1" t="s">
        <v>1330</v>
      </c>
      <c r="B779" s="1" t="s">
        <v>1332</v>
      </c>
      <c r="C779" s="2">
        <v>45208.506249999999</v>
      </c>
      <c r="D779" s="3">
        <v>45208.506249999999</v>
      </c>
      <c r="E779">
        <v>91</v>
      </c>
      <c r="F779" s="1" t="s">
        <v>737</v>
      </c>
      <c r="G779" t="str">
        <f>IFERROR(VLOOKUP(Logs_Registre[[#This Row],[Cell_ID]],Registre_Maintenance[],2,FALSE),"")</f>
        <v/>
      </c>
      <c r="H779" t="str">
        <f>IFERROR(VLOOKUP(Logs_Registre[[#This Row],[Cell_ID]],Registre_Maintenance[],3,FALSE),"")</f>
        <v/>
      </c>
      <c r="I779" t="str">
        <f>IFERROR(VLOOKUP(Logs_Registre[[#This Row],[Cell_ID]],Registre_Maintenance[],4,FALSE),"")</f>
        <v/>
      </c>
      <c r="J779" t="str">
        <f>IFERROR(VLOOKUP(Logs_Registre[[#This Row],[Cell_ID]],Registre_Maintenance[],5,FALSE),"")</f>
        <v/>
      </c>
      <c r="K779" t="str">
        <f>IFERROR(VLOOKUP(Logs_Registre[[#This Row],[Cell_ID]],Registre_Maintenance[],6,FALSE),"")</f>
        <v/>
      </c>
    </row>
    <row r="780" spans="1:11" x14ac:dyDescent="0.25">
      <c r="A780" s="1" t="s">
        <v>779</v>
      </c>
      <c r="B780" s="1" t="s">
        <v>818</v>
      </c>
      <c r="C780" s="2">
        <v>45208.505555555559</v>
      </c>
      <c r="D780" s="3">
        <v>45208.505555555559</v>
      </c>
      <c r="E780">
        <v>31</v>
      </c>
      <c r="F780" s="1" t="s">
        <v>737</v>
      </c>
      <c r="G780" t="str">
        <f>IFERROR(VLOOKUP(Logs_Registre[[#This Row],[Cell_ID]],Registre_Maintenance[],2,FALSE),"")</f>
        <v/>
      </c>
      <c r="H780" t="str">
        <f>IFERROR(VLOOKUP(Logs_Registre[[#This Row],[Cell_ID]],Registre_Maintenance[],3,FALSE),"")</f>
        <v/>
      </c>
      <c r="I780" t="str">
        <f>IFERROR(VLOOKUP(Logs_Registre[[#This Row],[Cell_ID]],Registre_Maintenance[],4,FALSE),"")</f>
        <v/>
      </c>
      <c r="J780" t="str">
        <f>IFERROR(VLOOKUP(Logs_Registre[[#This Row],[Cell_ID]],Registre_Maintenance[],5,FALSE),"")</f>
        <v/>
      </c>
      <c r="K780" t="str">
        <f>IFERROR(VLOOKUP(Logs_Registre[[#This Row],[Cell_ID]],Registre_Maintenance[],6,FALSE),"")</f>
        <v/>
      </c>
    </row>
    <row r="781" spans="1:11" x14ac:dyDescent="0.25">
      <c r="A781" s="1" t="s">
        <v>1330</v>
      </c>
      <c r="B781" s="1" t="s">
        <v>1077</v>
      </c>
      <c r="C781" s="2">
        <v>45208.494444444441</v>
      </c>
      <c r="D781" s="3">
        <v>45208.494444444441</v>
      </c>
      <c r="E781">
        <v>59</v>
      </c>
      <c r="F781" s="1" t="s">
        <v>735</v>
      </c>
      <c r="G781" t="str">
        <f>IFERROR(VLOOKUP(Logs_Registre[[#This Row],[Cell_ID]],Registre_Maintenance[],2,FALSE),"")</f>
        <v/>
      </c>
      <c r="H781" t="str">
        <f>IFERROR(VLOOKUP(Logs_Registre[[#This Row],[Cell_ID]],Registre_Maintenance[],3,FALSE),"")</f>
        <v/>
      </c>
      <c r="I781" t="str">
        <f>IFERROR(VLOOKUP(Logs_Registre[[#This Row],[Cell_ID]],Registre_Maintenance[],4,FALSE),"")</f>
        <v/>
      </c>
      <c r="J781" t="str">
        <f>IFERROR(VLOOKUP(Logs_Registre[[#This Row],[Cell_ID]],Registre_Maintenance[],5,FALSE),"")</f>
        <v/>
      </c>
      <c r="K781" t="str">
        <f>IFERROR(VLOOKUP(Logs_Registre[[#This Row],[Cell_ID]],Registre_Maintenance[],6,FALSE),"")</f>
        <v/>
      </c>
    </row>
    <row r="782" spans="1:11" x14ac:dyDescent="0.25">
      <c r="A782" s="1" t="s">
        <v>939</v>
      </c>
      <c r="B782" s="1" t="s">
        <v>952</v>
      </c>
      <c r="C782" s="2">
        <v>45208.443749999999</v>
      </c>
      <c r="D782" s="3">
        <v>45208.443749999999</v>
      </c>
      <c r="E782">
        <v>7</v>
      </c>
      <c r="F782" s="1" t="s">
        <v>737</v>
      </c>
      <c r="G782" t="str">
        <f>IFERROR(VLOOKUP(Logs_Registre[[#This Row],[Cell_ID]],Registre_Maintenance[],2,FALSE),"")</f>
        <v>Haut-Lomami</v>
      </c>
      <c r="H782">
        <f>IFERROR(VLOOKUP(Logs_Registre[[#This Row],[Cell_ID]],Registre_Maintenance[],3,FALSE),"")</f>
        <v>-6.3324319999999998</v>
      </c>
      <c r="I782">
        <f>IFERROR(VLOOKUP(Logs_Registre[[#This Row],[Cell_ID]],Registre_Maintenance[],4,FALSE),"")</f>
        <v>24.887858000000001</v>
      </c>
      <c r="J782" t="str">
        <f>IFERROR(VLOOKUP(Logs_Registre[[#This Row],[Cell_ID]],Registre_Maintenance[],5,FALSE),"")</f>
        <v>4G</v>
      </c>
      <c r="K782" t="str">
        <f>IFERROR(VLOOKUP(Logs_Registre[[#This Row],[Cell_ID]],Registre_Maintenance[],6,FALSE),"")</f>
        <v>ZTE</v>
      </c>
    </row>
    <row r="783" spans="1:11" x14ac:dyDescent="0.25">
      <c r="A783" s="1" t="s">
        <v>730</v>
      </c>
      <c r="B783" s="1" t="s">
        <v>733</v>
      </c>
      <c r="C783" s="2">
        <v>45208.301388888889</v>
      </c>
      <c r="D783" s="3">
        <v>45208.301388888889</v>
      </c>
      <c r="E783">
        <v>38</v>
      </c>
      <c r="F783" s="1" t="s">
        <v>732</v>
      </c>
      <c r="G783" t="str">
        <f>IFERROR(VLOOKUP(Logs_Registre[[#This Row],[Cell_ID]],Registre_Maintenance[],2,FALSE),"")</f>
        <v/>
      </c>
      <c r="H783" t="str">
        <f>IFERROR(VLOOKUP(Logs_Registre[[#This Row],[Cell_ID]],Registre_Maintenance[],3,FALSE),"")</f>
        <v/>
      </c>
      <c r="I783" t="str">
        <f>IFERROR(VLOOKUP(Logs_Registre[[#This Row],[Cell_ID]],Registre_Maintenance[],4,FALSE),"")</f>
        <v/>
      </c>
      <c r="J783" t="str">
        <f>IFERROR(VLOOKUP(Logs_Registre[[#This Row],[Cell_ID]],Registre_Maintenance[],5,FALSE),"")</f>
        <v/>
      </c>
      <c r="K783" t="str">
        <f>IFERROR(VLOOKUP(Logs_Registre[[#This Row],[Cell_ID]],Registre_Maintenance[],6,FALSE),"")</f>
        <v/>
      </c>
    </row>
    <row r="784" spans="1:11" x14ac:dyDescent="0.25">
      <c r="A784" s="1" t="s">
        <v>779</v>
      </c>
      <c r="B784" s="1" t="s">
        <v>816</v>
      </c>
      <c r="C784" s="2">
        <v>45208.279166666667</v>
      </c>
      <c r="D784" s="3">
        <v>45208.279166666667</v>
      </c>
      <c r="E784">
        <v>41</v>
      </c>
      <c r="F784" s="1" t="s">
        <v>735</v>
      </c>
      <c r="G784" t="str">
        <f>IFERROR(VLOOKUP(Logs_Registre[[#This Row],[Cell_ID]],Registre_Maintenance[],2,FALSE),"")</f>
        <v>Nord-Ubangi</v>
      </c>
      <c r="H784">
        <f>IFERROR(VLOOKUP(Logs_Registre[[#This Row],[Cell_ID]],Registre_Maintenance[],3,FALSE),"")</f>
        <v>-9.3066320000000005</v>
      </c>
      <c r="I784">
        <f>IFERROR(VLOOKUP(Logs_Registre[[#This Row],[Cell_ID]],Registre_Maintenance[],4,FALSE),"")</f>
        <v>20.470889</v>
      </c>
      <c r="J784" t="str">
        <f>IFERROR(VLOOKUP(Logs_Registre[[#This Row],[Cell_ID]],Registre_Maintenance[],5,FALSE),"")</f>
        <v>5G</v>
      </c>
      <c r="K784" t="str">
        <f>IFERROR(VLOOKUP(Logs_Registre[[#This Row],[Cell_ID]],Registre_Maintenance[],6,FALSE),"")</f>
        <v>ZTE</v>
      </c>
    </row>
    <row r="785" spans="1:11" x14ac:dyDescent="0.25">
      <c r="A785" s="1" t="s">
        <v>1086</v>
      </c>
      <c r="B785" s="1" t="s">
        <v>1107</v>
      </c>
      <c r="C785" s="2">
        <v>45208.194444444453</v>
      </c>
      <c r="D785" s="3">
        <v>45208.194444444453</v>
      </c>
      <c r="E785">
        <v>98</v>
      </c>
      <c r="F785" s="1" t="s">
        <v>735</v>
      </c>
      <c r="G785" t="str">
        <f>IFERROR(VLOOKUP(Logs_Registre[[#This Row],[Cell_ID]],Registre_Maintenance[],2,FALSE),"")</f>
        <v/>
      </c>
      <c r="H785" t="str">
        <f>IFERROR(VLOOKUP(Logs_Registre[[#This Row],[Cell_ID]],Registre_Maintenance[],3,FALSE),"")</f>
        <v/>
      </c>
      <c r="I785" t="str">
        <f>IFERROR(VLOOKUP(Logs_Registre[[#This Row],[Cell_ID]],Registre_Maintenance[],4,FALSE),"")</f>
        <v/>
      </c>
      <c r="J785" t="str">
        <f>IFERROR(VLOOKUP(Logs_Registre[[#This Row],[Cell_ID]],Registre_Maintenance[],5,FALSE),"")</f>
        <v/>
      </c>
      <c r="K785" t="str">
        <f>IFERROR(VLOOKUP(Logs_Registre[[#This Row],[Cell_ID]],Registre_Maintenance[],6,FALSE),"")</f>
        <v/>
      </c>
    </row>
    <row r="786" spans="1:11" x14ac:dyDescent="0.25">
      <c r="A786" s="1" t="s">
        <v>978</v>
      </c>
      <c r="B786" s="1" t="s">
        <v>783</v>
      </c>
      <c r="C786" s="2">
        <v>45208.172222222223</v>
      </c>
      <c r="D786" s="3">
        <v>45208.172222222223</v>
      </c>
      <c r="E786">
        <v>87</v>
      </c>
      <c r="F786" s="1" t="s">
        <v>732</v>
      </c>
      <c r="G786" t="str">
        <f>IFERROR(VLOOKUP(Logs_Registre[[#This Row],[Cell_ID]],Registre_Maintenance[],2,FALSE),"")</f>
        <v/>
      </c>
      <c r="H786" t="str">
        <f>IFERROR(VLOOKUP(Logs_Registre[[#This Row],[Cell_ID]],Registre_Maintenance[],3,FALSE),"")</f>
        <v/>
      </c>
      <c r="I786" t="str">
        <f>IFERROR(VLOOKUP(Logs_Registre[[#This Row],[Cell_ID]],Registre_Maintenance[],4,FALSE),"")</f>
        <v/>
      </c>
      <c r="J786" t="str">
        <f>IFERROR(VLOOKUP(Logs_Registre[[#This Row],[Cell_ID]],Registre_Maintenance[],5,FALSE),"")</f>
        <v/>
      </c>
      <c r="K786" t="str">
        <f>IFERROR(VLOOKUP(Logs_Registre[[#This Row],[Cell_ID]],Registre_Maintenance[],6,FALSE),"")</f>
        <v/>
      </c>
    </row>
    <row r="787" spans="1:11" x14ac:dyDescent="0.25">
      <c r="A787" s="1" t="s">
        <v>902</v>
      </c>
      <c r="B787" s="1" t="s">
        <v>930</v>
      </c>
      <c r="C787" s="2">
        <v>45208.169444444437</v>
      </c>
      <c r="D787" s="3">
        <v>45208.169444444437</v>
      </c>
      <c r="E787">
        <v>47</v>
      </c>
      <c r="F787" s="1" t="s">
        <v>732</v>
      </c>
      <c r="G787" t="str">
        <f>IFERROR(VLOOKUP(Logs_Registre[[#This Row],[Cell_ID]],Registre_Maintenance[],2,FALSE),"")</f>
        <v>Kasai</v>
      </c>
      <c r="H787">
        <f>IFERROR(VLOOKUP(Logs_Registre[[#This Row],[Cell_ID]],Registre_Maintenance[],3,FALSE),"")</f>
        <v>-4.351254</v>
      </c>
      <c r="I787">
        <f>IFERROR(VLOOKUP(Logs_Registre[[#This Row],[Cell_ID]],Registre_Maintenance[],4,FALSE),"")</f>
        <v>30.097408999999999</v>
      </c>
      <c r="J787" t="str">
        <f>IFERROR(VLOOKUP(Logs_Registre[[#This Row],[Cell_ID]],Registre_Maintenance[],5,FALSE),"")</f>
        <v>5G</v>
      </c>
      <c r="K787" t="str">
        <f>IFERROR(VLOOKUP(Logs_Registre[[#This Row],[Cell_ID]],Registre_Maintenance[],6,FALSE),"")</f>
        <v>Nokia</v>
      </c>
    </row>
    <row r="788" spans="1:11" x14ac:dyDescent="0.25">
      <c r="A788" s="1" t="s">
        <v>1261</v>
      </c>
      <c r="B788" s="1" t="s">
        <v>1283</v>
      </c>
      <c r="C788" s="2">
        <v>45208.10833333333</v>
      </c>
      <c r="D788" s="3">
        <v>45208.10833333333</v>
      </c>
      <c r="E788">
        <v>102</v>
      </c>
      <c r="F788" s="1" t="s">
        <v>735</v>
      </c>
      <c r="G788" t="str">
        <f>IFERROR(VLOOKUP(Logs_Registre[[#This Row],[Cell_ID]],Registre_Maintenance[],2,FALSE),"")</f>
        <v>Sud-Kivu</v>
      </c>
      <c r="H788">
        <f>IFERROR(VLOOKUP(Logs_Registre[[#This Row],[Cell_ID]],Registre_Maintenance[],3,FALSE),"")</f>
        <v>-1.4700059999999999</v>
      </c>
      <c r="I788">
        <f>IFERROR(VLOOKUP(Logs_Registre[[#This Row],[Cell_ID]],Registre_Maintenance[],4,FALSE),"")</f>
        <v>18.680958</v>
      </c>
      <c r="J788" t="str">
        <f>IFERROR(VLOOKUP(Logs_Registre[[#This Row],[Cell_ID]],Registre_Maintenance[],5,FALSE),"")</f>
        <v>3G</v>
      </c>
      <c r="K788" t="str">
        <f>IFERROR(VLOOKUP(Logs_Registre[[#This Row],[Cell_ID]],Registre_Maintenance[],6,FALSE),"")</f>
        <v>Huawei</v>
      </c>
    </row>
    <row r="789" spans="1:11" x14ac:dyDescent="0.25">
      <c r="A789" s="1" t="s">
        <v>1288</v>
      </c>
      <c r="B789" s="1" t="s">
        <v>1295</v>
      </c>
      <c r="C789" s="2">
        <v>45208.084027777782</v>
      </c>
      <c r="D789" s="3">
        <v>45208.084027777782</v>
      </c>
      <c r="E789">
        <v>50</v>
      </c>
      <c r="F789" s="1" t="s">
        <v>735</v>
      </c>
      <c r="G789" t="str">
        <f>IFERROR(VLOOKUP(Logs_Registre[[#This Row],[Cell_ID]],Registre_Maintenance[],2,FALSE),"")</f>
        <v/>
      </c>
      <c r="H789" t="str">
        <f>IFERROR(VLOOKUP(Logs_Registre[[#This Row],[Cell_ID]],Registre_Maintenance[],3,FALSE),"")</f>
        <v/>
      </c>
      <c r="I789" t="str">
        <f>IFERROR(VLOOKUP(Logs_Registre[[#This Row],[Cell_ID]],Registre_Maintenance[],4,FALSE),"")</f>
        <v/>
      </c>
      <c r="J789" t="str">
        <f>IFERROR(VLOOKUP(Logs_Registre[[#This Row],[Cell_ID]],Registre_Maintenance[],5,FALSE),"")</f>
        <v/>
      </c>
      <c r="K789" t="str">
        <f>IFERROR(VLOOKUP(Logs_Registre[[#This Row],[Cell_ID]],Registre_Maintenance[],6,FALSE),"")</f>
        <v/>
      </c>
    </row>
    <row r="790" spans="1:11" x14ac:dyDescent="0.25">
      <c r="A790" s="1" t="s">
        <v>1059</v>
      </c>
      <c r="B790" s="1" t="s">
        <v>988</v>
      </c>
      <c r="C790" s="2">
        <v>45208.074999999997</v>
      </c>
      <c r="D790" s="3">
        <v>45208.074999999997</v>
      </c>
      <c r="E790">
        <v>82</v>
      </c>
      <c r="F790" s="1" t="s">
        <v>737</v>
      </c>
      <c r="G790" t="str">
        <f>IFERROR(VLOOKUP(Logs_Registre[[#This Row],[Cell_ID]],Registre_Maintenance[],2,FALSE),"")</f>
        <v/>
      </c>
      <c r="H790" t="str">
        <f>IFERROR(VLOOKUP(Logs_Registre[[#This Row],[Cell_ID]],Registre_Maintenance[],3,FALSE),"")</f>
        <v/>
      </c>
      <c r="I790" t="str">
        <f>IFERROR(VLOOKUP(Logs_Registre[[#This Row],[Cell_ID]],Registre_Maintenance[],4,FALSE),"")</f>
        <v/>
      </c>
      <c r="J790" t="str">
        <f>IFERROR(VLOOKUP(Logs_Registre[[#This Row],[Cell_ID]],Registre_Maintenance[],5,FALSE),"")</f>
        <v/>
      </c>
      <c r="K790" t="str">
        <f>IFERROR(VLOOKUP(Logs_Registre[[#This Row],[Cell_ID]],Registre_Maintenance[],6,FALSE),"")</f>
        <v/>
      </c>
    </row>
    <row r="791" spans="1:11" x14ac:dyDescent="0.25">
      <c r="A791" s="1" t="s">
        <v>730</v>
      </c>
      <c r="B791" s="1" t="s">
        <v>745</v>
      </c>
      <c r="C791" s="2">
        <v>45208.073611111111</v>
      </c>
      <c r="D791" s="3">
        <v>45208.073611111111</v>
      </c>
      <c r="E791">
        <v>85</v>
      </c>
      <c r="F791" s="1" t="s">
        <v>735</v>
      </c>
      <c r="G791" t="str">
        <f>IFERROR(VLOOKUP(Logs_Registre[[#This Row],[Cell_ID]],Registre_Maintenance[],2,FALSE),"")</f>
        <v>Lomami</v>
      </c>
      <c r="H791">
        <f>IFERROR(VLOOKUP(Logs_Registre[[#This Row],[Cell_ID]],Registre_Maintenance[],3,FALSE),"")</f>
        <v>-8.4227860000000003</v>
      </c>
      <c r="I791">
        <f>IFERROR(VLOOKUP(Logs_Registre[[#This Row],[Cell_ID]],Registre_Maintenance[],4,FALSE),"")</f>
        <v>16.781293000000002</v>
      </c>
      <c r="J791" t="str">
        <f>IFERROR(VLOOKUP(Logs_Registre[[#This Row],[Cell_ID]],Registre_Maintenance[],5,FALSE),"")</f>
        <v>4G</v>
      </c>
      <c r="K791" t="str">
        <f>IFERROR(VLOOKUP(Logs_Registre[[#This Row],[Cell_ID]],Registre_Maintenance[],6,FALSE),"")</f>
        <v>Huawei</v>
      </c>
    </row>
    <row r="792" spans="1:11" x14ac:dyDescent="0.25">
      <c r="A792" s="1" t="s">
        <v>823</v>
      </c>
      <c r="B792" s="1" t="s">
        <v>832</v>
      </c>
      <c r="C792" s="2">
        <v>45208.072916666657</v>
      </c>
      <c r="D792" s="3">
        <v>45208.072916666657</v>
      </c>
      <c r="E792">
        <v>68</v>
      </c>
      <c r="F792" s="1" t="s">
        <v>732</v>
      </c>
      <c r="G792" t="str">
        <f>IFERROR(VLOOKUP(Logs_Registre[[#This Row],[Cell_ID]],Registre_Maintenance[],2,FALSE),"")</f>
        <v>Nord-Kivu</v>
      </c>
      <c r="H792">
        <f>IFERROR(VLOOKUP(Logs_Registre[[#This Row],[Cell_ID]],Registre_Maintenance[],3,FALSE),"")</f>
        <v>1.017161</v>
      </c>
      <c r="I792">
        <f>IFERROR(VLOOKUP(Logs_Registre[[#This Row],[Cell_ID]],Registre_Maintenance[],4,FALSE),"")</f>
        <v>16.519689</v>
      </c>
      <c r="J792" t="str">
        <f>IFERROR(VLOOKUP(Logs_Registre[[#This Row],[Cell_ID]],Registre_Maintenance[],5,FALSE),"")</f>
        <v>3G</v>
      </c>
      <c r="K792" t="str">
        <f>IFERROR(VLOOKUP(Logs_Registre[[#This Row],[Cell_ID]],Registre_Maintenance[],6,FALSE),"")</f>
        <v>Nokia</v>
      </c>
    </row>
    <row r="793" spans="1:11" x14ac:dyDescent="0.25">
      <c r="A793" s="1" t="s">
        <v>978</v>
      </c>
      <c r="B793" s="1" t="s">
        <v>781</v>
      </c>
      <c r="C793" s="2">
        <v>45208.047222222223</v>
      </c>
      <c r="D793" s="3">
        <v>45208.047222222223</v>
      </c>
      <c r="E793">
        <v>92</v>
      </c>
      <c r="F793" s="1" t="s">
        <v>737</v>
      </c>
      <c r="G793" t="str">
        <f>IFERROR(VLOOKUP(Logs_Registre[[#This Row],[Cell_ID]],Registre_Maintenance[],2,FALSE),"")</f>
        <v/>
      </c>
      <c r="H793" t="str">
        <f>IFERROR(VLOOKUP(Logs_Registre[[#This Row],[Cell_ID]],Registre_Maintenance[],3,FALSE),"")</f>
        <v/>
      </c>
      <c r="I793" t="str">
        <f>IFERROR(VLOOKUP(Logs_Registre[[#This Row],[Cell_ID]],Registre_Maintenance[],4,FALSE),"")</f>
        <v/>
      </c>
      <c r="J793" t="str">
        <f>IFERROR(VLOOKUP(Logs_Registre[[#This Row],[Cell_ID]],Registre_Maintenance[],5,FALSE),"")</f>
        <v/>
      </c>
      <c r="K793" t="str">
        <f>IFERROR(VLOOKUP(Logs_Registre[[#This Row],[Cell_ID]],Registre_Maintenance[],6,FALSE),"")</f>
        <v/>
      </c>
    </row>
    <row r="794" spans="1:11" x14ac:dyDescent="0.25">
      <c r="A794" s="1" t="s">
        <v>1059</v>
      </c>
      <c r="B794" s="1" t="s">
        <v>1072</v>
      </c>
      <c r="C794" s="2">
        <v>45207.987500000003</v>
      </c>
      <c r="D794" s="3">
        <v>45207.987500000003</v>
      </c>
      <c r="E794">
        <v>15</v>
      </c>
      <c r="F794" s="1" t="s">
        <v>735</v>
      </c>
      <c r="G794" t="str">
        <f>IFERROR(VLOOKUP(Logs_Registre[[#This Row],[Cell_ID]],Registre_Maintenance[],2,FALSE),"")</f>
        <v>Kwango</v>
      </c>
      <c r="H794">
        <f>IFERROR(VLOOKUP(Logs_Registre[[#This Row],[Cell_ID]],Registre_Maintenance[],3,FALSE),"")</f>
        <v>-9.0798120000000004</v>
      </c>
      <c r="I794">
        <f>IFERROR(VLOOKUP(Logs_Registre[[#This Row],[Cell_ID]],Registre_Maintenance[],4,FALSE),"")</f>
        <v>14.945484</v>
      </c>
      <c r="J794" t="str">
        <f>IFERROR(VLOOKUP(Logs_Registre[[#This Row],[Cell_ID]],Registre_Maintenance[],5,FALSE),"")</f>
        <v>5G</v>
      </c>
      <c r="K794" t="str">
        <f>IFERROR(VLOOKUP(Logs_Registre[[#This Row],[Cell_ID]],Registre_Maintenance[],6,FALSE),"")</f>
        <v>Ericsson</v>
      </c>
    </row>
    <row r="795" spans="1:11" x14ac:dyDescent="0.25">
      <c r="A795" s="1" t="s">
        <v>730</v>
      </c>
      <c r="B795" s="1" t="s">
        <v>778</v>
      </c>
      <c r="C795" s="2">
        <v>45207.982638888891</v>
      </c>
      <c r="D795" s="3">
        <v>45207.982638888891</v>
      </c>
      <c r="E795">
        <v>25</v>
      </c>
      <c r="F795" s="1" t="s">
        <v>737</v>
      </c>
      <c r="G795" t="str">
        <f>IFERROR(VLOOKUP(Logs_Registre[[#This Row],[Cell_ID]],Registre_Maintenance[],2,FALSE),"")</f>
        <v>Nord-Kivu</v>
      </c>
      <c r="H795">
        <f>IFERROR(VLOOKUP(Logs_Registre[[#This Row],[Cell_ID]],Registre_Maintenance[],3,FALSE),"")</f>
        <v>-11.866133</v>
      </c>
      <c r="I795">
        <f>IFERROR(VLOOKUP(Logs_Registre[[#This Row],[Cell_ID]],Registre_Maintenance[],4,FALSE),"")</f>
        <v>27.068932</v>
      </c>
      <c r="J795" t="str">
        <f>IFERROR(VLOOKUP(Logs_Registre[[#This Row],[Cell_ID]],Registre_Maintenance[],5,FALSE),"")</f>
        <v>3G</v>
      </c>
      <c r="K795" t="str">
        <f>IFERROR(VLOOKUP(Logs_Registre[[#This Row],[Cell_ID]],Registre_Maintenance[],6,FALSE),"")</f>
        <v>Huawei</v>
      </c>
    </row>
    <row r="796" spans="1:11" x14ac:dyDescent="0.25">
      <c r="A796" s="1" t="s">
        <v>1114</v>
      </c>
      <c r="B796" s="1" t="s">
        <v>900</v>
      </c>
      <c r="C796" s="2">
        <v>45207.960416666669</v>
      </c>
      <c r="D796" s="3">
        <v>45207.960416666669</v>
      </c>
      <c r="E796">
        <v>23</v>
      </c>
      <c r="F796" s="1" t="s">
        <v>737</v>
      </c>
      <c r="G796" t="str">
        <f>IFERROR(VLOOKUP(Logs_Registre[[#This Row],[Cell_ID]],Registre_Maintenance[],2,FALSE),"")</f>
        <v>Nord-Kivu</v>
      </c>
      <c r="H796">
        <f>IFERROR(VLOOKUP(Logs_Registre[[#This Row],[Cell_ID]],Registre_Maintenance[],3,FALSE),"")</f>
        <v>-12.336202</v>
      </c>
      <c r="I796">
        <f>IFERROR(VLOOKUP(Logs_Registre[[#This Row],[Cell_ID]],Registre_Maintenance[],4,FALSE),"")</f>
        <v>13.693683999999999</v>
      </c>
      <c r="J796" t="str">
        <f>IFERROR(VLOOKUP(Logs_Registre[[#This Row],[Cell_ID]],Registre_Maintenance[],5,FALSE),"")</f>
        <v>5G</v>
      </c>
      <c r="K796" t="str">
        <f>IFERROR(VLOOKUP(Logs_Registre[[#This Row],[Cell_ID]],Registre_Maintenance[],6,FALSE),"")</f>
        <v>Huawei</v>
      </c>
    </row>
    <row r="797" spans="1:11" x14ac:dyDescent="0.25">
      <c r="A797" s="1" t="s">
        <v>1345</v>
      </c>
      <c r="B797" s="1" t="s">
        <v>983</v>
      </c>
      <c r="C797" s="2">
        <v>45207.955555555563</v>
      </c>
      <c r="D797" s="3">
        <v>45207.955555555563</v>
      </c>
      <c r="E797">
        <v>73</v>
      </c>
      <c r="F797" s="1" t="s">
        <v>735</v>
      </c>
      <c r="G797" t="str">
        <f>IFERROR(VLOOKUP(Logs_Registre[[#This Row],[Cell_ID]],Registre_Maintenance[],2,FALSE),"")</f>
        <v>Haut-Katanga</v>
      </c>
      <c r="H797">
        <f>IFERROR(VLOOKUP(Logs_Registre[[#This Row],[Cell_ID]],Registre_Maintenance[],3,FALSE),"")</f>
        <v>2.016505</v>
      </c>
      <c r="I797">
        <f>IFERROR(VLOOKUP(Logs_Registre[[#This Row],[Cell_ID]],Registre_Maintenance[],4,FALSE),"")</f>
        <v>14.294164</v>
      </c>
      <c r="J797" t="str">
        <f>IFERROR(VLOOKUP(Logs_Registre[[#This Row],[Cell_ID]],Registre_Maintenance[],5,FALSE),"")</f>
        <v>5G</v>
      </c>
      <c r="K797" t="str">
        <f>IFERROR(VLOOKUP(Logs_Registre[[#This Row],[Cell_ID]],Registre_Maintenance[],6,FALSE),"")</f>
        <v>Huawei</v>
      </c>
    </row>
    <row r="798" spans="1:11" x14ac:dyDescent="0.25">
      <c r="A798" s="1" t="s">
        <v>1308</v>
      </c>
      <c r="B798" s="1" t="s">
        <v>1316</v>
      </c>
      <c r="C798" s="2">
        <v>45207.919444444437</v>
      </c>
      <c r="D798" s="3">
        <v>45207.919444444437</v>
      </c>
      <c r="E798">
        <v>42</v>
      </c>
      <c r="F798" s="1" t="s">
        <v>732</v>
      </c>
      <c r="G798" t="str">
        <f>IFERROR(VLOOKUP(Logs_Registre[[#This Row],[Cell_ID]],Registre_Maintenance[],2,FALSE),"")</f>
        <v/>
      </c>
      <c r="H798" t="str">
        <f>IFERROR(VLOOKUP(Logs_Registre[[#This Row],[Cell_ID]],Registre_Maintenance[],3,FALSE),"")</f>
        <v/>
      </c>
      <c r="I798" t="str">
        <f>IFERROR(VLOOKUP(Logs_Registre[[#This Row],[Cell_ID]],Registre_Maintenance[],4,FALSE),"")</f>
        <v/>
      </c>
      <c r="J798" t="str">
        <f>IFERROR(VLOOKUP(Logs_Registre[[#This Row],[Cell_ID]],Registre_Maintenance[],5,FALSE),"")</f>
        <v/>
      </c>
      <c r="K798" t="str">
        <f>IFERROR(VLOOKUP(Logs_Registre[[#This Row],[Cell_ID]],Registre_Maintenance[],6,FALSE),"")</f>
        <v/>
      </c>
    </row>
    <row r="799" spans="1:11" x14ac:dyDescent="0.25">
      <c r="A799" s="1" t="s">
        <v>1138</v>
      </c>
      <c r="B799" s="1" t="s">
        <v>1152</v>
      </c>
      <c r="C799" s="2">
        <v>45207.908333333333</v>
      </c>
      <c r="D799" s="3">
        <v>45207.908333333333</v>
      </c>
      <c r="E799">
        <v>103</v>
      </c>
      <c r="F799" s="1" t="s">
        <v>732</v>
      </c>
      <c r="G799" t="str">
        <f>IFERROR(VLOOKUP(Logs_Registre[[#This Row],[Cell_ID]],Registre_Maintenance[],2,FALSE),"")</f>
        <v/>
      </c>
      <c r="H799" t="str">
        <f>IFERROR(VLOOKUP(Logs_Registre[[#This Row],[Cell_ID]],Registre_Maintenance[],3,FALSE),"")</f>
        <v/>
      </c>
      <c r="I799" t="str">
        <f>IFERROR(VLOOKUP(Logs_Registre[[#This Row],[Cell_ID]],Registre_Maintenance[],4,FALSE),"")</f>
        <v/>
      </c>
      <c r="J799" t="str">
        <f>IFERROR(VLOOKUP(Logs_Registre[[#This Row],[Cell_ID]],Registre_Maintenance[],5,FALSE),"")</f>
        <v/>
      </c>
      <c r="K799" t="str">
        <f>IFERROR(VLOOKUP(Logs_Registre[[#This Row],[Cell_ID]],Registre_Maintenance[],6,FALSE),"")</f>
        <v/>
      </c>
    </row>
    <row r="800" spans="1:11" x14ac:dyDescent="0.25">
      <c r="A800" s="1" t="s">
        <v>1288</v>
      </c>
      <c r="B800" s="1" t="s">
        <v>949</v>
      </c>
      <c r="C800" s="2">
        <v>45207.845833333333</v>
      </c>
      <c r="D800" s="3">
        <v>45207.845833333333</v>
      </c>
      <c r="E800">
        <v>12</v>
      </c>
      <c r="F800" s="1" t="s">
        <v>737</v>
      </c>
      <c r="G800" t="str">
        <f>IFERROR(VLOOKUP(Logs_Registre[[#This Row],[Cell_ID]],Registre_Maintenance[],2,FALSE),"")</f>
        <v/>
      </c>
      <c r="H800" t="str">
        <f>IFERROR(VLOOKUP(Logs_Registre[[#This Row],[Cell_ID]],Registre_Maintenance[],3,FALSE),"")</f>
        <v/>
      </c>
      <c r="I800" t="str">
        <f>IFERROR(VLOOKUP(Logs_Registre[[#This Row],[Cell_ID]],Registre_Maintenance[],4,FALSE),"")</f>
        <v/>
      </c>
      <c r="J800" t="str">
        <f>IFERROR(VLOOKUP(Logs_Registre[[#This Row],[Cell_ID]],Registre_Maintenance[],5,FALSE),"")</f>
        <v/>
      </c>
      <c r="K800" t="str">
        <f>IFERROR(VLOOKUP(Logs_Registre[[#This Row],[Cell_ID]],Registre_Maintenance[],6,FALSE),"")</f>
        <v/>
      </c>
    </row>
    <row r="801" spans="1:11" x14ac:dyDescent="0.25">
      <c r="A801" s="1" t="s">
        <v>1193</v>
      </c>
      <c r="B801" s="1" t="s">
        <v>1183</v>
      </c>
      <c r="C801" s="2">
        <v>45207.772916666669</v>
      </c>
      <c r="D801" s="3">
        <v>45207.772916666669</v>
      </c>
      <c r="E801">
        <v>55</v>
      </c>
      <c r="F801" s="1" t="s">
        <v>735</v>
      </c>
      <c r="G801" t="str">
        <f>IFERROR(VLOOKUP(Logs_Registre[[#This Row],[Cell_ID]],Registre_Maintenance[],2,FALSE),"")</f>
        <v/>
      </c>
      <c r="H801" t="str">
        <f>IFERROR(VLOOKUP(Logs_Registre[[#This Row],[Cell_ID]],Registre_Maintenance[],3,FALSE),"")</f>
        <v/>
      </c>
      <c r="I801" t="str">
        <f>IFERROR(VLOOKUP(Logs_Registre[[#This Row],[Cell_ID]],Registre_Maintenance[],4,FALSE),"")</f>
        <v/>
      </c>
      <c r="J801" t="str">
        <f>IFERROR(VLOOKUP(Logs_Registre[[#This Row],[Cell_ID]],Registre_Maintenance[],5,FALSE),"")</f>
        <v/>
      </c>
      <c r="K801" t="str">
        <f>IFERROR(VLOOKUP(Logs_Registre[[#This Row],[Cell_ID]],Registre_Maintenance[],6,FALSE),"")</f>
        <v/>
      </c>
    </row>
    <row r="802" spans="1:11" x14ac:dyDescent="0.25">
      <c r="A802" s="1" t="s">
        <v>978</v>
      </c>
      <c r="B802" s="1" t="s">
        <v>979</v>
      </c>
      <c r="C802" s="2">
        <v>45207.713888888888</v>
      </c>
      <c r="D802" s="3">
        <v>45207.713888888888</v>
      </c>
      <c r="E802">
        <v>99</v>
      </c>
      <c r="F802" s="1" t="s">
        <v>735</v>
      </c>
      <c r="G802" t="str">
        <f>IFERROR(VLOOKUP(Logs_Registre[[#This Row],[Cell_ID]],Registre_Maintenance[],2,FALSE),"")</f>
        <v/>
      </c>
      <c r="H802" t="str">
        <f>IFERROR(VLOOKUP(Logs_Registre[[#This Row],[Cell_ID]],Registre_Maintenance[],3,FALSE),"")</f>
        <v/>
      </c>
      <c r="I802" t="str">
        <f>IFERROR(VLOOKUP(Logs_Registre[[#This Row],[Cell_ID]],Registre_Maintenance[],4,FALSE),"")</f>
        <v/>
      </c>
      <c r="J802" t="str">
        <f>IFERROR(VLOOKUP(Logs_Registre[[#This Row],[Cell_ID]],Registre_Maintenance[],5,FALSE),"")</f>
        <v/>
      </c>
      <c r="K802" t="str">
        <f>IFERROR(VLOOKUP(Logs_Registre[[#This Row],[Cell_ID]],Registre_Maintenance[],6,FALSE),"")</f>
        <v/>
      </c>
    </row>
    <row r="803" spans="1:11" x14ac:dyDescent="0.25">
      <c r="A803" s="1" t="s">
        <v>1382</v>
      </c>
      <c r="B803" s="1" t="s">
        <v>1403</v>
      </c>
      <c r="C803" s="2">
        <v>45207.701388888891</v>
      </c>
      <c r="D803" s="3">
        <v>45207.701388888891</v>
      </c>
      <c r="E803">
        <v>27</v>
      </c>
      <c r="F803" s="1" t="s">
        <v>737</v>
      </c>
      <c r="G803" t="str">
        <f>IFERROR(VLOOKUP(Logs_Registre[[#This Row],[Cell_ID]],Registre_Maintenance[],2,FALSE),"")</f>
        <v>Sankuru</v>
      </c>
      <c r="H803">
        <f>IFERROR(VLOOKUP(Logs_Registre[[#This Row],[Cell_ID]],Registre_Maintenance[],3,FALSE),"")</f>
        <v>-10.764815</v>
      </c>
      <c r="I803">
        <f>IFERROR(VLOOKUP(Logs_Registre[[#This Row],[Cell_ID]],Registre_Maintenance[],4,FALSE),"")</f>
        <v>14.602039</v>
      </c>
      <c r="J803" t="str">
        <f>IFERROR(VLOOKUP(Logs_Registre[[#This Row],[Cell_ID]],Registre_Maintenance[],5,FALSE),"")</f>
        <v>4G</v>
      </c>
      <c r="K803" t="str">
        <f>IFERROR(VLOOKUP(Logs_Registre[[#This Row],[Cell_ID]],Registre_Maintenance[],6,FALSE),"")</f>
        <v>Nokia</v>
      </c>
    </row>
    <row r="804" spans="1:11" x14ac:dyDescent="0.25">
      <c r="A804" s="1" t="s">
        <v>1261</v>
      </c>
      <c r="B804" s="1" t="s">
        <v>1285</v>
      </c>
      <c r="C804" s="2">
        <v>45207.668055555558</v>
      </c>
      <c r="D804" s="3">
        <v>45207.668055555558</v>
      </c>
      <c r="E804">
        <v>113</v>
      </c>
      <c r="F804" s="1" t="s">
        <v>732</v>
      </c>
      <c r="G804" t="str">
        <f>IFERROR(VLOOKUP(Logs_Registre[[#This Row],[Cell_ID]],Registre_Maintenance[],2,FALSE),"")</f>
        <v>Kongo-Central</v>
      </c>
      <c r="H804">
        <f>IFERROR(VLOOKUP(Logs_Registre[[#This Row],[Cell_ID]],Registre_Maintenance[],3,FALSE),"")</f>
        <v>-7.1587569999999996</v>
      </c>
      <c r="I804">
        <f>IFERROR(VLOOKUP(Logs_Registre[[#This Row],[Cell_ID]],Registre_Maintenance[],4,FALSE),"")</f>
        <v>18.975141000000001</v>
      </c>
      <c r="J804" t="str">
        <f>IFERROR(VLOOKUP(Logs_Registre[[#This Row],[Cell_ID]],Registre_Maintenance[],5,FALSE),"")</f>
        <v>5G</v>
      </c>
      <c r="K804" t="str">
        <f>IFERROR(VLOOKUP(Logs_Registre[[#This Row],[Cell_ID]],Registre_Maintenance[],6,FALSE),"")</f>
        <v>Ericsson</v>
      </c>
    </row>
    <row r="805" spans="1:11" x14ac:dyDescent="0.25">
      <c r="A805" s="1" t="s">
        <v>939</v>
      </c>
      <c r="B805" s="1" t="s">
        <v>836</v>
      </c>
      <c r="C805" s="2">
        <v>45207.611111111109</v>
      </c>
      <c r="D805" s="3">
        <v>45207.611111111109</v>
      </c>
      <c r="E805">
        <v>107</v>
      </c>
      <c r="F805" s="1" t="s">
        <v>735</v>
      </c>
      <c r="G805" t="str">
        <f>IFERROR(VLOOKUP(Logs_Registre[[#This Row],[Cell_ID]],Registre_Maintenance[],2,FALSE),"")</f>
        <v/>
      </c>
      <c r="H805" t="str">
        <f>IFERROR(VLOOKUP(Logs_Registre[[#This Row],[Cell_ID]],Registre_Maintenance[],3,FALSE),"")</f>
        <v/>
      </c>
      <c r="I805" t="str">
        <f>IFERROR(VLOOKUP(Logs_Registre[[#This Row],[Cell_ID]],Registre_Maintenance[],4,FALSE),"")</f>
        <v/>
      </c>
      <c r="J805" t="str">
        <f>IFERROR(VLOOKUP(Logs_Registre[[#This Row],[Cell_ID]],Registre_Maintenance[],5,FALSE),"")</f>
        <v/>
      </c>
      <c r="K805" t="str">
        <f>IFERROR(VLOOKUP(Logs_Registre[[#This Row],[Cell_ID]],Registre_Maintenance[],6,FALSE),"")</f>
        <v/>
      </c>
    </row>
    <row r="806" spans="1:11" x14ac:dyDescent="0.25">
      <c r="A806" s="1" t="s">
        <v>1219</v>
      </c>
      <c r="B806" s="1" t="s">
        <v>856</v>
      </c>
      <c r="C806" s="2">
        <v>45207.599305555559</v>
      </c>
      <c r="D806" s="3">
        <v>45207.599305555559</v>
      </c>
      <c r="E806">
        <v>59</v>
      </c>
      <c r="F806" s="1" t="s">
        <v>732</v>
      </c>
      <c r="G806" t="str">
        <f>IFERROR(VLOOKUP(Logs_Registre[[#This Row],[Cell_ID]],Registre_Maintenance[],2,FALSE),"")</f>
        <v/>
      </c>
      <c r="H806" t="str">
        <f>IFERROR(VLOOKUP(Logs_Registre[[#This Row],[Cell_ID]],Registre_Maintenance[],3,FALSE),"")</f>
        <v/>
      </c>
      <c r="I806" t="str">
        <f>IFERROR(VLOOKUP(Logs_Registre[[#This Row],[Cell_ID]],Registre_Maintenance[],4,FALSE),"")</f>
        <v/>
      </c>
      <c r="J806" t="str">
        <f>IFERROR(VLOOKUP(Logs_Registre[[#This Row],[Cell_ID]],Registre_Maintenance[],5,FALSE),"")</f>
        <v/>
      </c>
      <c r="K806" t="str">
        <f>IFERROR(VLOOKUP(Logs_Registre[[#This Row],[Cell_ID]],Registre_Maintenance[],6,FALSE),"")</f>
        <v/>
      </c>
    </row>
    <row r="807" spans="1:11" x14ac:dyDescent="0.25">
      <c r="A807" s="1" t="s">
        <v>999</v>
      </c>
      <c r="B807" s="1" t="s">
        <v>1005</v>
      </c>
      <c r="C807" s="2">
        <v>45207.57916666667</v>
      </c>
      <c r="D807" s="3">
        <v>45207.57916666667</v>
      </c>
      <c r="E807">
        <v>68</v>
      </c>
      <c r="F807" s="1" t="s">
        <v>732</v>
      </c>
      <c r="G807" t="str">
        <f>IFERROR(VLOOKUP(Logs_Registre[[#This Row],[Cell_ID]],Registre_Maintenance[],2,FALSE),"")</f>
        <v>Ituri</v>
      </c>
      <c r="H807">
        <f>IFERROR(VLOOKUP(Logs_Registre[[#This Row],[Cell_ID]],Registre_Maintenance[],3,FALSE),"")</f>
        <v>-3.7720639999999999</v>
      </c>
      <c r="I807">
        <f>IFERROR(VLOOKUP(Logs_Registre[[#This Row],[Cell_ID]],Registre_Maintenance[],4,FALSE),"")</f>
        <v>16.006277999999998</v>
      </c>
      <c r="J807" t="str">
        <f>IFERROR(VLOOKUP(Logs_Registre[[#This Row],[Cell_ID]],Registre_Maintenance[],5,FALSE),"")</f>
        <v>5G</v>
      </c>
      <c r="K807" t="str">
        <f>IFERROR(VLOOKUP(Logs_Registre[[#This Row],[Cell_ID]],Registre_Maintenance[],6,FALSE),"")</f>
        <v>ZTE</v>
      </c>
    </row>
    <row r="808" spans="1:11" x14ac:dyDescent="0.25">
      <c r="A808" s="1" t="s">
        <v>939</v>
      </c>
      <c r="B808" s="1" t="s">
        <v>942</v>
      </c>
      <c r="C808" s="2">
        <v>45207.543055555558</v>
      </c>
      <c r="D808" s="3">
        <v>45207.543055555558</v>
      </c>
      <c r="E808">
        <v>54</v>
      </c>
      <c r="F808" s="1" t="s">
        <v>732</v>
      </c>
      <c r="G808" t="str">
        <f>IFERROR(VLOOKUP(Logs_Registre[[#This Row],[Cell_ID]],Registre_Maintenance[],2,FALSE),"")</f>
        <v/>
      </c>
      <c r="H808" t="str">
        <f>IFERROR(VLOOKUP(Logs_Registre[[#This Row],[Cell_ID]],Registre_Maintenance[],3,FALSE),"")</f>
        <v/>
      </c>
      <c r="I808" t="str">
        <f>IFERROR(VLOOKUP(Logs_Registre[[#This Row],[Cell_ID]],Registre_Maintenance[],4,FALSE),"")</f>
        <v/>
      </c>
      <c r="J808" t="str">
        <f>IFERROR(VLOOKUP(Logs_Registre[[#This Row],[Cell_ID]],Registre_Maintenance[],5,FALSE),"")</f>
        <v/>
      </c>
      <c r="K808" t="str">
        <f>IFERROR(VLOOKUP(Logs_Registre[[#This Row],[Cell_ID]],Registre_Maintenance[],6,FALSE),"")</f>
        <v/>
      </c>
    </row>
    <row r="809" spans="1:11" x14ac:dyDescent="0.25">
      <c r="A809" s="1" t="s">
        <v>999</v>
      </c>
      <c r="B809" s="1" t="s">
        <v>1023</v>
      </c>
      <c r="C809" s="2">
        <v>45207.526388888888</v>
      </c>
      <c r="D809" s="3">
        <v>45207.526388888888</v>
      </c>
      <c r="E809">
        <v>78</v>
      </c>
      <c r="F809" s="1" t="s">
        <v>737</v>
      </c>
      <c r="G809" t="str">
        <f>IFERROR(VLOOKUP(Logs_Registre[[#This Row],[Cell_ID]],Registre_Maintenance[],2,FALSE),"")</f>
        <v>Haut-Katanga</v>
      </c>
      <c r="H809">
        <f>IFERROR(VLOOKUP(Logs_Registre[[#This Row],[Cell_ID]],Registre_Maintenance[],3,FALSE),"")</f>
        <v>-9.4229749999999992</v>
      </c>
      <c r="I809">
        <f>IFERROR(VLOOKUP(Logs_Registre[[#This Row],[Cell_ID]],Registre_Maintenance[],4,FALSE),"")</f>
        <v>29.375005999999999</v>
      </c>
      <c r="J809" t="str">
        <f>IFERROR(VLOOKUP(Logs_Registre[[#This Row],[Cell_ID]],Registre_Maintenance[],5,FALSE),"")</f>
        <v>3G</v>
      </c>
      <c r="K809" t="str">
        <f>IFERROR(VLOOKUP(Logs_Registre[[#This Row],[Cell_ID]],Registre_Maintenance[],6,FALSE),"")</f>
        <v>Ericsson</v>
      </c>
    </row>
    <row r="810" spans="1:11" x14ac:dyDescent="0.25">
      <c r="A810" s="1" t="s">
        <v>1165</v>
      </c>
      <c r="B810" s="1" t="s">
        <v>1189</v>
      </c>
      <c r="C810" s="2">
        <v>45207.525000000001</v>
      </c>
      <c r="D810" s="3">
        <v>45207.525000000001</v>
      </c>
      <c r="E810">
        <v>83</v>
      </c>
      <c r="F810" s="1" t="s">
        <v>732</v>
      </c>
      <c r="G810" t="str">
        <f>IFERROR(VLOOKUP(Logs_Registre[[#This Row],[Cell_ID]],Registre_Maintenance[],2,FALSE),"")</f>
        <v/>
      </c>
      <c r="H810" t="str">
        <f>IFERROR(VLOOKUP(Logs_Registre[[#This Row],[Cell_ID]],Registre_Maintenance[],3,FALSE),"")</f>
        <v/>
      </c>
      <c r="I810" t="str">
        <f>IFERROR(VLOOKUP(Logs_Registre[[#This Row],[Cell_ID]],Registre_Maintenance[],4,FALSE),"")</f>
        <v/>
      </c>
      <c r="J810" t="str">
        <f>IFERROR(VLOOKUP(Logs_Registre[[#This Row],[Cell_ID]],Registre_Maintenance[],5,FALSE),"")</f>
        <v/>
      </c>
      <c r="K810" t="str">
        <f>IFERROR(VLOOKUP(Logs_Registre[[#This Row],[Cell_ID]],Registre_Maintenance[],6,FALSE),"")</f>
        <v/>
      </c>
    </row>
    <row r="811" spans="1:11" x14ac:dyDescent="0.25">
      <c r="A811" s="1" t="s">
        <v>1308</v>
      </c>
      <c r="B811" s="1" t="s">
        <v>1314</v>
      </c>
      <c r="C811" s="2">
        <v>45207.472222222219</v>
      </c>
      <c r="D811" s="3">
        <v>45207.472222222219</v>
      </c>
      <c r="E811">
        <v>30</v>
      </c>
      <c r="F811" s="1" t="s">
        <v>737</v>
      </c>
      <c r="G811" t="str">
        <f>IFERROR(VLOOKUP(Logs_Registre[[#This Row],[Cell_ID]],Registre_Maintenance[],2,FALSE),"")</f>
        <v/>
      </c>
      <c r="H811" t="str">
        <f>IFERROR(VLOOKUP(Logs_Registre[[#This Row],[Cell_ID]],Registre_Maintenance[],3,FALSE),"")</f>
        <v/>
      </c>
      <c r="I811" t="str">
        <f>IFERROR(VLOOKUP(Logs_Registre[[#This Row],[Cell_ID]],Registre_Maintenance[],4,FALSE),"")</f>
        <v/>
      </c>
      <c r="J811" t="str">
        <f>IFERROR(VLOOKUP(Logs_Registre[[#This Row],[Cell_ID]],Registre_Maintenance[],5,FALSE),"")</f>
        <v/>
      </c>
      <c r="K811" t="str">
        <f>IFERROR(VLOOKUP(Logs_Registre[[#This Row],[Cell_ID]],Registre_Maintenance[],6,FALSE),"")</f>
        <v/>
      </c>
    </row>
    <row r="812" spans="1:11" x14ac:dyDescent="0.25">
      <c r="A812" s="1" t="s">
        <v>902</v>
      </c>
      <c r="B812" s="1" t="s">
        <v>800</v>
      </c>
      <c r="C812" s="2">
        <v>45207.40625</v>
      </c>
      <c r="D812" s="3">
        <v>45207.40625</v>
      </c>
      <c r="E812">
        <v>49</v>
      </c>
      <c r="F812" s="1" t="s">
        <v>735</v>
      </c>
      <c r="G812" t="str">
        <f>IFERROR(VLOOKUP(Logs_Registre[[#This Row],[Cell_ID]],Registre_Maintenance[],2,FALSE),"")</f>
        <v/>
      </c>
      <c r="H812" t="str">
        <f>IFERROR(VLOOKUP(Logs_Registre[[#This Row],[Cell_ID]],Registre_Maintenance[],3,FALSE),"")</f>
        <v/>
      </c>
      <c r="I812" t="str">
        <f>IFERROR(VLOOKUP(Logs_Registre[[#This Row],[Cell_ID]],Registre_Maintenance[],4,FALSE),"")</f>
        <v/>
      </c>
      <c r="J812" t="str">
        <f>IFERROR(VLOOKUP(Logs_Registre[[#This Row],[Cell_ID]],Registre_Maintenance[],5,FALSE),"")</f>
        <v/>
      </c>
      <c r="K812" t="str">
        <f>IFERROR(VLOOKUP(Logs_Registre[[#This Row],[Cell_ID]],Registre_Maintenance[],6,FALSE),"")</f>
        <v/>
      </c>
    </row>
    <row r="813" spans="1:11" x14ac:dyDescent="0.25">
      <c r="A813" s="1" t="s">
        <v>1059</v>
      </c>
      <c r="B813" s="1" t="s">
        <v>981</v>
      </c>
      <c r="C813" s="2">
        <v>45207.379861111112</v>
      </c>
      <c r="D813" s="3">
        <v>45207.379861111112</v>
      </c>
      <c r="E813">
        <v>118</v>
      </c>
      <c r="F813" s="1" t="s">
        <v>737</v>
      </c>
      <c r="G813" t="str">
        <f>IFERROR(VLOOKUP(Logs_Registre[[#This Row],[Cell_ID]],Registre_Maintenance[],2,FALSE),"")</f>
        <v/>
      </c>
      <c r="H813" t="str">
        <f>IFERROR(VLOOKUP(Logs_Registre[[#This Row],[Cell_ID]],Registre_Maintenance[],3,FALSE),"")</f>
        <v/>
      </c>
      <c r="I813" t="str">
        <f>IFERROR(VLOOKUP(Logs_Registre[[#This Row],[Cell_ID]],Registre_Maintenance[],4,FALSE),"")</f>
        <v/>
      </c>
      <c r="J813" t="str">
        <f>IFERROR(VLOOKUP(Logs_Registre[[#This Row],[Cell_ID]],Registre_Maintenance[],5,FALSE),"")</f>
        <v/>
      </c>
      <c r="K813" t="str">
        <f>IFERROR(VLOOKUP(Logs_Registre[[#This Row],[Cell_ID]],Registre_Maintenance[],6,FALSE),"")</f>
        <v/>
      </c>
    </row>
    <row r="814" spans="1:11" x14ac:dyDescent="0.25">
      <c r="A814" s="1" t="s">
        <v>902</v>
      </c>
      <c r="B814" s="1" t="s">
        <v>925</v>
      </c>
      <c r="C814" s="2">
        <v>45207.368055555547</v>
      </c>
      <c r="D814" s="3">
        <v>45207.368055555547</v>
      </c>
      <c r="E814">
        <v>46</v>
      </c>
      <c r="F814" s="1" t="s">
        <v>732</v>
      </c>
      <c r="G814" t="str">
        <f>IFERROR(VLOOKUP(Logs_Registre[[#This Row],[Cell_ID]],Registre_Maintenance[],2,FALSE),"")</f>
        <v>Tanganyika</v>
      </c>
      <c r="H814">
        <f>IFERROR(VLOOKUP(Logs_Registre[[#This Row],[Cell_ID]],Registre_Maintenance[],3,FALSE),"")</f>
        <v>-10.481026999999999</v>
      </c>
      <c r="I814">
        <f>IFERROR(VLOOKUP(Logs_Registre[[#This Row],[Cell_ID]],Registre_Maintenance[],4,FALSE),"")</f>
        <v>18.160464000000001</v>
      </c>
      <c r="J814" t="str">
        <f>IFERROR(VLOOKUP(Logs_Registre[[#This Row],[Cell_ID]],Registre_Maintenance[],5,FALSE),"")</f>
        <v>5G</v>
      </c>
      <c r="K814" t="str">
        <f>IFERROR(VLOOKUP(Logs_Registre[[#This Row],[Cell_ID]],Registre_Maintenance[],6,FALSE),"")</f>
        <v>Huawei</v>
      </c>
    </row>
    <row r="815" spans="1:11" x14ac:dyDescent="0.25">
      <c r="A815" s="1" t="s">
        <v>1382</v>
      </c>
      <c r="B815" s="1" t="s">
        <v>1389</v>
      </c>
      <c r="C815" s="2">
        <v>45207.350694444453</v>
      </c>
      <c r="D815" s="3">
        <v>45207.350694444453</v>
      </c>
      <c r="E815">
        <v>75</v>
      </c>
      <c r="F815" s="1" t="s">
        <v>737</v>
      </c>
      <c r="G815" t="str">
        <f>IFERROR(VLOOKUP(Logs_Registre[[#This Row],[Cell_ID]],Registre_Maintenance[],2,FALSE),"")</f>
        <v/>
      </c>
      <c r="H815" t="str">
        <f>IFERROR(VLOOKUP(Logs_Registre[[#This Row],[Cell_ID]],Registre_Maintenance[],3,FALSE),"")</f>
        <v/>
      </c>
      <c r="I815" t="str">
        <f>IFERROR(VLOOKUP(Logs_Registre[[#This Row],[Cell_ID]],Registre_Maintenance[],4,FALSE),"")</f>
        <v/>
      </c>
      <c r="J815" t="str">
        <f>IFERROR(VLOOKUP(Logs_Registre[[#This Row],[Cell_ID]],Registre_Maintenance[],5,FALSE),"")</f>
        <v/>
      </c>
      <c r="K815" t="str">
        <f>IFERROR(VLOOKUP(Logs_Registre[[#This Row],[Cell_ID]],Registre_Maintenance[],6,FALSE),"")</f>
        <v/>
      </c>
    </row>
    <row r="816" spans="1:11" x14ac:dyDescent="0.25">
      <c r="A816" s="1" t="s">
        <v>1165</v>
      </c>
      <c r="B816" s="1" t="s">
        <v>1172</v>
      </c>
      <c r="C816" s="2">
        <v>45207.342361111107</v>
      </c>
      <c r="D816" s="3">
        <v>45207.342361111107</v>
      </c>
      <c r="E816">
        <v>28</v>
      </c>
      <c r="F816" s="1" t="s">
        <v>732</v>
      </c>
      <c r="G816" t="str">
        <f>IFERROR(VLOOKUP(Logs_Registre[[#This Row],[Cell_ID]],Registre_Maintenance[],2,FALSE),"")</f>
        <v>Bas-Uele</v>
      </c>
      <c r="H816">
        <f>IFERROR(VLOOKUP(Logs_Registre[[#This Row],[Cell_ID]],Registre_Maintenance[],3,FALSE),"")</f>
        <v>0.40267799999999998</v>
      </c>
      <c r="I816">
        <f>IFERROR(VLOOKUP(Logs_Registre[[#This Row],[Cell_ID]],Registre_Maintenance[],4,FALSE),"")</f>
        <v>16.000858000000001</v>
      </c>
      <c r="J816" t="str">
        <f>IFERROR(VLOOKUP(Logs_Registre[[#This Row],[Cell_ID]],Registre_Maintenance[],5,FALSE),"")</f>
        <v>3G</v>
      </c>
      <c r="K816" t="str">
        <f>IFERROR(VLOOKUP(Logs_Registre[[#This Row],[Cell_ID]],Registre_Maintenance[],6,FALSE),"")</f>
        <v>Nokia</v>
      </c>
    </row>
    <row r="817" spans="1:11" x14ac:dyDescent="0.25">
      <c r="A817" s="1" t="s">
        <v>1165</v>
      </c>
      <c r="B817" s="1" t="s">
        <v>736</v>
      </c>
      <c r="C817" s="2">
        <v>45207.304861111108</v>
      </c>
      <c r="D817" s="3">
        <v>45207.304861111108</v>
      </c>
      <c r="E817">
        <v>50</v>
      </c>
      <c r="F817" s="1" t="s">
        <v>735</v>
      </c>
      <c r="G817" t="str">
        <f>IFERROR(VLOOKUP(Logs_Registre[[#This Row],[Cell_ID]],Registre_Maintenance[],2,FALSE),"")</f>
        <v/>
      </c>
      <c r="H817" t="str">
        <f>IFERROR(VLOOKUP(Logs_Registre[[#This Row],[Cell_ID]],Registre_Maintenance[],3,FALSE),"")</f>
        <v/>
      </c>
      <c r="I817" t="str">
        <f>IFERROR(VLOOKUP(Logs_Registre[[#This Row],[Cell_ID]],Registre_Maintenance[],4,FALSE),"")</f>
        <v/>
      </c>
      <c r="J817" t="str">
        <f>IFERROR(VLOOKUP(Logs_Registre[[#This Row],[Cell_ID]],Registre_Maintenance[],5,FALSE),"")</f>
        <v/>
      </c>
      <c r="K817" t="str">
        <f>IFERROR(VLOOKUP(Logs_Registre[[#This Row],[Cell_ID]],Registre_Maintenance[],6,FALSE),"")</f>
        <v/>
      </c>
    </row>
    <row r="818" spans="1:11" x14ac:dyDescent="0.25">
      <c r="A818" s="1" t="s">
        <v>1404</v>
      </c>
      <c r="B818" s="1" t="s">
        <v>1341</v>
      </c>
      <c r="C818" s="2">
        <v>45207.199305555558</v>
      </c>
      <c r="D818" s="3">
        <v>45207.199305555558</v>
      </c>
      <c r="E818">
        <v>28</v>
      </c>
      <c r="F818" s="1" t="s">
        <v>735</v>
      </c>
      <c r="G818" t="str">
        <f>IFERROR(VLOOKUP(Logs_Registre[[#This Row],[Cell_ID]],Registre_Maintenance[],2,FALSE),"")</f>
        <v/>
      </c>
      <c r="H818" t="str">
        <f>IFERROR(VLOOKUP(Logs_Registre[[#This Row],[Cell_ID]],Registre_Maintenance[],3,FALSE),"")</f>
        <v/>
      </c>
      <c r="I818" t="str">
        <f>IFERROR(VLOOKUP(Logs_Registre[[#This Row],[Cell_ID]],Registre_Maintenance[],4,FALSE),"")</f>
        <v/>
      </c>
      <c r="J818" t="str">
        <f>IFERROR(VLOOKUP(Logs_Registre[[#This Row],[Cell_ID]],Registre_Maintenance[],5,FALSE),"")</f>
        <v/>
      </c>
      <c r="K818" t="str">
        <f>IFERROR(VLOOKUP(Logs_Registre[[#This Row],[Cell_ID]],Registre_Maintenance[],6,FALSE),"")</f>
        <v/>
      </c>
    </row>
    <row r="819" spans="1:11" x14ac:dyDescent="0.25">
      <c r="A819" s="1" t="s">
        <v>1024</v>
      </c>
      <c r="B819" s="1" t="s">
        <v>1056</v>
      </c>
      <c r="C819" s="2">
        <v>45207.17291666667</v>
      </c>
      <c r="D819" s="3">
        <v>45207.17291666667</v>
      </c>
      <c r="E819">
        <v>73</v>
      </c>
      <c r="F819" s="1" t="s">
        <v>737</v>
      </c>
      <c r="G819" t="str">
        <f>IFERROR(VLOOKUP(Logs_Registre[[#This Row],[Cell_ID]],Registre_Maintenance[],2,FALSE),"")</f>
        <v/>
      </c>
      <c r="H819" t="str">
        <f>IFERROR(VLOOKUP(Logs_Registre[[#This Row],[Cell_ID]],Registre_Maintenance[],3,FALSE),"")</f>
        <v/>
      </c>
      <c r="I819" t="str">
        <f>IFERROR(VLOOKUP(Logs_Registre[[#This Row],[Cell_ID]],Registre_Maintenance[],4,FALSE),"")</f>
        <v/>
      </c>
      <c r="J819" t="str">
        <f>IFERROR(VLOOKUP(Logs_Registre[[#This Row],[Cell_ID]],Registre_Maintenance[],5,FALSE),"")</f>
        <v/>
      </c>
      <c r="K819" t="str">
        <f>IFERROR(VLOOKUP(Logs_Registre[[#This Row],[Cell_ID]],Registre_Maintenance[],6,FALSE),"")</f>
        <v/>
      </c>
    </row>
    <row r="820" spans="1:11" x14ac:dyDescent="0.25">
      <c r="A820" s="1" t="s">
        <v>902</v>
      </c>
      <c r="B820" s="1" t="s">
        <v>910</v>
      </c>
      <c r="C820" s="2">
        <v>45207.149305555547</v>
      </c>
      <c r="D820" s="3">
        <v>45207.149305555547</v>
      </c>
      <c r="E820">
        <v>101</v>
      </c>
      <c r="F820" s="1" t="s">
        <v>737</v>
      </c>
      <c r="G820" t="str">
        <f>IFERROR(VLOOKUP(Logs_Registre[[#This Row],[Cell_ID]],Registre_Maintenance[],2,FALSE),"")</f>
        <v>Lualaba</v>
      </c>
      <c r="H820">
        <f>IFERROR(VLOOKUP(Logs_Registre[[#This Row],[Cell_ID]],Registre_Maintenance[],3,FALSE),"")</f>
        <v>-10.872631999999999</v>
      </c>
      <c r="I820">
        <f>IFERROR(VLOOKUP(Logs_Registre[[#This Row],[Cell_ID]],Registre_Maintenance[],4,FALSE),"")</f>
        <v>12.773279</v>
      </c>
      <c r="J820" t="str">
        <f>IFERROR(VLOOKUP(Logs_Registre[[#This Row],[Cell_ID]],Registre_Maintenance[],5,FALSE),"")</f>
        <v>3G</v>
      </c>
      <c r="K820" t="str">
        <f>IFERROR(VLOOKUP(Logs_Registre[[#This Row],[Cell_ID]],Registre_Maintenance[],6,FALSE),"")</f>
        <v>ZTE</v>
      </c>
    </row>
    <row r="821" spans="1:11" x14ac:dyDescent="0.25">
      <c r="A821" s="1" t="s">
        <v>999</v>
      </c>
      <c r="B821" s="1" t="s">
        <v>1003</v>
      </c>
      <c r="C821" s="2">
        <v>45207.140277777777</v>
      </c>
      <c r="D821" s="3">
        <v>45207.140277777777</v>
      </c>
      <c r="E821">
        <v>46</v>
      </c>
      <c r="F821" s="1" t="s">
        <v>735</v>
      </c>
      <c r="G821" t="str">
        <f>IFERROR(VLOOKUP(Logs_Registre[[#This Row],[Cell_ID]],Registre_Maintenance[],2,FALSE),"")</f>
        <v/>
      </c>
      <c r="H821" t="str">
        <f>IFERROR(VLOOKUP(Logs_Registre[[#This Row],[Cell_ID]],Registre_Maintenance[],3,FALSE),"")</f>
        <v/>
      </c>
      <c r="I821" t="str">
        <f>IFERROR(VLOOKUP(Logs_Registre[[#This Row],[Cell_ID]],Registre_Maintenance[],4,FALSE),"")</f>
        <v/>
      </c>
      <c r="J821" t="str">
        <f>IFERROR(VLOOKUP(Logs_Registre[[#This Row],[Cell_ID]],Registre_Maintenance[],5,FALSE),"")</f>
        <v/>
      </c>
      <c r="K821" t="str">
        <f>IFERROR(VLOOKUP(Logs_Registre[[#This Row],[Cell_ID]],Registre_Maintenance[],6,FALSE),"")</f>
        <v/>
      </c>
    </row>
    <row r="822" spans="1:11" x14ac:dyDescent="0.25">
      <c r="A822" s="1" t="s">
        <v>1086</v>
      </c>
      <c r="B822" s="1" t="s">
        <v>1090</v>
      </c>
      <c r="C822" s="2">
        <v>45207.133333333331</v>
      </c>
      <c r="D822" s="3">
        <v>45207.133333333331</v>
      </c>
      <c r="E822">
        <v>66</v>
      </c>
      <c r="F822" s="1" t="s">
        <v>735</v>
      </c>
      <c r="G822" t="str">
        <f>IFERROR(VLOOKUP(Logs_Registre[[#This Row],[Cell_ID]],Registre_Maintenance[],2,FALSE),"")</f>
        <v>Kasai-Oriental</v>
      </c>
      <c r="H822">
        <f>IFERROR(VLOOKUP(Logs_Registre[[#This Row],[Cell_ID]],Registre_Maintenance[],3,FALSE),"")</f>
        <v>-5.4073029999999997</v>
      </c>
      <c r="I822">
        <f>IFERROR(VLOOKUP(Logs_Registre[[#This Row],[Cell_ID]],Registre_Maintenance[],4,FALSE),"")</f>
        <v>29.762294000000001</v>
      </c>
      <c r="J822" t="str">
        <f>IFERROR(VLOOKUP(Logs_Registre[[#This Row],[Cell_ID]],Registre_Maintenance[],5,FALSE),"")</f>
        <v>3G</v>
      </c>
      <c r="K822" t="str">
        <f>IFERROR(VLOOKUP(Logs_Registre[[#This Row],[Cell_ID]],Registre_Maintenance[],6,FALSE),"")</f>
        <v>Ericsson</v>
      </c>
    </row>
    <row r="823" spans="1:11" x14ac:dyDescent="0.25">
      <c r="A823" s="1" t="s">
        <v>1308</v>
      </c>
      <c r="B823" s="1" t="s">
        <v>869</v>
      </c>
      <c r="C823" s="2">
        <v>45207.127083333333</v>
      </c>
      <c r="D823" s="3">
        <v>45207.127083333333</v>
      </c>
      <c r="E823">
        <v>38</v>
      </c>
      <c r="F823" s="1" t="s">
        <v>732</v>
      </c>
      <c r="G823" t="str">
        <f>IFERROR(VLOOKUP(Logs_Registre[[#This Row],[Cell_ID]],Registre_Maintenance[],2,FALSE),"")</f>
        <v>Kwilu</v>
      </c>
      <c r="H823">
        <f>IFERROR(VLOOKUP(Logs_Registre[[#This Row],[Cell_ID]],Registre_Maintenance[],3,FALSE),"")</f>
        <v>-8.5675749999999997</v>
      </c>
      <c r="I823">
        <f>IFERROR(VLOOKUP(Logs_Registre[[#This Row],[Cell_ID]],Registre_Maintenance[],4,FALSE),"")</f>
        <v>26.994581</v>
      </c>
      <c r="J823" t="str">
        <f>IFERROR(VLOOKUP(Logs_Registre[[#This Row],[Cell_ID]],Registre_Maintenance[],5,FALSE),"")</f>
        <v>3G</v>
      </c>
      <c r="K823" t="str">
        <f>IFERROR(VLOOKUP(Logs_Registre[[#This Row],[Cell_ID]],Registre_Maintenance[],6,FALSE),"")</f>
        <v>Nokia</v>
      </c>
    </row>
    <row r="824" spans="1:11" x14ac:dyDescent="0.25">
      <c r="A824" s="1" t="s">
        <v>1261</v>
      </c>
      <c r="B824" s="1" t="s">
        <v>1262</v>
      </c>
      <c r="C824" s="2">
        <v>45207.124305555553</v>
      </c>
      <c r="D824" s="3">
        <v>45207.124305555553</v>
      </c>
      <c r="E824">
        <v>77</v>
      </c>
      <c r="F824" s="1" t="s">
        <v>737</v>
      </c>
      <c r="G824" t="str">
        <f>IFERROR(VLOOKUP(Logs_Registre[[#This Row],[Cell_ID]],Registre_Maintenance[],2,FALSE),"")</f>
        <v/>
      </c>
      <c r="H824" t="str">
        <f>IFERROR(VLOOKUP(Logs_Registre[[#This Row],[Cell_ID]],Registre_Maintenance[],3,FALSE),"")</f>
        <v/>
      </c>
      <c r="I824" t="str">
        <f>IFERROR(VLOOKUP(Logs_Registre[[#This Row],[Cell_ID]],Registre_Maintenance[],4,FALSE),"")</f>
        <v/>
      </c>
      <c r="J824" t="str">
        <f>IFERROR(VLOOKUP(Logs_Registre[[#This Row],[Cell_ID]],Registre_Maintenance[],5,FALSE),"")</f>
        <v/>
      </c>
      <c r="K824" t="str">
        <f>IFERROR(VLOOKUP(Logs_Registre[[#This Row],[Cell_ID]],Registre_Maintenance[],6,FALSE),"")</f>
        <v/>
      </c>
    </row>
    <row r="825" spans="1:11" x14ac:dyDescent="0.25">
      <c r="A825" s="1" t="s">
        <v>779</v>
      </c>
      <c r="B825" s="1" t="s">
        <v>791</v>
      </c>
      <c r="C825" s="2">
        <v>45207.102777777778</v>
      </c>
      <c r="D825" s="3">
        <v>45207.102777777778</v>
      </c>
      <c r="E825">
        <v>41</v>
      </c>
      <c r="F825" s="1" t="s">
        <v>732</v>
      </c>
      <c r="G825" t="str">
        <f>IFERROR(VLOOKUP(Logs_Registre[[#This Row],[Cell_ID]],Registre_Maintenance[],2,FALSE),"")</f>
        <v/>
      </c>
      <c r="H825" t="str">
        <f>IFERROR(VLOOKUP(Logs_Registre[[#This Row],[Cell_ID]],Registre_Maintenance[],3,FALSE),"")</f>
        <v/>
      </c>
      <c r="I825" t="str">
        <f>IFERROR(VLOOKUP(Logs_Registre[[#This Row],[Cell_ID]],Registre_Maintenance[],4,FALSE),"")</f>
        <v/>
      </c>
      <c r="J825" t="str">
        <f>IFERROR(VLOOKUP(Logs_Registre[[#This Row],[Cell_ID]],Registre_Maintenance[],5,FALSE),"")</f>
        <v/>
      </c>
      <c r="K825" t="str">
        <f>IFERROR(VLOOKUP(Logs_Registre[[#This Row],[Cell_ID]],Registre_Maintenance[],6,FALSE),"")</f>
        <v/>
      </c>
    </row>
    <row r="826" spans="1:11" x14ac:dyDescent="0.25">
      <c r="A826" s="1" t="s">
        <v>1330</v>
      </c>
      <c r="B826" s="1" t="s">
        <v>1285</v>
      </c>
      <c r="C826" s="2">
        <v>45207.074305555558</v>
      </c>
      <c r="D826" s="3">
        <v>45207.074305555558</v>
      </c>
      <c r="E826">
        <v>57</v>
      </c>
      <c r="F826" s="1" t="s">
        <v>732</v>
      </c>
      <c r="G826" t="str">
        <f>IFERROR(VLOOKUP(Logs_Registre[[#This Row],[Cell_ID]],Registre_Maintenance[],2,FALSE),"")</f>
        <v>Kongo-Central</v>
      </c>
      <c r="H826">
        <f>IFERROR(VLOOKUP(Logs_Registre[[#This Row],[Cell_ID]],Registre_Maintenance[],3,FALSE),"")</f>
        <v>-7.1587569999999996</v>
      </c>
      <c r="I826">
        <f>IFERROR(VLOOKUP(Logs_Registre[[#This Row],[Cell_ID]],Registre_Maintenance[],4,FALSE),"")</f>
        <v>18.975141000000001</v>
      </c>
      <c r="J826" t="str">
        <f>IFERROR(VLOOKUP(Logs_Registre[[#This Row],[Cell_ID]],Registre_Maintenance[],5,FALSE),"")</f>
        <v>5G</v>
      </c>
      <c r="K826" t="str">
        <f>IFERROR(VLOOKUP(Logs_Registre[[#This Row],[Cell_ID]],Registre_Maintenance[],6,FALSE),"")</f>
        <v>Ericsson</v>
      </c>
    </row>
    <row r="827" spans="1:11" x14ac:dyDescent="0.25">
      <c r="A827" s="1" t="s">
        <v>1138</v>
      </c>
      <c r="B827" s="1" t="s">
        <v>1145</v>
      </c>
      <c r="C827" s="2">
        <v>45207.070833333331</v>
      </c>
      <c r="D827" s="3">
        <v>45207.070833333331</v>
      </c>
      <c r="E827">
        <v>94</v>
      </c>
      <c r="F827" s="1" t="s">
        <v>735</v>
      </c>
      <c r="G827" t="str">
        <f>IFERROR(VLOOKUP(Logs_Registre[[#This Row],[Cell_ID]],Registre_Maintenance[],2,FALSE),"")</f>
        <v/>
      </c>
      <c r="H827" t="str">
        <f>IFERROR(VLOOKUP(Logs_Registre[[#This Row],[Cell_ID]],Registre_Maintenance[],3,FALSE),"")</f>
        <v/>
      </c>
      <c r="I827" t="str">
        <f>IFERROR(VLOOKUP(Logs_Registre[[#This Row],[Cell_ID]],Registre_Maintenance[],4,FALSE),"")</f>
        <v/>
      </c>
      <c r="J827" t="str">
        <f>IFERROR(VLOOKUP(Logs_Registre[[#This Row],[Cell_ID]],Registre_Maintenance[],5,FALSE),"")</f>
        <v/>
      </c>
      <c r="K827" t="str">
        <f>IFERROR(VLOOKUP(Logs_Registre[[#This Row],[Cell_ID]],Registre_Maintenance[],6,FALSE),"")</f>
        <v/>
      </c>
    </row>
    <row r="828" spans="1:11" x14ac:dyDescent="0.25">
      <c r="A828" s="1" t="s">
        <v>1138</v>
      </c>
      <c r="B828" s="1" t="s">
        <v>1142</v>
      </c>
      <c r="C828" s="2">
        <v>45207.011111111111</v>
      </c>
      <c r="D828" s="3">
        <v>45207.011111111111</v>
      </c>
      <c r="E828">
        <v>32</v>
      </c>
      <c r="F828" s="1" t="s">
        <v>732</v>
      </c>
      <c r="G828" t="str">
        <f>IFERROR(VLOOKUP(Logs_Registre[[#This Row],[Cell_ID]],Registre_Maintenance[],2,FALSE),"")</f>
        <v>Kasai-Central</v>
      </c>
      <c r="H828">
        <f>IFERROR(VLOOKUP(Logs_Registre[[#This Row],[Cell_ID]],Registre_Maintenance[],3,FALSE),"")</f>
        <v>1.897178</v>
      </c>
      <c r="I828">
        <f>IFERROR(VLOOKUP(Logs_Registre[[#This Row],[Cell_ID]],Registre_Maintenance[],4,FALSE),"")</f>
        <v>23.902604</v>
      </c>
      <c r="J828" t="str">
        <f>IFERROR(VLOOKUP(Logs_Registre[[#This Row],[Cell_ID]],Registre_Maintenance[],5,FALSE),"")</f>
        <v>3G</v>
      </c>
      <c r="K828" t="str">
        <f>IFERROR(VLOOKUP(Logs_Registre[[#This Row],[Cell_ID]],Registre_Maintenance[],6,FALSE),"")</f>
        <v>Nokia</v>
      </c>
    </row>
    <row r="829" spans="1:11" x14ac:dyDescent="0.25">
      <c r="A829" s="1" t="s">
        <v>1345</v>
      </c>
      <c r="B829" s="1" t="s">
        <v>1358</v>
      </c>
      <c r="C829" s="2">
        <v>45206.974305555559</v>
      </c>
      <c r="D829" s="3">
        <v>45206.974305555559</v>
      </c>
      <c r="E829">
        <v>53</v>
      </c>
      <c r="F829" s="1" t="s">
        <v>735</v>
      </c>
      <c r="G829" t="str">
        <f>IFERROR(VLOOKUP(Logs_Registre[[#This Row],[Cell_ID]],Registre_Maintenance[],2,FALSE),"")</f>
        <v>Haut-Katanga</v>
      </c>
      <c r="H829">
        <f>IFERROR(VLOOKUP(Logs_Registre[[#This Row],[Cell_ID]],Registre_Maintenance[],3,FALSE),"")</f>
        <v>-2.926736</v>
      </c>
      <c r="I829">
        <f>IFERROR(VLOOKUP(Logs_Registre[[#This Row],[Cell_ID]],Registre_Maintenance[],4,FALSE),"")</f>
        <v>18.170461</v>
      </c>
      <c r="J829" t="str">
        <f>IFERROR(VLOOKUP(Logs_Registre[[#This Row],[Cell_ID]],Registre_Maintenance[],5,FALSE),"")</f>
        <v>5G</v>
      </c>
      <c r="K829" t="str">
        <f>IFERROR(VLOOKUP(Logs_Registre[[#This Row],[Cell_ID]],Registre_Maintenance[],6,FALSE),"")</f>
        <v>Ericsson</v>
      </c>
    </row>
    <row r="830" spans="1:11" x14ac:dyDescent="0.25">
      <c r="A830" s="1" t="s">
        <v>1241</v>
      </c>
      <c r="B830" s="1" t="s">
        <v>917</v>
      </c>
      <c r="C830" s="2">
        <v>45206.956944444442</v>
      </c>
      <c r="D830" s="3">
        <v>45206.956944444442</v>
      </c>
      <c r="E830">
        <v>32</v>
      </c>
      <c r="F830" s="1" t="s">
        <v>735</v>
      </c>
      <c r="G830" t="str">
        <f>IFERROR(VLOOKUP(Logs_Registre[[#This Row],[Cell_ID]],Registre_Maintenance[],2,FALSE),"")</f>
        <v>Mai-Ndombe</v>
      </c>
      <c r="H830">
        <f>IFERROR(VLOOKUP(Logs_Registre[[#This Row],[Cell_ID]],Registre_Maintenance[],3,FALSE),"")</f>
        <v>-9.3652280000000001</v>
      </c>
      <c r="I830">
        <f>IFERROR(VLOOKUP(Logs_Registre[[#This Row],[Cell_ID]],Registre_Maintenance[],4,FALSE),"")</f>
        <v>18.674116000000001</v>
      </c>
      <c r="J830" t="str">
        <f>IFERROR(VLOOKUP(Logs_Registre[[#This Row],[Cell_ID]],Registre_Maintenance[],5,FALSE),"")</f>
        <v>4G</v>
      </c>
      <c r="K830" t="str">
        <f>IFERROR(VLOOKUP(Logs_Registre[[#This Row],[Cell_ID]],Registre_Maintenance[],6,FALSE),"")</f>
        <v>Huawei</v>
      </c>
    </row>
    <row r="831" spans="1:11" x14ac:dyDescent="0.25">
      <c r="A831" s="1" t="s">
        <v>730</v>
      </c>
      <c r="B831" s="1" t="s">
        <v>757</v>
      </c>
      <c r="C831" s="2">
        <v>45206.919444444437</v>
      </c>
      <c r="D831" s="3">
        <v>45206.919444444437</v>
      </c>
      <c r="E831">
        <v>13</v>
      </c>
      <c r="F831" s="1" t="s">
        <v>735</v>
      </c>
      <c r="G831" t="str">
        <f>IFERROR(VLOOKUP(Logs_Registre[[#This Row],[Cell_ID]],Registre_Maintenance[],2,FALSE),"")</f>
        <v/>
      </c>
      <c r="H831" t="str">
        <f>IFERROR(VLOOKUP(Logs_Registre[[#This Row],[Cell_ID]],Registre_Maintenance[],3,FALSE),"")</f>
        <v/>
      </c>
      <c r="I831" t="str">
        <f>IFERROR(VLOOKUP(Logs_Registre[[#This Row],[Cell_ID]],Registre_Maintenance[],4,FALSE),"")</f>
        <v/>
      </c>
      <c r="J831" t="str">
        <f>IFERROR(VLOOKUP(Logs_Registre[[#This Row],[Cell_ID]],Registre_Maintenance[],5,FALSE),"")</f>
        <v/>
      </c>
      <c r="K831" t="str">
        <f>IFERROR(VLOOKUP(Logs_Registre[[#This Row],[Cell_ID]],Registre_Maintenance[],6,FALSE),"")</f>
        <v/>
      </c>
    </row>
    <row r="832" spans="1:11" x14ac:dyDescent="0.25">
      <c r="A832" s="1" t="s">
        <v>1404</v>
      </c>
      <c r="B832" s="1" t="s">
        <v>1405</v>
      </c>
      <c r="C832" s="2">
        <v>45206.902777777781</v>
      </c>
      <c r="D832" s="3">
        <v>45206.902777777781</v>
      </c>
      <c r="E832">
        <v>75</v>
      </c>
      <c r="F832" s="1" t="s">
        <v>737</v>
      </c>
      <c r="G832" t="str">
        <f>IFERROR(VLOOKUP(Logs_Registre[[#This Row],[Cell_ID]],Registre_Maintenance[],2,FALSE),"")</f>
        <v/>
      </c>
      <c r="H832" t="str">
        <f>IFERROR(VLOOKUP(Logs_Registre[[#This Row],[Cell_ID]],Registre_Maintenance[],3,FALSE),"")</f>
        <v/>
      </c>
      <c r="I832" t="str">
        <f>IFERROR(VLOOKUP(Logs_Registre[[#This Row],[Cell_ID]],Registre_Maintenance[],4,FALSE),"")</f>
        <v/>
      </c>
      <c r="J832" t="str">
        <f>IFERROR(VLOOKUP(Logs_Registre[[#This Row],[Cell_ID]],Registre_Maintenance[],5,FALSE),"")</f>
        <v/>
      </c>
      <c r="K832" t="str">
        <f>IFERROR(VLOOKUP(Logs_Registre[[#This Row],[Cell_ID]],Registre_Maintenance[],6,FALSE),"")</f>
        <v/>
      </c>
    </row>
    <row r="833" spans="1:11" x14ac:dyDescent="0.25">
      <c r="A833" s="1" t="s">
        <v>1086</v>
      </c>
      <c r="B833" s="1" t="s">
        <v>923</v>
      </c>
      <c r="C833" s="2">
        <v>45206.857638888891</v>
      </c>
      <c r="D833" s="3">
        <v>45206.857638888891</v>
      </c>
      <c r="E833">
        <v>45</v>
      </c>
      <c r="F833" s="1" t="s">
        <v>737</v>
      </c>
      <c r="G833" t="str">
        <f>IFERROR(VLOOKUP(Logs_Registre[[#This Row],[Cell_ID]],Registre_Maintenance[],2,FALSE),"")</f>
        <v>Haut-Lomami</v>
      </c>
      <c r="H833">
        <f>IFERROR(VLOOKUP(Logs_Registre[[#This Row],[Cell_ID]],Registre_Maintenance[],3,FALSE),"")</f>
        <v>1.210869</v>
      </c>
      <c r="I833">
        <f>IFERROR(VLOOKUP(Logs_Registre[[#This Row],[Cell_ID]],Registre_Maintenance[],4,FALSE),"")</f>
        <v>25.598741</v>
      </c>
      <c r="J833" t="str">
        <f>IFERROR(VLOOKUP(Logs_Registre[[#This Row],[Cell_ID]],Registre_Maintenance[],5,FALSE),"")</f>
        <v>4G</v>
      </c>
      <c r="K833" t="str">
        <f>IFERROR(VLOOKUP(Logs_Registre[[#This Row],[Cell_ID]],Registre_Maintenance[],6,FALSE),"")</f>
        <v>Ericsson</v>
      </c>
    </row>
    <row r="834" spans="1:11" x14ac:dyDescent="0.25">
      <c r="A834" s="1" t="s">
        <v>1086</v>
      </c>
      <c r="B834" s="1" t="s">
        <v>1112</v>
      </c>
      <c r="C834" s="2">
        <v>45206.768055555563</v>
      </c>
      <c r="D834" s="3">
        <v>45206.768055555563</v>
      </c>
      <c r="E834">
        <v>35</v>
      </c>
      <c r="F834" s="1" t="s">
        <v>737</v>
      </c>
      <c r="G834" t="str">
        <f>IFERROR(VLOOKUP(Logs_Registre[[#This Row],[Cell_ID]],Registre_Maintenance[],2,FALSE),"")</f>
        <v/>
      </c>
      <c r="H834" t="str">
        <f>IFERROR(VLOOKUP(Logs_Registre[[#This Row],[Cell_ID]],Registre_Maintenance[],3,FALSE),"")</f>
        <v/>
      </c>
      <c r="I834" t="str">
        <f>IFERROR(VLOOKUP(Logs_Registre[[#This Row],[Cell_ID]],Registre_Maintenance[],4,FALSE),"")</f>
        <v/>
      </c>
      <c r="J834" t="str">
        <f>IFERROR(VLOOKUP(Logs_Registre[[#This Row],[Cell_ID]],Registre_Maintenance[],5,FALSE),"")</f>
        <v/>
      </c>
      <c r="K834" t="str">
        <f>IFERROR(VLOOKUP(Logs_Registre[[#This Row],[Cell_ID]],Registre_Maintenance[],6,FALSE),"")</f>
        <v/>
      </c>
    </row>
    <row r="835" spans="1:11" x14ac:dyDescent="0.25">
      <c r="A835" s="1" t="s">
        <v>823</v>
      </c>
      <c r="B835" s="1" t="s">
        <v>851</v>
      </c>
      <c r="C835" s="2">
        <v>45206.6875</v>
      </c>
      <c r="D835" s="3">
        <v>45206.6875</v>
      </c>
      <c r="E835">
        <v>76</v>
      </c>
      <c r="F835" s="1" t="s">
        <v>737</v>
      </c>
      <c r="G835" t="str">
        <f>IFERROR(VLOOKUP(Logs_Registre[[#This Row],[Cell_ID]],Registre_Maintenance[],2,FALSE),"")</f>
        <v/>
      </c>
      <c r="H835" t="str">
        <f>IFERROR(VLOOKUP(Logs_Registre[[#This Row],[Cell_ID]],Registre_Maintenance[],3,FALSE),"")</f>
        <v/>
      </c>
      <c r="I835" t="str">
        <f>IFERROR(VLOOKUP(Logs_Registre[[#This Row],[Cell_ID]],Registre_Maintenance[],4,FALSE),"")</f>
        <v/>
      </c>
      <c r="J835" t="str">
        <f>IFERROR(VLOOKUP(Logs_Registre[[#This Row],[Cell_ID]],Registre_Maintenance[],5,FALSE),"")</f>
        <v/>
      </c>
      <c r="K835" t="str">
        <f>IFERROR(VLOOKUP(Logs_Registre[[#This Row],[Cell_ID]],Registre_Maintenance[],6,FALSE),"")</f>
        <v/>
      </c>
    </row>
    <row r="836" spans="1:11" x14ac:dyDescent="0.25">
      <c r="A836" s="1" t="s">
        <v>1241</v>
      </c>
      <c r="B836" s="1" t="s">
        <v>1246</v>
      </c>
      <c r="C836" s="2">
        <v>45206.636805555558</v>
      </c>
      <c r="D836" s="3">
        <v>45206.636805555558</v>
      </c>
      <c r="E836">
        <v>32</v>
      </c>
      <c r="F836" s="1" t="s">
        <v>737</v>
      </c>
      <c r="G836" t="str">
        <f>IFERROR(VLOOKUP(Logs_Registre[[#This Row],[Cell_ID]],Registre_Maintenance[],2,FALSE),"")</f>
        <v>Sud-Kivu</v>
      </c>
      <c r="H836">
        <f>IFERROR(VLOOKUP(Logs_Registre[[#This Row],[Cell_ID]],Registre_Maintenance[],3,FALSE),"")</f>
        <v>-11.514817000000001</v>
      </c>
      <c r="I836">
        <f>IFERROR(VLOOKUP(Logs_Registre[[#This Row],[Cell_ID]],Registre_Maintenance[],4,FALSE),"")</f>
        <v>24.891375</v>
      </c>
      <c r="J836" t="str">
        <f>IFERROR(VLOOKUP(Logs_Registre[[#This Row],[Cell_ID]],Registre_Maintenance[],5,FALSE),"")</f>
        <v>3G</v>
      </c>
      <c r="K836" t="str">
        <f>IFERROR(VLOOKUP(Logs_Registre[[#This Row],[Cell_ID]],Registre_Maintenance[],6,FALSE),"")</f>
        <v>Nokia</v>
      </c>
    </row>
    <row r="837" spans="1:11" x14ac:dyDescent="0.25">
      <c r="A837" s="1" t="s">
        <v>1308</v>
      </c>
      <c r="B837" s="1" t="s">
        <v>1082</v>
      </c>
      <c r="C837" s="2">
        <v>45206.572222222218</v>
      </c>
      <c r="D837" s="3">
        <v>45206.572222222218</v>
      </c>
      <c r="E837">
        <v>10</v>
      </c>
      <c r="F837" s="1" t="s">
        <v>732</v>
      </c>
      <c r="G837" t="str">
        <f>IFERROR(VLOOKUP(Logs_Registre[[#This Row],[Cell_ID]],Registre_Maintenance[],2,FALSE),"")</f>
        <v/>
      </c>
      <c r="H837" t="str">
        <f>IFERROR(VLOOKUP(Logs_Registre[[#This Row],[Cell_ID]],Registre_Maintenance[],3,FALSE),"")</f>
        <v/>
      </c>
      <c r="I837" t="str">
        <f>IFERROR(VLOOKUP(Logs_Registre[[#This Row],[Cell_ID]],Registre_Maintenance[],4,FALSE),"")</f>
        <v/>
      </c>
      <c r="J837" t="str">
        <f>IFERROR(VLOOKUP(Logs_Registre[[#This Row],[Cell_ID]],Registre_Maintenance[],5,FALSE),"")</f>
        <v/>
      </c>
      <c r="K837" t="str">
        <f>IFERROR(VLOOKUP(Logs_Registre[[#This Row],[Cell_ID]],Registre_Maintenance[],6,FALSE),"")</f>
        <v/>
      </c>
    </row>
    <row r="838" spans="1:11" x14ac:dyDescent="0.25">
      <c r="A838" s="1" t="s">
        <v>1114</v>
      </c>
      <c r="B838" s="1" t="s">
        <v>1128</v>
      </c>
      <c r="C838" s="2">
        <v>45206.563888888893</v>
      </c>
      <c r="D838" s="3">
        <v>45206.563888888893</v>
      </c>
      <c r="E838">
        <v>37</v>
      </c>
      <c r="F838" s="1" t="s">
        <v>732</v>
      </c>
      <c r="G838" t="str">
        <f>IFERROR(VLOOKUP(Logs_Registre[[#This Row],[Cell_ID]],Registre_Maintenance[],2,FALSE),"")</f>
        <v>Haut-Uele</v>
      </c>
      <c r="H838">
        <f>IFERROR(VLOOKUP(Logs_Registre[[#This Row],[Cell_ID]],Registre_Maintenance[],3,FALSE),"")</f>
        <v>0.20866199999999999</v>
      </c>
      <c r="I838">
        <f>IFERROR(VLOOKUP(Logs_Registre[[#This Row],[Cell_ID]],Registre_Maintenance[],4,FALSE),"")</f>
        <v>18.556439000000001</v>
      </c>
      <c r="J838" t="str">
        <f>IFERROR(VLOOKUP(Logs_Registre[[#This Row],[Cell_ID]],Registre_Maintenance[],5,FALSE),"")</f>
        <v>4G</v>
      </c>
      <c r="K838" t="str">
        <f>IFERROR(VLOOKUP(Logs_Registre[[#This Row],[Cell_ID]],Registre_Maintenance[],6,FALSE),"")</f>
        <v>Nokia</v>
      </c>
    </row>
    <row r="839" spans="1:11" x14ac:dyDescent="0.25">
      <c r="A839" s="1" t="s">
        <v>779</v>
      </c>
      <c r="B839" s="1" t="s">
        <v>796</v>
      </c>
      <c r="C839" s="2">
        <v>45206.539583333331</v>
      </c>
      <c r="D839" s="3">
        <v>45206.539583333331</v>
      </c>
      <c r="E839">
        <v>43</v>
      </c>
      <c r="F839" s="1" t="s">
        <v>732</v>
      </c>
      <c r="G839" t="str">
        <f>IFERROR(VLOOKUP(Logs_Registre[[#This Row],[Cell_ID]],Registre_Maintenance[],2,FALSE),"")</f>
        <v>Kwango</v>
      </c>
      <c r="H839">
        <f>IFERROR(VLOOKUP(Logs_Registre[[#This Row],[Cell_ID]],Registre_Maintenance[],3,FALSE),"")</f>
        <v>-10.963041</v>
      </c>
      <c r="I839">
        <f>IFERROR(VLOOKUP(Logs_Registre[[#This Row],[Cell_ID]],Registre_Maintenance[],4,FALSE),"")</f>
        <v>12.269857</v>
      </c>
      <c r="J839" t="str">
        <f>IFERROR(VLOOKUP(Logs_Registre[[#This Row],[Cell_ID]],Registre_Maintenance[],5,FALSE),"")</f>
        <v>4G</v>
      </c>
      <c r="K839" t="str">
        <f>IFERROR(VLOOKUP(Logs_Registre[[#This Row],[Cell_ID]],Registre_Maintenance[],6,FALSE),"")</f>
        <v>Huawei</v>
      </c>
    </row>
    <row r="840" spans="1:11" x14ac:dyDescent="0.25">
      <c r="A840" s="1" t="s">
        <v>1288</v>
      </c>
      <c r="B840" s="1" t="s">
        <v>1293</v>
      </c>
      <c r="C840" s="2">
        <v>45206.515972222223</v>
      </c>
      <c r="D840" s="3">
        <v>45206.515972222223</v>
      </c>
      <c r="E840">
        <v>108</v>
      </c>
      <c r="F840" s="1" t="s">
        <v>732</v>
      </c>
      <c r="G840" t="str">
        <f>IFERROR(VLOOKUP(Logs_Registre[[#This Row],[Cell_ID]],Registre_Maintenance[],2,FALSE),"")</f>
        <v>Kinshasa</v>
      </c>
      <c r="H840">
        <f>IFERROR(VLOOKUP(Logs_Registre[[#This Row],[Cell_ID]],Registre_Maintenance[],3,FALSE),"")</f>
        <v>-10.227569000000001</v>
      </c>
      <c r="I840">
        <f>IFERROR(VLOOKUP(Logs_Registre[[#This Row],[Cell_ID]],Registre_Maintenance[],4,FALSE),"")</f>
        <v>18.887930999999998</v>
      </c>
      <c r="J840" t="str">
        <f>IFERROR(VLOOKUP(Logs_Registre[[#This Row],[Cell_ID]],Registre_Maintenance[],5,FALSE),"")</f>
        <v>3G</v>
      </c>
      <c r="K840" t="str">
        <f>IFERROR(VLOOKUP(Logs_Registre[[#This Row],[Cell_ID]],Registre_Maintenance[],6,FALSE),"")</f>
        <v>ZTE</v>
      </c>
    </row>
    <row r="841" spans="1:11" x14ac:dyDescent="0.25">
      <c r="A841" s="1" t="s">
        <v>1165</v>
      </c>
      <c r="B841" s="1" t="s">
        <v>1185</v>
      </c>
      <c r="C841" s="2">
        <v>45206.472222222219</v>
      </c>
      <c r="D841" s="3">
        <v>45206.472222222219</v>
      </c>
      <c r="E841">
        <v>69</v>
      </c>
      <c r="F841" s="1" t="s">
        <v>737</v>
      </c>
      <c r="G841" t="str">
        <f>IFERROR(VLOOKUP(Logs_Registre[[#This Row],[Cell_ID]],Registre_Maintenance[],2,FALSE),"")</f>
        <v/>
      </c>
      <c r="H841" t="str">
        <f>IFERROR(VLOOKUP(Logs_Registre[[#This Row],[Cell_ID]],Registre_Maintenance[],3,FALSE),"")</f>
        <v/>
      </c>
      <c r="I841" t="str">
        <f>IFERROR(VLOOKUP(Logs_Registre[[#This Row],[Cell_ID]],Registre_Maintenance[],4,FALSE),"")</f>
        <v/>
      </c>
      <c r="J841" t="str">
        <f>IFERROR(VLOOKUP(Logs_Registre[[#This Row],[Cell_ID]],Registre_Maintenance[],5,FALSE),"")</f>
        <v/>
      </c>
      <c r="K841" t="str">
        <f>IFERROR(VLOOKUP(Logs_Registre[[#This Row],[Cell_ID]],Registre_Maintenance[],6,FALSE),"")</f>
        <v/>
      </c>
    </row>
    <row r="842" spans="1:11" x14ac:dyDescent="0.25">
      <c r="A842" s="1" t="s">
        <v>1024</v>
      </c>
      <c r="B842" s="1" t="s">
        <v>1032</v>
      </c>
      <c r="C842" s="2">
        <v>45206.443055555559</v>
      </c>
      <c r="D842" s="3">
        <v>45206.443055555559</v>
      </c>
      <c r="E842">
        <v>48</v>
      </c>
      <c r="F842" s="1" t="s">
        <v>737</v>
      </c>
      <c r="G842" t="str">
        <f>IFERROR(VLOOKUP(Logs_Registre[[#This Row],[Cell_ID]],Registre_Maintenance[],2,FALSE),"")</f>
        <v>Haut-Lomami</v>
      </c>
      <c r="H842">
        <f>IFERROR(VLOOKUP(Logs_Registre[[#This Row],[Cell_ID]],Registre_Maintenance[],3,FALSE),"")</f>
        <v>0.16327700000000001</v>
      </c>
      <c r="I842">
        <f>IFERROR(VLOOKUP(Logs_Registre[[#This Row],[Cell_ID]],Registre_Maintenance[],4,FALSE),"")</f>
        <v>14.871577</v>
      </c>
      <c r="J842" t="str">
        <f>IFERROR(VLOOKUP(Logs_Registre[[#This Row],[Cell_ID]],Registre_Maintenance[],5,FALSE),"")</f>
        <v>4G</v>
      </c>
      <c r="K842" t="str">
        <f>IFERROR(VLOOKUP(Logs_Registre[[#This Row],[Cell_ID]],Registre_Maintenance[],6,FALSE),"")</f>
        <v>Huawei</v>
      </c>
    </row>
    <row r="843" spans="1:11" x14ac:dyDescent="0.25">
      <c r="A843" s="1" t="s">
        <v>1345</v>
      </c>
      <c r="B843" s="1" t="s">
        <v>755</v>
      </c>
      <c r="C843" s="2">
        <v>45206.43472222222</v>
      </c>
      <c r="D843" s="3">
        <v>45206.43472222222</v>
      </c>
      <c r="E843">
        <v>98</v>
      </c>
      <c r="F843" s="1" t="s">
        <v>732</v>
      </c>
      <c r="G843" t="str">
        <f>IFERROR(VLOOKUP(Logs_Registre[[#This Row],[Cell_ID]],Registre_Maintenance[],2,FALSE),"")</f>
        <v/>
      </c>
      <c r="H843" t="str">
        <f>IFERROR(VLOOKUP(Logs_Registre[[#This Row],[Cell_ID]],Registre_Maintenance[],3,FALSE),"")</f>
        <v/>
      </c>
      <c r="I843" t="str">
        <f>IFERROR(VLOOKUP(Logs_Registre[[#This Row],[Cell_ID]],Registre_Maintenance[],4,FALSE),"")</f>
        <v/>
      </c>
      <c r="J843" t="str">
        <f>IFERROR(VLOOKUP(Logs_Registre[[#This Row],[Cell_ID]],Registre_Maintenance[],5,FALSE),"")</f>
        <v/>
      </c>
      <c r="K843" t="str">
        <f>IFERROR(VLOOKUP(Logs_Registre[[#This Row],[Cell_ID]],Registre_Maintenance[],6,FALSE),"")</f>
        <v/>
      </c>
    </row>
    <row r="844" spans="1:11" x14ac:dyDescent="0.25">
      <c r="A844" s="1" t="s">
        <v>779</v>
      </c>
      <c r="B844" s="1" t="s">
        <v>802</v>
      </c>
      <c r="C844" s="2">
        <v>45206.384027777778</v>
      </c>
      <c r="D844" s="3">
        <v>45206.384027777778</v>
      </c>
      <c r="E844">
        <v>109</v>
      </c>
      <c r="F844" s="1" t="s">
        <v>737</v>
      </c>
      <c r="G844" t="str">
        <f>IFERROR(VLOOKUP(Logs_Registre[[#This Row],[Cell_ID]],Registre_Maintenance[],2,FALSE),"")</f>
        <v/>
      </c>
      <c r="H844" t="str">
        <f>IFERROR(VLOOKUP(Logs_Registre[[#This Row],[Cell_ID]],Registre_Maintenance[],3,FALSE),"")</f>
        <v/>
      </c>
      <c r="I844" t="str">
        <f>IFERROR(VLOOKUP(Logs_Registre[[#This Row],[Cell_ID]],Registre_Maintenance[],4,FALSE),"")</f>
        <v/>
      </c>
      <c r="J844" t="str">
        <f>IFERROR(VLOOKUP(Logs_Registre[[#This Row],[Cell_ID]],Registre_Maintenance[],5,FALSE),"")</f>
        <v/>
      </c>
      <c r="K844" t="str">
        <f>IFERROR(VLOOKUP(Logs_Registre[[#This Row],[Cell_ID]],Registre_Maintenance[],6,FALSE),"")</f>
        <v/>
      </c>
    </row>
    <row r="845" spans="1:11" x14ac:dyDescent="0.25">
      <c r="A845" s="1" t="s">
        <v>1219</v>
      </c>
      <c r="B845" s="1" t="s">
        <v>951</v>
      </c>
      <c r="C845" s="2">
        <v>45206.366666666669</v>
      </c>
      <c r="D845" s="3">
        <v>45206.366666666669</v>
      </c>
      <c r="E845">
        <v>69</v>
      </c>
      <c r="F845" s="1" t="s">
        <v>735</v>
      </c>
      <c r="G845" t="str">
        <f>IFERROR(VLOOKUP(Logs_Registre[[#This Row],[Cell_ID]],Registre_Maintenance[],2,FALSE),"")</f>
        <v/>
      </c>
      <c r="H845" t="str">
        <f>IFERROR(VLOOKUP(Logs_Registre[[#This Row],[Cell_ID]],Registre_Maintenance[],3,FALSE),"")</f>
        <v/>
      </c>
      <c r="I845" t="str">
        <f>IFERROR(VLOOKUP(Logs_Registre[[#This Row],[Cell_ID]],Registre_Maintenance[],4,FALSE),"")</f>
        <v/>
      </c>
      <c r="J845" t="str">
        <f>IFERROR(VLOOKUP(Logs_Registre[[#This Row],[Cell_ID]],Registre_Maintenance[],5,FALSE),"")</f>
        <v/>
      </c>
      <c r="K845" t="str">
        <f>IFERROR(VLOOKUP(Logs_Registre[[#This Row],[Cell_ID]],Registre_Maintenance[],6,FALSE),"")</f>
        <v/>
      </c>
    </row>
    <row r="846" spans="1:11" x14ac:dyDescent="0.25">
      <c r="A846" s="1" t="s">
        <v>1382</v>
      </c>
      <c r="B846" s="1" t="s">
        <v>1396</v>
      </c>
      <c r="C846" s="2">
        <v>45206.366666666669</v>
      </c>
      <c r="D846" s="3">
        <v>45206.366666666669</v>
      </c>
      <c r="E846">
        <v>30</v>
      </c>
      <c r="F846" s="1" t="s">
        <v>737</v>
      </c>
      <c r="G846" t="str">
        <f>IFERROR(VLOOKUP(Logs_Registre[[#This Row],[Cell_ID]],Registre_Maintenance[],2,FALSE),"")</f>
        <v/>
      </c>
      <c r="H846" t="str">
        <f>IFERROR(VLOOKUP(Logs_Registre[[#This Row],[Cell_ID]],Registre_Maintenance[],3,FALSE),"")</f>
        <v/>
      </c>
      <c r="I846" t="str">
        <f>IFERROR(VLOOKUP(Logs_Registre[[#This Row],[Cell_ID]],Registre_Maintenance[],4,FALSE),"")</f>
        <v/>
      </c>
      <c r="J846" t="str">
        <f>IFERROR(VLOOKUP(Logs_Registre[[#This Row],[Cell_ID]],Registre_Maintenance[],5,FALSE),"")</f>
        <v/>
      </c>
      <c r="K846" t="str">
        <f>IFERROR(VLOOKUP(Logs_Registre[[#This Row],[Cell_ID]],Registre_Maintenance[],6,FALSE),"")</f>
        <v/>
      </c>
    </row>
    <row r="847" spans="1:11" x14ac:dyDescent="0.25">
      <c r="A847" s="1" t="s">
        <v>902</v>
      </c>
      <c r="B847" s="1" t="s">
        <v>919</v>
      </c>
      <c r="C847" s="2">
        <v>45206.362500000003</v>
      </c>
      <c r="D847" s="3">
        <v>45206.362500000003</v>
      </c>
      <c r="E847">
        <v>60</v>
      </c>
      <c r="F847" s="1" t="s">
        <v>737</v>
      </c>
      <c r="G847" t="str">
        <f>IFERROR(VLOOKUP(Logs_Registre[[#This Row],[Cell_ID]],Registre_Maintenance[],2,FALSE),"")</f>
        <v>Maniema</v>
      </c>
      <c r="H847">
        <f>IFERROR(VLOOKUP(Logs_Registre[[#This Row],[Cell_ID]],Registre_Maintenance[],3,FALSE),"")</f>
        <v>-4.2645619999999997</v>
      </c>
      <c r="I847">
        <f>IFERROR(VLOOKUP(Logs_Registre[[#This Row],[Cell_ID]],Registre_Maintenance[],4,FALSE),"")</f>
        <v>18.960726000000001</v>
      </c>
      <c r="J847" t="str">
        <f>IFERROR(VLOOKUP(Logs_Registre[[#This Row],[Cell_ID]],Registre_Maintenance[],5,FALSE),"")</f>
        <v>4G</v>
      </c>
      <c r="K847" t="str">
        <f>IFERROR(VLOOKUP(Logs_Registre[[#This Row],[Cell_ID]],Registre_Maintenance[],6,FALSE),"")</f>
        <v>Huawei</v>
      </c>
    </row>
    <row r="848" spans="1:11" x14ac:dyDescent="0.25">
      <c r="A848" s="1" t="s">
        <v>1330</v>
      </c>
      <c r="B848" s="1" t="s">
        <v>792</v>
      </c>
      <c r="C848" s="2">
        <v>45206.286805555559</v>
      </c>
      <c r="D848" s="3">
        <v>45206.286805555559</v>
      </c>
      <c r="E848">
        <v>96</v>
      </c>
      <c r="F848" s="1" t="s">
        <v>735</v>
      </c>
      <c r="G848" t="str">
        <f>IFERROR(VLOOKUP(Logs_Registre[[#This Row],[Cell_ID]],Registre_Maintenance[],2,FALSE),"")</f>
        <v>Haut-Katanga</v>
      </c>
      <c r="H848">
        <f>IFERROR(VLOOKUP(Logs_Registre[[#This Row],[Cell_ID]],Registre_Maintenance[],3,FALSE),"")</f>
        <v>-5.5445120000000001</v>
      </c>
      <c r="I848">
        <f>IFERROR(VLOOKUP(Logs_Registre[[#This Row],[Cell_ID]],Registre_Maintenance[],4,FALSE),"")</f>
        <v>27.547335</v>
      </c>
      <c r="J848" t="str">
        <f>IFERROR(VLOOKUP(Logs_Registre[[#This Row],[Cell_ID]],Registre_Maintenance[],5,FALSE),"")</f>
        <v>4G</v>
      </c>
      <c r="K848" t="str">
        <f>IFERROR(VLOOKUP(Logs_Registre[[#This Row],[Cell_ID]],Registre_Maintenance[],6,FALSE),"")</f>
        <v>Ericsson</v>
      </c>
    </row>
    <row r="849" spans="1:11" x14ac:dyDescent="0.25">
      <c r="A849" s="1" t="s">
        <v>779</v>
      </c>
      <c r="B849" s="1" t="s">
        <v>789</v>
      </c>
      <c r="C849" s="2">
        <v>45206.273611111108</v>
      </c>
      <c r="D849" s="3">
        <v>45206.273611111108</v>
      </c>
      <c r="E849">
        <v>117</v>
      </c>
      <c r="F849" s="1" t="s">
        <v>737</v>
      </c>
      <c r="G849" t="str">
        <f>IFERROR(VLOOKUP(Logs_Registre[[#This Row],[Cell_ID]],Registre_Maintenance[],2,FALSE),"")</f>
        <v/>
      </c>
      <c r="H849" t="str">
        <f>IFERROR(VLOOKUP(Logs_Registre[[#This Row],[Cell_ID]],Registre_Maintenance[],3,FALSE),"")</f>
        <v/>
      </c>
      <c r="I849" t="str">
        <f>IFERROR(VLOOKUP(Logs_Registre[[#This Row],[Cell_ID]],Registre_Maintenance[],4,FALSE),"")</f>
        <v/>
      </c>
      <c r="J849" t="str">
        <f>IFERROR(VLOOKUP(Logs_Registre[[#This Row],[Cell_ID]],Registre_Maintenance[],5,FALSE),"")</f>
        <v/>
      </c>
      <c r="K849" t="str">
        <f>IFERROR(VLOOKUP(Logs_Registre[[#This Row],[Cell_ID]],Registre_Maintenance[],6,FALSE),"")</f>
        <v/>
      </c>
    </row>
    <row r="850" spans="1:11" x14ac:dyDescent="0.25">
      <c r="A850" s="1" t="s">
        <v>1382</v>
      </c>
      <c r="B850" s="1" t="s">
        <v>1391</v>
      </c>
      <c r="C850" s="2">
        <v>45206.259027777778</v>
      </c>
      <c r="D850" s="3">
        <v>45206.259027777778</v>
      </c>
      <c r="E850">
        <v>104</v>
      </c>
      <c r="F850" s="1" t="s">
        <v>732</v>
      </c>
      <c r="G850" t="str">
        <f>IFERROR(VLOOKUP(Logs_Registre[[#This Row],[Cell_ID]],Registre_Maintenance[],2,FALSE),"")</f>
        <v/>
      </c>
      <c r="H850" t="str">
        <f>IFERROR(VLOOKUP(Logs_Registre[[#This Row],[Cell_ID]],Registre_Maintenance[],3,FALSE),"")</f>
        <v/>
      </c>
      <c r="I850" t="str">
        <f>IFERROR(VLOOKUP(Logs_Registre[[#This Row],[Cell_ID]],Registre_Maintenance[],4,FALSE),"")</f>
        <v/>
      </c>
      <c r="J850" t="str">
        <f>IFERROR(VLOOKUP(Logs_Registre[[#This Row],[Cell_ID]],Registre_Maintenance[],5,FALSE),"")</f>
        <v/>
      </c>
      <c r="K850" t="str">
        <f>IFERROR(VLOOKUP(Logs_Registre[[#This Row],[Cell_ID]],Registre_Maintenance[],6,FALSE),"")</f>
        <v/>
      </c>
    </row>
    <row r="851" spans="1:11" x14ac:dyDescent="0.25">
      <c r="A851" s="1" t="s">
        <v>1345</v>
      </c>
      <c r="B851" s="1" t="s">
        <v>1354</v>
      </c>
      <c r="C851" s="2">
        <v>45206.23333333333</v>
      </c>
      <c r="D851" s="3">
        <v>45206.23333333333</v>
      </c>
      <c r="E851">
        <v>26</v>
      </c>
      <c r="F851" s="1" t="s">
        <v>737</v>
      </c>
      <c r="G851" t="str">
        <f>IFERROR(VLOOKUP(Logs_Registre[[#This Row],[Cell_ID]],Registre_Maintenance[],2,FALSE),"")</f>
        <v>Mai-Ndombe</v>
      </c>
      <c r="H851">
        <f>IFERROR(VLOOKUP(Logs_Registre[[#This Row],[Cell_ID]],Registre_Maintenance[],3,FALSE),"")</f>
        <v>-4.6311460000000002</v>
      </c>
      <c r="I851">
        <f>IFERROR(VLOOKUP(Logs_Registre[[#This Row],[Cell_ID]],Registre_Maintenance[],4,FALSE),"")</f>
        <v>25.314723000000001</v>
      </c>
      <c r="J851" t="str">
        <f>IFERROR(VLOOKUP(Logs_Registre[[#This Row],[Cell_ID]],Registre_Maintenance[],5,FALSE),"")</f>
        <v>4G</v>
      </c>
      <c r="K851" t="str">
        <f>IFERROR(VLOOKUP(Logs_Registre[[#This Row],[Cell_ID]],Registre_Maintenance[],6,FALSE),"")</f>
        <v>Huawei</v>
      </c>
    </row>
    <row r="852" spans="1:11" x14ac:dyDescent="0.25">
      <c r="A852" s="1" t="s">
        <v>823</v>
      </c>
      <c r="B852" s="1" t="s">
        <v>858</v>
      </c>
      <c r="C852" s="2">
        <v>45206.167361111111</v>
      </c>
      <c r="D852" s="3">
        <v>45206.167361111111</v>
      </c>
      <c r="E852">
        <v>64</v>
      </c>
      <c r="F852" s="1" t="s">
        <v>735</v>
      </c>
      <c r="G852" t="str">
        <f>IFERROR(VLOOKUP(Logs_Registre[[#This Row],[Cell_ID]],Registre_Maintenance[],2,FALSE),"")</f>
        <v/>
      </c>
      <c r="H852" t="str">
        <f>IFERROR(VLOOKUP(Logs_Registre[[#This Row],[Cell_ID]],Registre_Maintenance[],3,FALSE),"")</f>
        <v/>
      </c>
      <c r="I852" t="str">
        <f>IFERROR(VLOOKUP(Logs_Registre[[#This Row],[Cell_ID]],Registre_Maintenance[],4,FALSE),"")</f>
        <v/>
      </c>
      <c r="J852" t="str">
        <f>IFERROR(VLOOKUP(Logs_Registre[[#This Row],[Cell_ID]],Registre_Maintenance[],5,FALSE),"")</f>
        <v/>
      </c>
      <c r="K852" t="str">
        <f>IFERROR(VLOOKUP(Logs_Registre[[#This Row],[Cell_ID]],Registre_Maintenance[],6,FALSE),"")</f>
        <v/>
      </c>
    </row>
    <row r="853" spans="1:11" x14ac:dyDescent="0.25">
      <c r="A853" s="1" t="s">
        <v>978</v>
      </c>
      <c r="B853" s="1" t="s">
        <v>989</v>
      </c>
      <c r="C853" s="2">
        <v>45206.162499999999</v>
      </c>
      <c r="D853" s="3">
        <v>45206.162499999999</v>
      </c>
      <c r="E853">
        <v>69</v>
      </c>
      <c r="F853" s="1" t="s">
        <v>732</v>
      </c>
      <c r="G853" t="str">
        <f>IFERROR(VLOOKUP(Logs_Registre[[#This Row],[Cell_ID]],Registre_Maintenance[],2,FALSE),"")</f>
        <v/>
      </c>
      <c r="H853" t="str">
        <f>IFERROR(VLOOKUP(Logs_Registre[[#This Row],[Cell_ID]],Registre_Maintenance[],3,FALSE),"")</f>
        <v/>
      </c>
      <c r="I853" t="str">
        <f>IFERROR(VLOOKUP(Logs_Registre[[#This Row],[Cell_ID]],Registre_Maintenance[],4,FALSE),"")</f>
        <v/>
      </c>
      <c r="J853" t="str">
        <f>IFERROR(VLOOKUP(Logs_Registre[[#This Row],[Cell_ID]],Registre_Maintenance[],5,FALSE),"")</f>
        <v/>
      </c>
      <c r="K853" t="str">
        <f>IFERROR(VLOOKUP(Logs_Registre[[#This Row],[Cell_ID]],Registre_Maintenance[],6,FALSE),"")</f>
        <v/>
      </c>
    </row>
    <row r="854" spans="1:11" x14ac:dyDescent="0.25">
      <c r="A854" s="1" t="s">
        <v>861</v>
      </c>
      <c r="B854" s="1" t="s">
        <v>878</v>
      </c>
      <c r="C854" s="2">
        <v>45206.027083333327</v>
      </c>
      <c r="D854" s="3">
        <v>45206.027083333327</v>
      </c>
      <c r="E854">
        <v>36</v>
      </c>
      <c r="F854" s="1" t="s">
        <v>737</v>
      </c>
      <c r="G854" t="str">
        <f>IFERROR(VLOOKUP(Logs_Registre[[#This Row],[Cell_ID]],Registre_Maintenance[],2,FALSE),"")</f>
        <v>Kasai-Central</v>
      </c>
      <c r="H854">
        <f>IFERROR(VLOOKUP(Logs_Registre[[#This Row],[Cell_ID]],Registre_Maintenance[],3,FALSE),"")</f>
        <v>-3.111418</v>
      </c>
      <c r="I854">
        <f>IFERROR(VLOOKUP(Logs_Registre[[#This Row],[Cell_ID]],Registre_Maintenance[],4,FALSE),"")</f>
        <v>14.144854</v>
      </c>
      <c r="J854" t="str">
        <f>IFERROR(VLOOKUP(Logs_Registre[[#This Row],[Cell_ID]],Registre_Maintenance[],5,FALSE),"")</f>
        <v>4G</v>
      </c>
      <c r="K854" t="str">
        <f>IFERROR(VLOOKUP(Logs_Registre[[#This Row],[Cell_ID]],Registre_Maintenance[],6,FALSE),"")</f>
        <v>ZTE</v>
      </c>
    </row>
    <row r="855" spans="1:11" x14ac:dyDescent="0.25">
      <c r="A855" s="1" t="s">
        <v>1219</v>
      </c>
      <c r="B855" s="1" t="s">
        <v>1228</v>
      </c>
      <c r="C855" s="2">
        <v>45205.96875</v>
      </c>
      <c r="D855" s="3">
        <v>45205.96875</v>
      </c>
      <c r="E855">
        <v>84</v>
      </c>
      <c r="F855" s="1" t="s">
        <v>735</v>
      </c>
      <c r="G855" t="str">
        <f>IFERROR(VLOOKUP(Logs_Registre[[#This Row],[Cell_ID]],Registre_Maintenance[],2,FALSE),"")</f>
        <v/>
      </c>
      <c r="H855" t="str">
        <f>IFERROR(VLOOKUP(Logs_Registre[[#This Row],[Cell_ID]],Registre_Maintenance[],3,FALSE),"")</f>
        <v/>
      </c>
      <c r="I855" t="str">
        <f>IFERROR(VLOOKUP(Logs_Registre[[#This Row],[Cell_ID]],Registre_Maintenance[],4,FALSE),"")</f>
        <v/>
      </c>
      <c r="J855" t="str">
        <f>IFERROR(VLOOKUP(Logs_Registre[[#This Row],[Cell_ID]],Registre_Maintenance[],5,FALSE),"")</f>
        <v/>
      </c>
      <c r="K855" t="str">
        <f>IFERROR(VLOOKUP(Logs_Registre[[#This Row],[Cell_ID]],Registre_Maintenance[],6,FALSE),"")</f>
        <v/>
      </c>
    </row>
    <row r="856" spans="1:11" x14ac:dyDescent="0.25">
      <c r="A856" s="1" t="s">
        <v>939</v>
      </c>
      <c r="B856" s="1" t="s">
        <v>963</v>
      </c>
      <c r="C856" s="2">
        <v>45205.929861111108</v>
      </c>
      <c r="D856" s="3">
        <v>45205.929861111108</v>
      </c>
      <c r="E856">
        <v>82</v>
      </c>
      <c r="F856" s="1" t="s">
        <v>737</v>
      </c>
      <c r="G856" t="str">
        <f>IFERROR(VLOOKUP(Logs_Registre[[#This Row],[Cell_ID]],Registre_Maintenance[],2,FALSE),"")</f>
        <v/>
      </c>
      <c r="H856" t="str">
        <f>IFERROR(VLOOKUP(Logs_Registre[[#This Row],[Cell_ID]],Registre_Maintenance[],3,FALSE),"")</f>
        <v/>
      </c>
      <c r="I856" t="str">
        <f>IFERROR(VLOOKUP(Logs_Registre[[#This Row],[Cell_ID]],Registre_Maintenance[],4,FALSE),"")</f>
        <v/>
      </c>
      <c r="J856" t="str">
        <f>IFERROR(VLOOKUP(Logs_Registre[[#This Row],[Cell_ID]],Registre_Maintenance[],5,FALSE),"")</f>
        <v/>
      </c>
      <c r="K856" t="str">
        <f>IFERROR(VLOOKUP(Logs_Registre[[#This Row],[Cell_ID]],Registre_Maintenance[],6,FALSE),"")</f>
        <v/>
      </c>
    </row>
    <row r="857" spans="1:11" x14ac:dyDescent="0.25">
      <c r="A857" s="1" t="s">
        <v>1193</v>
      </c>
      <c r="B857" s="1" t="s">
        <v>1183</v>
      </c>
      <c r="C857" s="2">
        <v>45205.89166666667</v>
      </c>
      <c r="D857" s="3">
        <v>45205.89166666667</v>
      </c>
      <c r="E857">
        <v>45</v>
      </c>
      <c r="F857" s="1" t="s">
        <v>735</v>
      </c>
      <c r="G857" t="str">
        <f>IFERROR(VLOOKUP(Logs_Registre[[#This Row],[Cell_ID]],Registre_Maintenance[],2,FALSE),"")</f>
        <v/>
      </c>
      <c r="H857" t="str">
        <f>IFERROR(VLOOKUP(Logs_Registre[[#This Row],[Cell_ID]],Registre_Maintenance[],3,FALSE),"")</f>
        <v/>
      </c>
      <c r="I857" t="str">
        <f>IFERROR(VLOOKUP(Logs_Registre[[#This Row],[Cell_ID]],Registre_Maintenance[],4,FALSE),"")</f>
        <v/>
      </c>
      <c r="J857" t="str">
        <f>IFERROR(VLOOKUP(Logs_Registre[[#This Row],[Cell_ID]],Registre_Maintenance[],5,FALSE),"")</f>
        <v/>
      </c>
      <c r="K857" t="str">
        <f>IFERROR(VLOOKUP(Logs_Registre[[#This Row],[Cell_ID]],Registre_Maintenance[],6,FALSE),"")</f>
        <v/>
      </c>
    </row>
    <row r="858" spans="1:11" x14ac:dyDescent="0.25">
      <c r="A858" s="1" t="s">
        <v>1308</v>
      </c>
      <c r="B858" s="1" t="s">
        <v>1315</v>
      </c>
      <c r="C858" s="2">
        <v>45205.87222222222</v>
      </c>
      <c r="D858" s="3">
        <v>45205.87222222222</v>
      </c>
      <c r="E858">
        <v>17</v>
      </c>
      <c r="F858" s="1" t="s">
        <v>732</v>
      </c>
      <c r="G858" t="str">
        <f>IFERROR(VLOOKUP(Logs_Registre[[#This Row],[Cell_ID]],Registre_Maintenance[],2,FALSE),"")</f>
        <v/>
      </c>
      <c r="H858" t="str">
        <f>IFERROR(VLOOKUP(Logs_Registre[[#This Row],[Cell_ID]],Registre_Maintenance[],3,FALSE),"")</f>
        <v/>
      </c>
      <c r="I858" t="str">
        <f>IFERROR(VLOOKUP(Logs_Registre[[#This Row],[Cell_ID]],Registre_Maintenance[],4,FALSE),"")</f>
        <v/>
      </c>
      <c r="J858" t="str">
        <f>IFERROR(VLOOKUP(Logs_Registre[[#This Row],[Cell_ID]],Registre_Maintenance[],5,FALSE),"")</f>
        <v/>
      </c>
      <c r="K858" t="str">
        <f>IFERROR(VLOOKUP(Logs_Registre[[#This Row],[Cell_ID]],Registre_Maintenance[],6,FALSE),"")</f>
        <v/>
      </c>
    </row>
    <row r="859" spans="1:11" x14ac:dyDescent="0.25">
      <c r="A859" s="1" t="s">
        <v>1308</v>
      </c>
      <c r="B859" s="1" t="s">
        <v>1324</v>
      </c>
      <c r="C859" s="2">
        <v>45205.830555555563</v>
      </c>
      <c r="D859" s="3">
        <v>45205.830555555563</v>
      </c>
      <c r="E859">
        <v>52</v>
      </c>
      <c r="F859" s="1" t="s">
        <v>732</v>
      </c>
      <c r="G859" t="str">
        <f>IFERROR(VLOOKUP(Logs_Registre[[#This Row],[Cell_ID]],Registre_Maintenance[],2,FALSE),"")</f>
        <v>Haut-Uele</v>
      </c>
      <c r="H859">
        <f>IFERROR(VLOOKUP(Logs_Registre[[#This Row],[Cell_ID]],Registre_Maintenance[],3,FALSE),"")</f>
        <v>-2.2199559999999998</v>
      </c>
      <c r="I859">
        <f>IFERROR(VLOOKUP(Logs_Registre[[#This Row],[Cell_ID]],Registre_Maintenance[],4,FALSE),"")</f>
        <v>22.614449</v>
      </c>
      <c r="J859" t="str">
        <f>IFERROR(VLOOKUP(Logs_Registre[[#This Row],[Cell_ID]],Registre_Maintenance[],5,FALSE),"")</f>
        <v>3G</v>
      </c>
      <c r="K859" t="str">
        <f>IFERROR(VLOOKUP(Logs_Registre[[#This Row],[Cell_ID]],Registre_Maintenance[],6,FALSE),"")</f>
        <v>Nokia</v>
      </c>
    </row>
    <row r="860" spans="1:11" x14ac:dyDescent="0.25">
      <c r="A860" s="1" t="s">
        <v>823</v>
      </c>
      <c r="B860" s="1" t="s">
        <v>846</v>
      </c>
      <c r="C860" s="2">
        <v>45205.816666666673</v>
      </c>
      <c r="D860" s="3">
        <v>45205.816666666673</v>
      </c>
      <c r="E860">
        <v>33</v>
      </c>
      <c r="F860" s="1" t="s">
        <v>737</v>
      </c>
      <c r="G860" t="str">
        <f>IFERROR(VLOOKUP(Logs_Registre[[#This Row],[Cell_ID]],Registre_Maintenance[],2,FALSE),"")</f>
        <v/>
      </c>
      <c r="H860" t="str">
        <f>IFERROR(VLOOKUP(Logs_Registre[[#This Row],[Cell_ID]],Registre_Maintenance[],3,FALSE),"")</f>
        <v/>
      </c>
      <c r="I860" t="str">
        <f>IFERROR(VLOOKUP(Logs_Registre[[#This Row],[Cell_ID]],Registre_Maintenance[],4,FALSE),"")</f>
        <v/>
      </c>
      <c r="J860" t="str">
        <f>IFERROR(VLOOKUP(Logs_Registre[[#This Row],[Cell_ID]],Registre_Maintenance[],5,FALSE),"")</f>
        <v/>
      </c>
      <c r="K860" t="str">
        <f>IFERROR(VLOOKUP(Logs_Registre[[#This Row],[Cell_ID]],Registre_Maintenance[],6,FALSE),"")</f>
        <v/>
      </c>
    </row>
    <row r="861" spans="1:11" x14ac:dyDescent="0.25">
      <c r="A861" s="1" t="s">
        <v>1308</v>
      </c>
      <c r="B861" s="1" t="s">
        <v>1312</v>
      </c>
      <c r="C861" s="2">
        <v>45205.805555555547</v>
      </c>
      <c r="D861" s="3">
        <v>45205.805555555547</v>
      </c>
      <c r="E861">
        <v>110</v>
      </c>
      <c r="F861" s="1" t="s">
        <v>732</v>
      </c>
      <c r="G861" t="str">
        <f>IFERROR(VLOOKUP(Logs_Registre[[#This Row],[Cell_ID]],Registre_Maintenance[],2,FALSE),"")</f>
        <v/>
      </c>
      <c r="H861" t="str">
        <f>IFERROR(VLOOKUP(Logs_Registre[[#This Row],[Cell_ID]],Registre_Maintenance[],3,FALSE),"")</f>
        <v/>
      </c>
      <c r="I861" t="str">
        <f>IFERROR(VLOOKUP(Logs_Registre[[#This Row],[Cell_ID]],Registre_Maintenance[],4,FALSE),"")</f>
        <v/>
      </c>
      <c r="J861" t="str">
        <f>IFERROR(VLOOKUP(Logs_Registre[[#This Row],[Cell_ID]],Registre_Maintenance[],5,FALSE),"")</f>
        <v/>
      </c>
      <c r="K861" t="str">
        <f>IFERROR(VLOOKUP(Logs_Registre[[#This Row],[Cell_ID]],Registre_Maintenance[],6,FALSE),"")</f>
        <v/>
      </c>
    </row>
    <row r="862" spans="1:11" x14ac:dyDescent="0.25">
      <c r="A862" s="1" t="s">
        <v>999</v>
      </c>
      <c r="B862" s="1" t="s">
        <v>1018</v>
      </c>
      <c r="C862" s="2">
        <v>45205.793749999997</v>
      </c>
      <c r="D862" s="3">
        <v>45205.793749999997</v>
      </c>
      <c r="E862">
        <v>99</v>
      </c>
      <c r="F862" s="1" t="s">
        <v>735</v>
      </c>
      <c r="G862" t="str">
        <f>IFERROR(VLOOKUP(Logs_Registre[[#This Row],[Cell_ID]],Registre_Maintenance[],2,FALSE),"")</f>
        <v/>
      </c>
      <c r="H862" t="str">
        <f>IFERROR(VLOOKUP(Logs_Registre[[#This Row],[Cell_ID]],Registre_Maintenance[],3,FALSE),"")</f>
        <v/>
      </c>
      <c r="I862" t="str">
        <f>IFERROR(VLOOKUP(Logs_Registre[[#This Row],[Cell_ID]],Registre_Maintenance[],4,FALSE),"")</f>
        <v/>
      </c>
      <c r="J862" t="str">
        <f>IFERROR(VLOOKUP(Logs_Registre[[#This Row],[Cell_ID]],Registre_Maintenance[],5,FALSE),"")</f>
        <v/>
      </c>
      <c r="K862" t="str">
        <f>IFERROR(VLOOKUP(Logs_Registre[[#This Row],[Cell_ID]],Registre_Maintenance[],6,FALSE),"")</f>
        <v/>
      </c>
    </row>
    <row r="863" spans="1:11" x14ac:dyDescent="0.25">
      <c r="A863" s="1" t="s">
        <v>1086</v>
      </c>
      <c r="B863" s="1" t="s">
        <v>1109</v>
      </c>
      <c r="C863" s="2">
        <v>45205.775694444441</v>
      </c>
      <c r="D863" s="3">
        <v>45205.775694444441</v>
      </c>
      <c r="E863">
        <v>56</v>
      </c>
      <c r="F863" s="1" t="s">
        <v>737</v>
      </c>
      <c r="G863" t="str">
        <f>IFERROR(VLOOKUP(Logs_Registre[[#This Row],[Cell_ID]],Registre_Maintenance[],2,FALSE),"")</f>
        <v/>
      </c>
      <c r="H863" t="str">
        <f>IFERROR(VLOOKUP(Logs_Registre[[#This Row],[Cell_ID]],Registre_Maintenance[],3,FALSE),"")</f>
        <v/>
      </c>
      <c r="I863" t="str">
        <f>IFERROR(VLOOKUP(Logs_Registre[[#This Row],[Cell_ID]],Registre_Maintenance[],4,FALSE),"")</f>
        <v/>
      </c>
      <c r="J863" t="str">
        <f>IFERROR(VLOOKUP(Logs_Registre[[#This Row],[Cell_ID]],Registre_Maintenance[],5,FALSE),"")</f>
        <v/>
      </c>
      <c r="K863" t="str">
        <f>IFERROR(VLOOKUP(Logs_Registre[[#This Row],[Cell_ID]],Registre_Maintenance[],6,FALSE),"")</f>
        <v/>
      </c>
    </row>
    <row r="864" spans="1:11" x14ac:dyDescent="0.25">
      <c r="A864" s="1" t="s">
        <v>1288</v>
      </c>
      <c r="B864" s="1" t="s">
        <v>1297</v>
      </c>
      <c r="C864" s="2">
        <v>45205.768750000003</v>
      </c>
      <c r="D864" s="3">
        <v>45205.768750000003</v>
      </c>
      <c r="E864">
        <v>36</v>
      </c>
      <c r="F864" s="1" t="s">
        <v>732</v>
      </c>
      <c r="G864" t="str">
        <f>IFERROR(VLOOKUP(Logs_Registre[[#This Row],[Cell_ID]],Registre_Maintenance[],2,FALSE),"")</f>
        <v>Kongo-Central</v>
      </c>
      <c r="H864">
        <f>IFERROR(VLOOKUP(Logs_Registre[[#This Row],[Cell_ID]],Registre_Maintenance[],3,FALSE),"")</f>
        <v>-0.469945</v>
      </c>
      <c r="I864">
        <f>IFERROR(VLOOKUP(Logs_Registre[[#This Row],[Cell_ID]],Registre_Maintenance[],4,FALSE),"")</f>
        <v>21.038527999999999</v>
      </c>
      <c r="J864" t="str">
        <f>IFERROR(VLOOKUP(Logs_Registre[[#This Row],[Cell_ID]],Registre_Maintenance[],5,FALSE),"")</f>
        <v>3G</v>
      </c>
      <c r="K864" t="str">
        <f>IFERROR(VLOOKUP(Logs_Registre[[#This Row],[Cell_ID]],Registre_Maintenance[],6,FALSE),"")</f>
        <v>Ericsson</v>
      </c>
    </row>
    <row r="865" spans="1:11" x14ac:dyDescent="0.25">
      <c r="A865" s="1" t="s">
        <v>1165</v>
      </c>
      <c r="B865" s="1" t="s">
        <v>1169</v>
      </c>
      <c r="C865" s="2">
        <v>45205.729166666657</v>
      </c>
      <c r="D865" s="3">
        <v>45205.729166666657</v>
      </c>
      <c r="E865">
        <v>106</v>
      </c>
      <c r="F865" s="1" t="s">
        <v>737</v>
      </c>
      <c r="G865" t="str">
        <f>IFERROR(VLOOKUP(Logs_Registre[[#This Row],[Cell_ID]],Registre_Maintenance[],2,FALSE),"")</f>
        <v>Haut-Katanga</v>
      </c>
      <c r="H865">
        <f>IFERROR(VLOOKUP(Logs_Registre[[#This Row],[Cell_ID]],Registre_Maintenance[],3,FALSE),"")</f>
        <v>-4.4958720000000003</v>
      </c>
      <c r="I865">
        <f>IFERROR(VLOOKUP(Logs_Registre[[#This Row],[Cell_ID]],Registre_Maintenance[],4,FALSE),"")</f>
        <v>18.514112000000001</v>
      </c>
      <c r="J865" t="str">
        <f>IFERROR(VLOOKUP(Logs_Registre[[#This Row],[Cell_ID]],Registre_Maintenance[],5,FALSE),"")</f>
        <v>4G</v>
      </c>
      <c r="K865" t="str">
        <f>IFERROR(VLOOKUP(Logs_Registre[[#This Row],[Cell_ID]],Registre_Maintenance[],6,FALSE),"")</f>
        <v>Nokia</v>
      </c>
    </row>
    <row r="866" spans="1:11" x14ac:dyDescent="0.25">
      <c r="A866" s="1" t="s">
        <v>902</v>
      </c>
      <c r="B866" s="1" t="s">
        <v>921</v>
      </c>
      <c r="C866" s="2">
        <v>45205.711111111108</v>
      </c>
      <c r="D866" s="3">
        <v>45205.711111111108</v>
      </c>
      <c r="E866">
        <v>109</v>
      </c>
      <c r="F866" s="1" t="s">
        <v>737</v>
      </c>
      <c r="G866" t="str">
        <f>IFERROR(VLOOKUP(Logs_Registre[[#This Row],[Cell_ID]],Registre_Maintenance[],2,FALSE),"")</f>
        <v/>
      </c>
      <c r="H866" t="str">
        <f>IFERROR(VLOOKUP(Logs_Registre[[#This Row],[Cell_ID]],Registre_Maintenance[],3,FALSE),"")</f>
        <v/>
      </c>
      <c r="I866" t="str">
        <f>IFERROR(VLOOKUP(Logs_Registre[[#This Row],[Cell_ID]],Registre_Maintenance[],4,FALSE),"")</f>
        <v/>
      </c>
      <c r="J866" t="str">
        <f>IFERROR(VLOOKUP(Logs_Registre[[#This Row],[Cell_ID]],Registre_Maintenance[],5,FALSE),"")</f>
        <v/>
      </c>
      <c r="K866" t="str">
        <f>IFERROR(VLOOKUP(Logs_Registre[[#This Row],[Cell_ID]],Registre_Maintenance[],6,FALSE),"")</f>
        <v/>
      </c>
    </row>
    <row r="867" spans="1:11" x14ac:dyDescent="0.25">
      <c r="A867" s="1" t="s">
        <v>1330</v>
      </c>
      <c r="B867" s="1" t="s">
        <v>1342</v>
      </c>
      <c r="C867" s="2">
        <v>45205.650694444441</v>
      </c>
      <c r="D867" s="3">
        <v>45205.650694444441</v>
      </c>
      <c r="E867">
        <v>63</v>
      </c>
      <c r="F867" s="1" t="s">
        <v>732</v>
      </c>
      <c r="G867" t="str">
        <f>IFERROR(VLOOKUP(Logs_Registre[[#This Row],[Cell_ID]],Registre_Maintenance[],2,FALSE),"")</f>
        <v>Kongo-Central</v>
      </c>
      <c r="H867">
        <f>IFERROR(VLOOKUP(Logs_Registre[[#This Row],[Cell_ID]],Registre_Maintenance[],3,FALSE),"")</f>
        <v>-10.977309</v>
      </c>
      <c r="I867">
        <f>IFERROR(VLOOKUP(Logs_Registre[[#This Row],[Cell_ID]],Registre_Maintenance[],4,FALSE),"")</f>
        <v>12.408281000000001</v>
      </c>
      <c r="J867" t="str">
        <f>IFERROR(VLOOKUP(Logs_Registre[[#This Row],[Cell_ID]],Registre_Maintenance[],5,FALSE),"")</f>
        <v>5G</v>
      </c>
      <c r="K867" t="str">
        <f>IFERROR(VLOOKUP(Logs_Registre[[#This Row],[Cell_ID]],Registre_Maintenance[],6,FALSE),"")</f>
        <v>ZTE</v>
      </c>
    </row>
    <row r="868" spans="1:11" x14ac:dyDescent="0.25">
      <c r="A868" s="1" t="s">
        <v>1261</v>
      </c>
      <c r="B868" s="1" t="s">
        <v>880</v>
      </c>
      <c r="C868" s="2">
        <v>45205.640277777777</v>
      </c>
      <c r="D868" s="3">
        <v>45205.640277777777</v>
      </c>
      <c r="E868">
        <v>52</v>
      </c>
      <c r="F868" s="1" t="s">
        <v>732</v>
      </c>
      <c r="G868" t="str">
        <f>IFERROR(VLOOKUP(Logs_Registre[[#This Row],[Cell_ID]],Registre_Maintenance[],2,FALSE),"")</f>
        <v/>
      </c>
      <c r="H868" t="str">
        <f>IFERROR(VLOOKUP(Logs_Registre[[#This Row],[Cell_ID]],Registre_Maintenance[],3,FALSE),"")</f>
        <v/>
      </c>
      <c r="I868" t="str">
        <f>IFERROR(VLOOKUP(Logs_Registre[[#This Row],[Cell_ID]],Registre_Maintenance[],4,FALSE),"")</f>
        <v/>
      </c>
      <c r="J868" t="str">
        <f>IFERROR(VLOOKUP(Logs_Registre[[#This Row],[Cell_ID]],Registre_Maintenance[],5,FALSE),"")</f>
        <v/>
      </c>
      <c r="K868" t="str">
        <f>IFERROR(VLOOKUP(Logs_Registre[[#This Row],[Cell_ID]],Registre_Maintenance[],6,FALSE),"")</f>
        <v/>
      </c>
    </row>
    <row r="869" spans="1:11" x14ac:dyDescent="0.25">
      <c r="A869" s="1" t="s">
        <v>730</v>
      </c>
      <c r="B869" s="1" t="s">
        <v>768</v>
      </c>
      <c r="C869" s="2">
        <v>45205.599999999999</v>
      </c>
      <c r="D869" s="3">
        <v>45205.599999999999</v>
      </c>
      <c r="E869">
        <v>19</v>
      </c>
      <c r="F869" s="1" t="s">
        <v>735</v>
      </c>
      <c r="G869" t="str">
        <f>IFERROR(VLOOKUP(Logs_Registre[[#This Row],[Cell_ID]],Registre_Maintenance[],2,FALSE),"")</f>
        <v/>
      </c>
      <c r="H869" t="str">
        <f>IFERROR(VLOOKUP(Logs_Registre[[#This Row],[Cell_ID]],Registre_Maintenance[],3,FALSE),"")</f>
        <v/>
      </c>
      <c r="I869" t="str">
        <f>IFERROR(VLOOKUP(Logs_Registre[[#This Row],[Cell_ID]],Registre_Maintenance[],4,FALSE),"")</f>
        <v/>
      </c>
      <c r="J869" t="str">
        <f>IFERROR(VLOOKUP(Logs_Registre[[#This Row],[Cell_ID]],Registre_Maintenance[],5,FALSE),"")</f>
        <v/>
      </c>
      <c r="K869" t="str">
        <f>IFERROR(VLOOKUP(Logs_Registre[[#This Row],[Cell_ID]],Registre_Maintenance[],6,FALSE),"")</f>
        <v/>
      </c>
    </row>
    <row r="870" spans="1:11" x14ac:dyDescent="0.25">
      <c r="A870" s="1" t="s">
        <v>1308</v>
      </c>
      <c r="B870" s="1" t="s">
        <v>1320</v>
      </c>
      <c r="C870" s="2">
        <v>45205.586111111108</v>
      </c>
      <c r="D870" s="3">
        <v>45205.586111111108</v>
      </c>
      <c r="E870">
        <v>89</v>
      </c>
      <c r="F870" s="1" t="s">
        <v>737</v>
      </c>
      <c r="G870" t="str">
        <f>IFERROR(VLOOKUP(Logs_Registre[[#This Row],[Cell_ID]],Registre_Maintenance[],2,FALSE),"")</f>
        <v/>
      </c>
      <c r="H870" t="str">
        <f>IFERROR(VLOOKUP(Logs_Registre[[#This Row],[Cell_ID]],Registre_Maintenance[],3,FALSE),"")</f>
        <v/>
      </c>
      <c r="I870" t="str">
        <f>IFERROR(VLOOKUP(Logs_Registre[[#This Row],[Cell_ID]],Registre_Maintenance[],4,FALSE),"")</f>
        <v/>
      </c>
      <c r="J870" t="str">
        <f>IFERROR(VLOOKUP(Logs_Registre[[#This Row],[Cell_ID]],Registre_Maintenance[],5,FALSE),"")</f>
        <v/>
      </c>
      <c r="K870" t="str">
        <f>IFERROR(VLOOKUP(Logs_Registre[[#This Row],[Cell_ID]],Registre_Maintenance[],6,FALSE),"")</f>
        <v/>
      </c>
    </row>
    <row r="871" spans="1:11" x14ac:dyDescent="0.25">
      <c r="A871" s="1" t="s">
        <v>1138</v>
      </c>
      <c r="B871" s="1" t="s">
        <v>814</v>
      </c>
      <c r="C871" s="2">
        <v>45205.529861111107</v>
      </c>
      <c r="D871" s="3">
        <v>45205.529861111107</v>
      </c>
      <c r="E871">
        <v>74</v>
      </c>
      <c r="F871" s="1" t="s">
        <v>735</v>
      </c>
      <c r="G871" t="str">
        <f>IFERROR(VLOOKUP(Logs_Registre[[#This Row],[Cell_ID]],Registre_Maintenance[],2,FALSE),"")</f>
        <v>Mongala</v>
      </c>
      <c r="H871">
        <f>IFERROR(VLOOKUP(Logs_Registre[[#This Row],[Cell_ID]],Registre_Maintenance[],3,FALSE),"")</f>
        <v>-11.514188000000001</v>
      </c>
      <c r="I871">
        <f>IFERROR(VLOOKUP(Logs_Registre[[#This Row],[Cell_ID]],Registre_Maintenance[],4,FALSE),"")</f>
        <v>15.971181</v>
      </c>
      <c r="J871" t="str">
        <f>IFERROR(VLOOKUP(Logs_Registre[[#This Row],[Cell_ID]],Registre_Maintenance[],5,FALSE),"")</f>
        <v>5G</v>
      </c>
      <c r="K871" t="str">
        <f>IFERROR(VLOOKUP(Logs_Registre[[#This Row],[Cell_ID]],Registre_Maintenance[],6,FALSE),"")</f>
        <v>Ericsson</v>
      </c>
    </row>
    <row r="872" spans="1:11" x14ac:dyDescent="0.25">
      <c r="A872" s="1" t="s">
        <v>1114</v>
      </c>
      <c r="B872" s="1" t="s">
        <v>1119</v>
      </c>
      <c r="C872" s="2">
        <v>45205.527083333327</v>
      </c>
      <c r="D872" s="3">
        <v>45205.527083333327</v>
      </c>
      <c r="E872">
        <v>40</v>
      </c>
      <c r="F872" s="1" t="s">
        <v>737</v>
      </c>
      <c r="G872" t="str">
        <f>IFERROR(VLOOKUP(Logs_Registre[[#This Row],[Cell_ID]],Registre_Maintenance[],2,FALSE),"")</f>
        <v/>
      </c>
      <c r="H872" t="str">
        <f>IFERROR(VLOOKUP(Logs_Registre[[#This Row],[Cell_ID]],Registre_Maintenance[],3,FALSE),"")</f>
        <v/>
      </c>
      <c r="I872" t="str">
        <f>IFERROR(VLOOKUP(Logs_Registre[[#This Row],[Cell_ID]],Registre_Maintenance[],4,FALSE),"")</f>
        <v/>
      </c>
      <c r="J872" t="str">
        <f>IFERROR(VLOOKUP(Logs_Registre[[#This Row],[Cell_ID]],Registre_Maintenance[],5,FALSE),"")</f>
        <v/>
      </c>
      <c r="K872" t="str">
        <f>IFERROR(VLOOKUP(Logs_Registre[[#This Row],[Cell_ID]],Registre_Maintenance[],6,FALSE),"")</f>
        <v/>
      </c>
    </row>
    <row r="873" spans="1:11" x14ac:dyDescent="0.25">
      <c r="A873" s="1" t="s">
        <v>1086</v>
      </c>
      <c r="B873" s="1" t="s">
        <v>1089</v>
      </c>
      <c r="C873" s="2">
        <v>45205.480555555558</v>
      </c>
      <c r="D873" s="3">
        <v>45205.480555555558</v>
      </c>
      <c r="E873">
        <v>43</v>
      </c>
      <c r="F873" s="1" t="s">
        <v>735</v>
      </c>
      <c r="G873" t="str">
        <f>IFERROR(VLOOKUP(Logs_Registre[[#This Row],[Cell_ID]],Registre_Maintenance[],2,FALSE),"")</f>
        <v/>
      </c>
      <c r="H873" t="str">
        <f>IFERROR(VLOOKUP(Logs_Registre[[#This Row],[Cell_ID]],Registre_Maintenance[],3,FALSE),"")</f>
        <v/>
      </c>
      <c r="I873" t="str">
        <f>IFERROR(VLOOKUP(Logs_Registre[[#This Row],[Cell_ID]],Registre_Maintenance[],4,FALSE),"")</f>
        <v/>
      </c>
      <c r="J873" t="str">
        <f>IFERROR(VLOOKUP(Logs_Registre[[#This Row],[Cell_ID]],Registre_Maintenance[],5,FALSE),"")</f>
        <v/>
      </c>
      <c r="K873" t="str">
        <f>IFERROR(VLOOKUP(Logs_Registre[[#This Row],[Cell_ID]],Registre_Maintenance[],6,FALSE),"")</f>
        <v/>
      </c>
    </row>
    <row r="874" spans="1:11" x14ac:dyDescent="0.25">
      <c r="A874" s="1" t="s">
        <v>1024</v>
      </c>
      <c r="B874" s="1" t="s">
        <v>1037</v>
      </c>
      <c r="C874" s="2">
        <v>45205.474305555559</v>
      </c>
      <c r="D874" s="3">
        <v>45205.474305555559</v>
      </c>
      <c r="E874">
        <v>25</v>
      </c>
      <c r="F874" s="1" t="s">
        <v>732</v>
      </c>
      <c r="G874" t="str">
        <f>IFERROR(VLOOKUP(Logs_Registre[[#This Row],[Cell_ID]],Registre_Maintenance[],2,FALSE),"")</f>
        <v>Haut-Uele</v>
      </c>
      <c r="H874">
        <f>IFERROR(VLOOKUP(Logs_Registre[[#This Row],[Cell_ID]],Registre_Maintenance[],3,FALSE),"")</f>
        <v>-1.013558</v>
      </c>
      <c r="I874">
        <f>IFERROR(VLOOKUP(Logs_Registre[[#This Row],[Cell_ID]],Registre_Maintenance[],4,FALSE),"")</f>
        <v>17.346937</v>
      </c>
      <c r="J874" t="str">
        <f>IFERROR(VLOOKUP(Logs_Registre[[#This Row],[Cell_ID]],Registre_Maintenance[],5,FALSE),"")</f>
        <v>5G</v>
      </c>
      <c r="K874" t="str">
        <f>IFERROR(VLOOKUP(Logs_Registre[[#This Row],[Cell_ID]],Registre_Maintenance[],6,FALSE),"")</f>
        <v>Huawei</v>
      </c>
    </row>
    <row r="875" spans="1:11" x14ac:dyDescent="0.25">
      <c r="A875" s="1" t="s">
        <v>999</v>
      </c>
      <c r="B875" s="1" t="s">
        <v>1014</v>
      </c>
      <c r="C875" s="2">
        <v>45205.47152777778</v>
      </c>
      <c r="D875" s="3">
        <v>45205.47152777778</v>
      </c>
      <c r="E875">
        <v>50</v>
      </c>
      <c r="F875" s="1" t="s">
        <v>735</v>
      </c>
      <c r="G875" t="str">
        <f>IFERROR(VLOOKUP(Logs_Registre[[#This Row],[Cell_ID]],Registre_Maintenance[],2,FALSE),"")</f>
        <v>Haut-Lomami</v>
      </c>
      <c r="H875">
        <f>IFERROR(VLOOKUP(Logs_Registre[[#This Row],[Cell_ID]],Registre_Maintenance[],3,FALSE),"")</f>
        <v>2.628638</v>
      </c>
      <c r="I875">
        <f>IFERROR(VLOOKUP(Logs_Registre[[#This Row],[Cell_ID]],Registre_Maintenance[],4,FALSE),"")</f>
        <v>28.420582</v>
      </c>
      <c r="J875" t="str">
        <f>IFERROR(VLOOKUP(Logs_Registre[[#This Row],[Cell_ID]],Registre_Maintenance[],5,FALSE),"")</f>
        <v>4G</v>
      </c>
      <c r="K875" t="str">
        <f>IFERROR(VLOOKUP(Logs_Registre[[#This Row],[Cell_ID]],Registre_Maintenance[],6,FALSE),"")</f>
        <v>Huawei</v>
      </c>
    </row>
    <row r="876" spans="1:11" x14ac:dyDescent="0.25">
      <c r="A876" s="1" t="s">
        <v>1261</v>
      </c>
      <c r="B876" s="1" t="s">
        <v>1267</v>
      </c>
      <c r="C876" s="2">
        <v>45205.463888888888</v>
      </c>
      <c r="D876" s="3">
        <v>45205.463888888888</v>
      </c>
      <c r="E876">
        <v>103</v>
      </c>
      <c r="F876" s="1" t="s">
        <v>732</v>
      </c>
      <c r="G876" t="str">
        <f>IFERROR(VLOOKUP(Logs_Registre[[#This Row],[Cell_ID]],Registre_Maintenance[],2,FALSE),"")</f>
        <v>Nord-Kivu</v>
      </c>
      <c r="H876">
        <f>IFERROR(VLOOKUP(Logs_Registre[[#This Row],[Cell_ID]],Registre_Maintenance[],3,FALSE),"")</f>
        <v>-0.17258100000000001</v>
      </c>
      <c r="I876">
        <f>IFERROR(VLOOKUP(Logs_Registre[[#This Row],[Cell_ID]],Registre_Maintenance[],4,FALSE),"")</f>
        <v>23.775555000000001</v>
      </c>
      <c r="J876" t="str">
        <f>IFERROR(VLOOKUP(Logs_Registre[[#This Row],[Cell_ID]],Registre_Maintenance[],5,FALSE),"")</f>
        <v>5G</v>
      </c>
      <c r="K876" t="str">
        <f>IFERROR(VLOOKUP(Logs_Registre[[#This Row],[Cell_ID]],Registre_Maintenance[],6,FALSE),"")</f>
        <v>Nokia</v>
      </c>
    </row>
    <row r="877" spans="1:11" x14ac:dyDescent="0.25">
      <c r="A877" s="1" t="s">
        <v>1219</v>
      </c>
      <c r="B877" s="1" t="s">
        <v>1230</v>
      </c>
      <c r="C877" s="2">
        <v>45205.440972222219</v>
      </c>
      <c r="D877" s="3">
        <v>45205.440972222219</v>
      </c>
      <c r="E877">
        <v>115</v>
      </c>
      <c r="F877" s="1" t="s">
        <v>735</v>
      </c>
      <c r="G877" t="str">
        <f>IFERROR(VLOOKUP(Logs_Registre[[#This Row],[Cell_ID]],Registre_Maintenance[],2,FALSE),"")</f>
        <v>Sud-Kivu</v>
      </c>
      <c r="H877">
        <f>IFERROR(VLOOKUP(Logs_Registre[[#This Row],[Cell_ID]],Registre_Maintenance[],3,FALSE),"")</f>
        <v>-1.3024210000000001</v>
      </c>
      <c r="I877">
        <f>IFERROR(VLOOKUP(Logs_Registre[[#This Row],[Cell_ID]],Registre_Maintenance[],4,FALSE),"")</f>
        <v>13.601914000000001</v>
      </c>
      <c r="J877" t="str">
        <f>IFERROR(VLOOKUP(Logs_Registre[[#This Row],[Cell_ID]],Registre_Maintenance[],5,FALSE),"")</f>
        <v>3G</v>
      </c>
      <c r="K877" t="str">
        <f>IFERROR(VLOOKUP(Logs_Registre[[#This Row],[Cell_ID]],Registre_Maintenance[],6,FALSE),"")</f>
        <v>Huawei</v>
      </c>
    </row>
    <row r="878" spans="1:11" x14ac:dyDescent="0.25">
      <c r="A878" s="1" t="s">
        <v>1330</v>
      </c>
      <c r="B878" s="1" t="s">
        <v>1160</v>
      </c>
      <c r="C878" s="2">
        <v>45205.365972222222</v>
      </c>
      <c r="D878" s="3">
        <v>45205.365972222222</v>
      </c>
      <c r="E878">
        <v>32</v>
      </c>
      <c r="F878" s="1" t="s">
        <v>732</v>
      </c>
      <c r="G878" t="str">
        <f>IFERROR(VLOOKUP(Logs_Registre[[#This Row],[Cell_ID]],Registre_Maintenance[],2,FALSE),"")</f>
        <v/>
      </c>
      <c r="H878" t="str">
        <f>IFERROR(VLOOKUP(Logs_Registre[[#This Row],[Cell_ID]],Registre_Maintenance[],3,FALSE),"")</f>
        <v/>
      </c>
      <c r="I878" t="str">
        <f>IFERROR(VLOOKUP(Logs_Registre[[#This Row],[Cell_ID]],Registre_Maintenance[],4,FALSE),"")</f>
        <v/>
      </c>
      <c r="J878" t="str">
        <f>IFERROR(VLOOKUP(Logs_Registre[[#This Row],[Cell_ID]],Registre_Maintenance[],5,FALSE),"")</f>
        <v/>
      </c>
      <c r="K878" t="str">
        <f>IFERROR(VLOOKUP(Logs_Registre[[#This Row],[Cell_ID]],Registre_Maintenance[],6,FALSE),"")</f>
        <v/>
      </c>
    </row>
    <row r="879" spans="1:11" x14ac:dyDescent="0.25">
      <c r="A879" s="1" t="s">
        <v>779</v>
      </c>
      <c r="B879" s="1" t="s">
        <v>790</v>
      </c>
      <c r="C879" s="2">
        <v>45205.353472222218</v>
      </c>
      <c r="D879" s="3">
        <v>45205.353472222218</v>
      </c>
      <c r="E879">
        <v>52</v>
      </c>
      <c r="F879" s="1" t="s">
        <v>735</v>
      </c>
      <c r="G879" t="str">
        <f>IFERROR(VLOOKUP(Logs_Registre[[#This Row],[Cell_ID]],Registre_Maintenance[],2,FALSE),"")</f>
        <v>Tanganyika</v>
      </c>
      <c r="H879">
        <f>IFERROR(VLOOKUP(Logs_Registre[[#This Row],[Cell_ID]],Registre_Maintenance[],3,FALSE),"")</f>
        <v>3.1362930000000002</v>
      </c>
      <c r="I879">
        <f>IFERROR(VLOOKUP(Logs_Registre[[#This Row],[Cell_ID]],Registre_Maintenance[],4,FALSE),"")</f>
        <v>16.190878000000001</v>
      </c>
      <c r="J879" t="str">
        <f>IFERROR(VLOOKUP(Logs_Registre[[#This Row],[Cell_ID]],Registre_Maintenance[],5,FALSE),"")</f>
        <v>3G</v>
      </c>
      <c r="K879" t="str">
        <f>IFERROR(VLOOKUP(Logs_Registre[[#This Row],[Cell_ID]],Registre_Maintenance[],6,FALSE),"")</f>
        <v>Nokia</v>
      </c>
    </row>
    <row r="880" spans="1:11" x14ac:dyDescent="0.25">
      <c r="A880" s="1" t="s">
        <v>1288</v>
      </c>
      <c r="B880" s="1" t="s">
        <v>905</v>
      </c>
      <c r="C880" s="2">
        <v>45205.345138888893</v>
      </c>
      <c r="D880" s="3">
        <v>45205.345138888893</v>
      </c>
      <c r="E880">
        <v>109</v>
      </c>
      <c r="F880" s="1" t="s">
        <v>735</v>
      </c>
      <c r="G880" t="str">
        <f>IFERROR(VLOOKUP(Logs_Registre[[#This Row],[Cell_ID]],Registre_Maintenance[],2,FALSE),"")</f>
        <v>Lomami</v>
      </c>
      <c r="H880">
        <f>IFERROR(VLOOKUP(Logs_Registre[[#This Row],[Cell_ID]],Registre_Maintenance[],3,FALSE),"")</f>
        <v>-2.2681789999999999</v>
      </c>
      <c r="I880">
        <f>IFERROR(VLOOKUP(Logs_Registre[[#This Row],[Cell_ID]],Registre_Maintenance[],4,FALSE),"")</f>
        <v>25.699068</v>
      </c>
      <c r="J880" t="str">
        <f>IFERROR(VLOOKUP(Logs_Registre[[#This Row],[Cell_ID]],Registre_Maintenance[],5,FALSE),"")</f>
        <v>3G</v>
      </c>
      <c r="K880" t="str">
        <f>IFERROR(VLOOKUP(Logs_Registre[[#This Row],[Cell_ID]],Registre_Maintenance[],6,FALSE),"")</f>
        <v>ZTE</v>
      </c>
    </row>
    <row r="881" spans="1:11" x14ac:dyDescent="0.25">
      <c r="A881" s="1" t="s">
        <v>1241</v>
      </c>
      <c r="B881" s="1" t="s">
        <v>1251</v>
      </c>
      <c r="C881" s="2">
        <v>45205.336805555547</v>
      </c>
      <c r="D881" s="3">
        <v>45205.336805555547</v>
      </c>
      <c r="E881">
        <v>119</v>
      </c>
      <c r="F881" s="1" t="s">
        <v>737</v>
      </c>
      <c r="G881" t="str">
        <f>IFERROR(VLOOKUP(Logs_Registre[[#This Row],[Cell_ID]],Registre_Maintenance[],2,FALSE),"")</f>
        <v/>
      </c>
      <c r="H881" t="str">
        <f>IFERROR(VLOOKUP(Logs_Registre[[#This Row],[Cell_ID]],Registre_Maintenance[],3,FALSE),"")</f>
        <v/>
      </c>
      <c r="I881" t="str">
        <f>IFERROR(VLOOKUP(Logs_Registre[[#This Row],[Cell_ID]],Registre_Maintenance[],4,FALSE),"")</f>
        <v/>
      </c>
      <c r="J881" t="str">
        <f>IFERROR(VLOOKUP(Logs_Registre[[#This Row],[Cell_ID]],Registre_Maintenance[],5,FALSE),"")</f>
        <v/>
      </c>
      <c r="K881" t="str">
        <f>IFERROR(VLOOKUP(Logs_Registre[[#This Row],[Cell_ID]],Registre_Maintenance[],6,FALSE),"")</f>
        <v/>
      </c>
    </row>
    <row r="882" spans="1:11" x14ac:dyDescent="0.25">
      <c r="A882" s="1" t="s">
        <v>1219</v>
      </c>
      <c r="B882" s="1" t="s">
        <v>914</v>
      </c>
      <c r="C882" s="2">
        <v>45205.236111111109</v>
      </c>
      <c r="D882" s="3">
        <v>45205.236111111109</v>
      </c>
      <c r="E882">
        <v>67</v>
      </c>
      <c r="F882" s="1" t="s">
        <v>735</v>
      </c>
      <c r="G882" t="str">
        <f>IFERROR(VLOOKUP(Logs_Registre[[#This Row],[Cell_ID]],Registre_Maintenance[],2,FALSE),"")</f>
        <v/>
      </c>
      <c r="H882" t="str">
        <f>IFERROR(VLOOKUP(Logs_Registre[[#This Row],[Cell_ID]],Registre_Maintenance[],3,FALSE),"")</f>
        <v/>
      </c>
      <c r="I882" t="str">
        <f>IFERROR(VLOOKUP(Logs_Registre[[#This Row],[Cell_ID]],Registre_Maintenance[],4,FALSE),"")</f>
        <v/>
      </c>
      <c r="J882" t="str">
        <f>IFERROR(VLOOKUP(Logs_Registre[[#This Row],[Cell_ID]],Registre_Maintenance[],5,FALSE),"")</f>
        <v/>
      </c>
      <c r="K882" t="str">
        <f>IFERROR(VLOOKUP(Logs_Registre[[#This Row],[Cell_ID]],Registre_Maintenance[],6,FALSE),"")</f>
        <v/>
      </c>
    </row>
    <row r="883" spans="1:11" x14ac:dyDescent="0.25">
      <c r="A883" s="1" t="s">
        <v>999</v>
      </c>
      <c r="B883" s="1" t="s">
        <v>1010</v>
      </c>
      <c r="C883" s="2">
        <v>45205.191666666673</v>
      </c>
      <c r="D883" s="3">
        <v>45205.191666666673</v>
      </c>
      <c r="E883">
        <v>34</v>
      </c>
      <c r="F883" s="1" t="s">
        <v>732</v>
      </c>
      <c r="G883" t="str">
        <f>IFERROR(VLOOKUP(Logs_Registre[[#This Row],[Cell_ID]],Registre_Maintenance[],2,FALSE),"")</f>
        <v>Sankuru</v>
      </c>
      <c r="H883">
        <f>IFERROR(VLOOKUP(Logs_Registre[[#This Row],[Cell_ID]],Registre_Maintenance[],3,FALSE),"")</f>
        <v>-4.7886769999999999</v>
      </c>
      <c r="I883">
        <f>IFERROR(VLOOKUP(Logs_Registre[[#This Row],[Cell_ID]],Registre_Maintenance[],4,FALSE),"")</f>
        <v>23.600221999999999</v>
      </c>
      <c r="J883" t="str">
        <f>IFERROR(VLOOKUP(Logs_Registre[[#This Row],[Cell_ID]],Registre_Maintenance[],5,FALSE),"")</f>
        <v>3G</v>
      </c>
      <c r="K883" t="str">
        <f>IFERROR(VLOOKUP(Logs_Registre[[#This Row],[Cell_ID]],Registre_Maintenance[],6,FALSE),"")</f>
        <v>ZTE</v>
      </c>
    </row>
    <row r="884" spans="1:11" x14ac:dyDescent="0.25">
      <c r="A884" s="1" t="s">
        <v>1193</v>
      </c>
      <c r="B884" s="1" t="s">
        <v>1215</v>
      </c>
      <c r="C884" s="2">
        <v>45205.178472222222</v>
      </c>
      <c r="D884" s="3">
        <v>45205.178472222222</v>
      </c>
      <c r="E884">
        <v>42</v>
      </c>
      <c r="F884" s="1" t="s">
        <v>735</v>
      </c>
      <c r="G884" t="str">
        <f>IFERROR(VLOOKUP(Logs_Registre[[#This Row],[Cell_ID]],Registre_Maintenance[],2,FALSE),"")</f>
        <v>Sud-Ubangi</v>
      </c>
      <c r="H884">
        <f>IFERROR(VLOOKUP(Logs_Registre[[#This Row],[Cell_ID]],Registre_Maintenance[],3,FALSE),"")</f>
        <v>3.611561</v>
      </c>
      <c r="I884">
        <f>IFERROR(VLOOKUP(Logs_Registre[[#This Row],[Cell_ID]],Registre_Maintenance[],4,FALSE),"")</f>
        <v>17.725974999999998</v>
      </c>
      <c r="J884" t="str">
        <f>IFERROR(VLOOKUP(Logs_Registre[[#This Row],[Cell_ID]],Registre_Maintenance[],5,FALSE),"")</f>
        <v>3G</v>
      </c>
      <c r="K884" t="str">
        <f>IFERROR(VLOOKUP(Logs_Registre[[#This Row],[Cell_ID]],Registre_Maintenance[],6,FALSE),"")</f>
        <v>ZTE</v>
      </c>
    </row>
    <row r="885" spans="1:11" x14ac:dyDescent="0.25">
      <c r="A885" s="1" t="s">
        <v>1059</v>
      </c>
      <c r="B885" s="1" t="s">
        <v>1079</v>
      </c>
      <c r="C885" s="2">
        <v>45205.169444444437</v>
      </c>
      <c r="D885" s="3">
        <v>45205.169444444437</v>
      </c>
      <c r="E885">
        <v>18</v>
      </c>
      <c r="F885" s="1" t="s">
        <v>735</v>
      </c>
      <c r="G885" t="str">
        <f>IFERROR(VLOOKUP(Logs_Registre[[#This Row],[Cell_ID]],Registre_Maintenance[],2,FALSE),"")</f>
        <v>Kasai</v>
      </c>
      <c r="H885">
        <f>IFERROR(VLOOKUP(Logs_Registre[[#This Row],[Cell_ID]],Registre_Maintenance[],3,FALSE),"")</f>
        <v>4.8689660000000003</v>
      </c>
      <c r="I885">
        <f>IFERROR(VLOOKUP(Logs_Registre[[#This Row],[Cell_ID]],Registre_Maintenance[],4,FALSE),"")</f>
        <v>25.112373000000002</v>
      </c>
      <c r="J885" t="str">
        <f>IFERROR(VLOOKUP(Logs_Registre[[#This Row],[Cell_ID]],Registre_Maintenance[],5,FALSE),"")</f>
        <v>3G</v>
      </c>
      <c r="K885" t="str">
        <f>IFERROR(VLOOKUP(Logs_Registre[[#This Row],[Cell_ID]],Registre_Maintenance[],6,FALSE),"")</f>
        <v>Huawei</v>
      </c>
    </row>
    <row r="886" spans="1:11" x14ac:dyDescent="0.25">
      <c r="A886" s="1" t="s">
        <v>978</v>
      </c>
      <c r="B886" s="1" t="s">
        <v>819</v>
      </c>
      <c r="C886" s="2">
        <v>45205.154166666667</v>
      </c>
      <c r="D886" s="3">
        <v>45205.154166666667</v>
      </c>
      <c r="E886">
        <v>12</v>
      </c>
      <c r="F886" s="1" t="s">
        <v>732</v>
      </c>
      <c r="G886" t="str">
        <f>IFERROR(VLOOKUP(Logs_Registre[[#This Row],[Cell_ID]],Registre_Maintenance[],2,FALSE),"")</f>
        <v>Sud-Kivu</v>
      </c>
      <c r="H886">
        <f>IFERROR(VLOOKUP(Logs_Registre[[#This Row],[Cell_ID]],Registre_Maintenance[],3,FALSE),"")</f>
        <v>-5.2526849999999996</v>
      </c>
      <c r="I886">
        <f>IFERROR(VLOOKUP(Logs_Registre[[#This Row],[Cell_ID]],Registre_Maintenance[],4,FALSE),"")</f>
        <v>12.374528</v>
      </c>
      <c r="J886" t="str">
        <f>IFERROR(VLOOKUP(Logs_Registre[[#This Row],[Cell_ID]],Registre_Maintenance[],5,FALSE),"")</f>
        <v>3G</v>
      </c>
      <c r="K886" t="str">
        <f>IFERROR(VLOOKUP(Logs_Registre[[#This Row],[Cell_ID]],Registre_Maintenance[],6,FALSE),"")</f>
        <v>Nokia</v>
      </c>
    </row>
    <row r="887" spans="1:11" x14ac:dyDescent="0.25">
      <c r="A887" s="1" t="s">
        <v>939</v>
      </c>
      <c r="B887" s="1" t="s">
        <v>761</v>
      </c>
      <c r="C887" s="2">
        <v>45205.11041666667</v>
      </c>
      <c r="D887" s="3">
        <v>45205.11041666667</v>
      </c>
      <c r="E887">
        <v>104</v>
      </c>
      <c r="F887" s="1" t="s">
        <v>732</v>
      </c>
      <c r="G887" t="str">
        <f>IFERROR(VLOOKUP(Logs_Registre[[#This Row],[Cell_ID]],Registre_Maintenance[],2,FALSE),"")</f>
        <v/>
      </c>
      <c r="H887" t="str">
        <f>IFERROR(VLOOKUP(Logs_Registre[[#This Row],[Cell_ID]],Registre_Maintenance[],3,FALSE),"")</f>
        <v/>
      </c>
      <c r="I887" t="str">
        <f>IFERROR(VLOOKUP(Logs_Registre[[#This Row],[Cell_ID]],Registre_Maintenance[],4,FALSE),"")</f>
        <v/>
      </c>
      <c r="J887" t="str">
        <f>IFERROR(VLOOKUP(Logs_Registre[[#This Row],[Cell_ID]],Registre_Maintenance[],5,FALSE),"")</f>
        <v/>
      </c>
      <c r="K887" t="str">
        <f>IFERROR(VLOOKUP(Logs_Registre[[#This Row],[Cell_ID]],Registre_Maintenance[],6,FALSE),"")</f>
        <v/>
      </c>
    </row>
    <row r="888" spans="1:11" x14ac:dyDescent="0.25">
      <c r="A888" s="1" t="s">
        <v>939</v>
      </c>
      <c r="B888" s="1" t="s">
        <v>974</v>
      </c>
      <c r="C888" s="2">
        <v>45205.102777777778</v>
      </c>
      <c r="D888" s="3">
        <v>45205.102777777778</v>
      </c>
      <c r="E888">
        <v>84</v>
      </c>
      <c r="F888" s="1" t="s">
        <v>737</v>
      </c>
      <c r="G888" t="str">
        <f>IFERROR(VLOOKUP(Logs_Registre[[#This Row],[Cell_ID]],Registre_Maintenance[],2,FALSE),"")</f>
        <v/>
      </c>
      <c r="H888" t="str">
        <f>IFERROR(VLOOKUP(Logs_Registre[[#This Row],[Cell_ID]],Registre_Maintenance[],3,FALSE),"")</f>
        <v/>
      </c>
      <c r="I888" t="str">
        <f>IFERROR(VLOOKUP(Logs_Registre[[#This Row],[Cell_ID]],Registre_Maintenance[],4,FALSE),"")</f>
        <v/>
      </c>
      <c r="J888" t="str">
        <f>IFERROR(VLOOKUP(Logs_Registre[[#This Row],[Cell_ID]],Registre_Maintenance[],5,FALSE),"")</f>
        <v/>
      </c>
      <c r="K888" t="str">
        <f>IFERROR(VLOOKUP(Logs_Registre[[#This Row],[Cell_ID]],Registre_Maintenance[],6,FALSE),"")</f>
        <v/>
      </c>
    </row>
    <row r="889" spans="1:11" x14ac:dyDescent="0.25">
      <c r="A889" s="1" t="s">
        <v>902</v>
      </c>
      <c r="B889" s="1" t="s">
        <v>765</v>
      </c>
      <c r="C889" s="2">
        <v>45205.052777777782</v>
      </c>
      <c r="D889" s="3">
        <v>45205.052777777782</v>
      </c>
      <c r="E889">
        <v>102</v>
      </c>
      <c r="F889" s="1" t="s">
        <v>735</v>
      </c>
      <c r="G889" t="str">
        <f>IFERROR(VLOOKUP(Logs_Registre[[#This Row],[Cell_ID]],Registre_Maintenance[],2,FALSE),"")</f>
        <v>Kasai</v>
      </c>
      <c r="H889">
        <f>IFERROR(VLOOKUP(Logs_Registre[[#This Row],[Cell_ID]],Registre_Maintenance[],3,FALSE),"")</f>
        <v>-4.9789079999999997</v>
      </c>
      <c r="I889">
        <f>IFERROR(VLOOKUP(Logs_Registre[[#This Row],[Cell_ID]],Registre_Maintenance[],4,FALSE),"")</f>
        <v>28.506295000000001</v>
      </c>
      <c r="J889" t="str">
        <f>IFERROR(VLOOKUP(Logs_Registre[[#This Row],[Cell_ID]],Registre_Maintenance[],5,FALSE),"")</f>
        <v>4G</v>
      </c>
      <c r="K889" t="str">
        <f>IFERROR(VLOOKUP(Logs_Registre[[#This Row],[Cell_ID]],Registre_Maintenance[],6,FALSE),"")</f>
        <v>Huawei</v>
      </c>
    </row>
    <row r="890" spans="1:11" x14ac:dyDescent="0.25">
      <c r="A890" s="1" t="s">
        <v>1024</v>
      </c>
      <c r="B890" s="1" t="s">
        <v>1035</v>
      </c>
      <c r="C890" s="2">
        <v>45205.052083333343</v>
      </c>
      <c r="D890" s="3">
        <v>45205.052083333343</v>
      </c>
      <c r="E890">
        <v>81</v>
      </c>
      <c r="F890" s="1" t="s">
        <v>737</v>
      </c>
      <c r="G890" t="str">
        <f>IFERROR(VLOOKUP(Logs_Registre[[#This Row],[Cell_ID]],Registre_Maintenance[],2,FALSE),"")</f>
        <v/>
      </c>
      <c r="H890" t="str">
        <f>IFERROR(VLOOKUP(Logs_Registre[[#This Row],[Cell_ID]],Registre_Maintenance[],3,FALSE),"")</f>
        <v/>
      </c>
      <c r="I890" t="str">
        <f>IFERROR(VLOOKUP(Logs_Registre[[#This Row],[Cell_ID]],Registre_Maintenance[],4,FALSE),"")</f>
        <v/>
      </c>
      <c r="J890" t="str">
        <f>IFERROR(VLOOKUP(Logs_Registre[[#This Row],[Cell_ID]],Registre_Maintenance[],5,FALSE),"")</f>
        <v/>
      </c>
      <c r="K890" t="str">
        <f>IFERROR(VLOOKUP(Logs_Registre[[#This Row],[Cell_ID]],Registre_Maintenance[],6,FALSE),"")</f>
        <v/>
      </c>
    </row>
    <row r="891" spans="1:11" x14ac:dyDescent="0.25">
      <c r="A891" s="1" t="s">
        <v>902</v>
      </c>
      <c r="B891" s="1" t="s">
        <v>922</v>
      </c>
      <c r="C891" s="2">
        <v>45205.018055555563</v>
      </c>
      <c r="D891" s="3">
        <v>45205.018055555563</v>
      </c>
      <c r="E891">
        <v>67</v>
      </c>
      <c r="F891" s="1" t="s">
        <v>737</v>
      </c>
      <c r="G891" t="str">
        <f>IFERROR(VLOOKUP(Logs_Registre[[#This Row],[Cell_ID]],Registre_Maintenance[],2,FALSE),"")</f>
        <v>Bas-Uele</v>
      </c>
      <c r="H891">
        <f>IFERROR(VLOOKUP(Logs_Registre[[#This Row],[Cell_ID]],Registre_Maintenance[],3,FALSE),"")</f>
        <v>1.5278670000000001</v>
      </c>
      <c r="I891">
        <f>IFERROR(VLOOKUP(Logs_Registre[[#This Row],[Cell_ID]],Registre_Maintenance[],4,FALSE),"")</f>
        <v>13.899388999999999</v>
      </c>
      <c r="J891" t="str">
        <f>IFERROR(VLOOKUP(Logs_Registre[[#This Row],[Cell_ID]],Registre_Maintenance[],5,FALSE),"")</f>
        <v>3G</v>
      </c>
      <c r="K891" t="str">
        <f>IFERROR(VLOOKUP(Logs_Registre[[#This Row],[Cell_ID]],Registre_Maintenance[],6,FALSE),"")</f>
        <v>Huawei</v>
      </c>
    </row>
    <row r="892" spans="1:11" x14ac:dyDescent="0.25">
      <c r="A892" s="1" t="s">
        <v>1288</v>
      </c>
      <c r="B892" s="1" t="s">
        <v>763</v>
      </c>
      <c r="C892" s="2">
        <v>45205.013888888891</v>
      </c>
      <c r="D892" s="3">
        <v>45205.013888888891</v>
      </c>
      <c r="E892">
        <v>35</v>
      </c>
      <c r="F892" s="1" t="s">
        <v>735</v>
      </c>
      <c r="G892" t="str">
        <f>IFERROR(VLOOKUP(Logs_Registre[[#This Row],[Cell_ID]],Registre_Maintenance[],2,FALSE),"")</f>
        <v>Nord-Ubangi</v>
      </c>
      <c r="H892">
        <f>IFERROR(VLOOKUP(Logs_Registre[[#This Row],[Cell_ID]],Registre_Maintenance[],3,FALSE),"")</f>
        <v>-8.1437910000000002</v>
      </c>
      <c r="I892">
        <f>IFERROR(VLOOKUP(Logs_Registre[[#This Row],[Cell_ID]],Registre_Maintenance[],4,FALSE),"")</f>
        <v>28.946161</v>
      </c>
      <c r="J892" t="str">
        <f>IFERROR(VLOOKUP(Logs_Registre[[#This Row],[Cell_ID]],Registre_Maintenance[],5,FALSE),"")</f>
        <v>4G</v>
      </c>
      <c r="K892" t="str">
        <f>IFERROR(VLOOKUP(Logs_Registre[[#This Row],[Cell_ID]],Registre_Maintenance[],6,FALSE),"")</f>
        <v>ZTE</v>
      </c>
    </row>
    <row r="893" spans="1:11" x14ac:dyDescent="0.25">
      <c r="A893" s="1" t="s">
        <v>999</v>
      </c>
      <c r="B893" s="1" t="s">
        <v>1012</v>
      </c>
      <c r="C893" s="2">
        <v>45204.986111111109</v>
      </c>
      <c r="D893" s="3">
        <v>45204.986111111109</v>
      </c>
      <c r="E893">
        <v>76</v>
      </c>
      <c r="F893" s="1" t="s">
        <v>735</v>
      </c>
      <c r="G893" t="str">
        <f>IFERROR(VLOOKUP(Logs_Registre[[#This Row],[Cell_ID]],Registre_Maintenance[],2,FALSE),"")</f>
        <v>Haut-Uele</v>
      </c>
      <c r="H893">
        <f>IFERROR(VLOOKUP(Logs_Registre[[#This Row],[Cell_ID]],Registre_Maintenance[],3,FALSE),"")</f>
        <v>-4.869434</v>
      </c>
      <c r="I893">
        <f>IFERROR(VLOOKUP(Logs_Registre[[#This Row],[Cell_ID]],Registre_Maintenance[],4,FALSE),"")</f>
        <v>22.326522000000001</v>
      </c>
      <c r="J893" t="str">
        <f>IFERROR(VLOOKUP(Logs_Registre[[#This Row],[Cell_ID]],Registre_Maintenance[],5,FALSE),"")</f>
        <v>5G</v>
      </c>
      <c r="K893" t="str">
        <f>IFERROR(VLOOKUP(Logs_Registre[[#This Row],[Cell_ID]],Registre_Maintenance[],6,FALSE),"")</f>
        <v>Ericsson</v>
      </c>
    </row>
    <row r="894" spans="1:11" x14ac:dyDescent="0.25">
      <c r="A894" s="1" t="s">
        <v>730</v>
      </c>
      <c r="B894" s="1" t="s">
        <v>734</v>
      </c>
      <c r="C894" s="2">
        <v>45204.962500000001</v>
      </c>
      <c r="D894" s="3">
        <v>45204.962500000001</v>
      </c>
      <c r="E894">
        <v>100</v>
      </c>
      <c r="F894" s="1" t="s">
        <v>735</v>
      </c>
      <c r="G894" t="str">
        <f>IFERROR(VLOOKUP(Logs_Registre[[#This Row],[Cell_ID]],Registre_Maintenance[],2,FALSE),"")</f>
        <v/>
      </c>
      <c r="H894" t="str">
        <f>IFERROR(VLOOKUP(Logs_Registre[[#This Row],[Cell_ID]],Registre_Maintenance[],3,FALSE),"")</f>
        <v/>
      </c>
      <c r="I894" t="str">
        <f>IFERROR(VLOOKUP(Logs_Registre[[#This Row],[Cell_ID]],Registre_Maintenance[],4,FALSE),"")</f>
        <v/>
      </c>
      <c r="J894" t="str">
        <f>IFERROR(VLOOKUP(Logs_Registre[[#This Row],[Cell_ID]],Registre_Maintenance[],5,FALSE),"")</f>
        <v/>
      </c>
      <c r="K894" t="str">
        <f>IFERROR(VLOOKUP(Logs_Registre[[#This Row],[Cell_ID]],Registre_Maintenance[],6,FALSE),"")</f>
        <v/>
      </c>
    </row>
    <row r="895" spans="1:11" x14ac:dyDescent="0.25">
      <c r="A895" s="1" t="s">
        <v>1361</v>
      </c>
      <c r="B895" s="1" t="s">
        <v>1368</v>
      </c>
      <c r="C895" s="2">
        <v>45204.948611111111</v>
      </c>
      <c r="D895" s="3">
        <v>45204.948611111111</v>
      </c>
      <c r="E895">
        <v>47</v>
      </c>
      <c r="F895" s="1" t="s">
        <v>735</v>
      </c>
      <c r="G895" t="str">
        <f>IFERROR(VLOOKUP(Logs_Registre[[#This Row],[Cell_ID]],Registre_Maintenance[],2,FALSE),"")</f>
        <v/>
      </c>
      <c r="H895" t="str">
        <f>IFERROR(VLOOKUP(Logs_Registre[[#This Row],[Cell_ID]],Registre_Maintenance[],3,FALSE),"")</f>
        <v/>
      </c>
      <c r="I895" t="str">
        <f>IFERROR(VLOOKUP(Logs_Registre[[#This Row],[Cell_ID]],Registre_Maintenance[],4,FALSE),"")</f>
        <v/>
      </c>
      <c r="J895" t="str">
        <f>IFERROR(VLOOKUP(Logs_Registre[[#This Row],[Cell_ID]],Registre_Maintenance[],5,FALSE),"")</f>
        <v/>
      </c>
      <c r="K895" t="str">
        <f>IFERROR(VLOOKUP(Logs_Registre[[#This Row],[Cell_ID]],Registre_Maintenance[],6,FALSE),"")</f>
        <v/>
      </c>
    </row>
    <row r="896" spans="1:11" x14ac:dyDescent="0.25">
      <c r="A896" s="1" t="s">
        <v>1114</v>
      </c>
      <c r="B896" s="1" t="s">
        <v>1115</v>
      </c>
      <c r="C896" s="2">
        <v>45204.931250000001</v>
      </c>
      <c r="D896" s="3">
        <v>45204.931250000001</v>
      </c>
      <c r="E896">
        <v>66</v>
      </c>
      <c r="F896" s="1" t="s">
        <v>732</v>
      </c>
      <c r="G896" t="str">
        <f>IFERROR(VLOOKUP(Logs_Registre[[#This Row],[Cell_ID]],Registre_Maintenance[],2,FALSE),"")</f>
        <v/>
      </c>
      <c r="H896" t="str">
        <f>IFERROR(VLOOKUP(Logs_Registre[[#This Row],[Cell_ID]],Registre_Maintenance[],3,FALSE),"")</f>
        <v/>
      </c>
      <c r="I896" t="str">
        <f>IFERROR(VLOOKUP(Logs_Registre[[#This Row],[Cell_ID]],Registre_Maintenance[],4,FALSE),"")</f>
        <v/>
      </c>
      <c r="J896" t="str">
        <f>IFERROR(VLOOKUP(Logs_Registre[[#This Row],[Cell_ID]],Registre_Maintenance[],5,FALSE),"")</f>
        <v/>
      </c>
      <c r="K896" t="str">
        <f>IFERROR(VLOOKUP(Logs_Registre[[#This Row],[Cell_ID]],Registre_Maintenance[],6,FALSE),"")</f>
        <v/>
      </c>
    </row>
    <row r="897" spans="1:11" x14ac:dyDescent="0.25">
      <c r="A897" s="1" t="s">
        <v>1261</v>
      </c>
      <c r="B897" s="1" t="s">
        <v>1266</v>
      </c>
      <c r="C897" s="2">
        <v>45204.916666666657</v>
      </c>
      <c r="D897" s="3">
        <v>45204.916666666657</v>
      </c>
      <c r="E897">
        <v>64</v>
      </c>
      <c r="F897" s="1" t="s">
        <v>737</v>
      </c>
      <c r="G897" t="str">
        <f>IFERROR(VLOOKUP(Logs_Registre[[#This Row],[Cell_ID]],Registre_Maintenance[],2,FALSE),"")</f>
        <v/>
      </c>
      <c r="H897" t="str">
        <f>IFERROR(VLOOKUP(Logs_Registre[[#This Row],[Cell_ID]],Registre_Maintenance[],3,FALSE),"")</f>
        <v/>
      </c>
      <c r="I897" t="str">
        <f>IFERROR(VLOOKUP(Logs_Registre[[#This Row],[Cell_ID]],Registre_Maintenance[],4,FALSE),"")</f>
        <v/>
      </c>
      <c r="J897" t="str">
        <f>IFERROR(VLOOKUP(Logs_Registre[[#This Row],[Cell_ID]],Registre_Maintenance[],5,FALSE),"")</f>
        <v/>
      </c>
      <c r="K897" t="str">
        <f>IFERROR(VLOOKUP(Logs_Registre[[#This Row],[Cell_ID]],Registre_Maintenance[],6,FALSE),"")</f>
        <v/>
      </c>
    </row>
    <row r="898" spans="1:11" x14ac:dyDescent="0.25">
      <c r="A898" s="1" t="s">
        <v>1024</v>
      </c>
      <c r="B898" s="1" t="s">
        <v>1050</v>
      </c>
      <c r="C898" s="2">
        <v>45204.905555555553</v>
      </c>
      <c r="D898" s="3">
        <v>45204.905555555553</v>
      </c>
      <c r="E898">
        <v>61</v>
      </c>
      <c r="F898" s="1" t="s">
        <v>732</v>
      </c>
      <c r="G898" t="str">
        <f>IFERROR(VLOOKUP(Logs_Registre[[#This Row],[Cell_ID]],Registre_Maintenance[],2,FALSE),"")</f>
        <v>Bas-Uele</v>
      </c>
      <c r="H898">
        <f>IFERROR(VLOOKUP(Logs_Registre[[#This Row],[Cell_ID]],Registre_Maintenance[],3,FALSE),"")</f>
        <v>4.497306</v>
      </c>
      <c r="I898">
        <f>IFERROR(VLOOKUP(Logs_Registre[[#This Row],[Cell_ID]],Registre_Maintenance[],4,FALSE),"")</f>
        <v>12.857251</v>
      </c>
      <c r="J898" t="str">
        <f>IFERROR(VLOOKUP(Logs_Registre[[#This Row],[Cell_ID]],Registre_Maintenance[],5,FALSE),"")</f>
        <v>5G</v>
      </c>
      <c r="K898" t="str">
        <f>IFERROR(VLOOKUP(Logs_Registre[[#This Row],[Cell_ID]],Registre_Maintenance[],6,FALSE),"")</f>
        <v>Ericsson</v>
      </c>
    </row>
    <row r="899" spans="1:11" x14ac:dyDescent="0.25">
      <c r="A899" s="1" t="s">
        <v>999</v>
      </c>
      <c r="B899" s="1" t="s">
        <v>1002</v>
      </c>
      <c r="C899" s="2">
        <v>45204.895833333343</v>
      </c>
      <c r="D899" s="3">
        <v>45204.895833333343</v>
      </c>
      <c r="E899">
        <v>42</v>
      </c>
      <c r="F899" s="1" t="s">
        <v>735</v>
      </c>
      <c r="G899" t="str">
        <f>IFERROR(VLOOKUP(Logs_Registre[[#This Row],[Cell_ID]],Registre_Maintenance[],2,FALSE),"")</f>
        <v/>
      </c>
      <c r="H899" t="str">
        <f>IFERROR(VLOOKUP(Logs_Registre[[#This Row],[Cell_ID]],Registre_Maintenance[],3,FALSE),"")</f>
        <v/>
      </c>
      <c r="I899" t="str">
        <f>IFERROR(VLOOKUP(Logs_Registre[[#This Row],[Cell_ID]],Registre_Maintenance[],4,FALSE),"")</f>
        <v/>
      </c>
      <c r="J899" t="str">
        <f>IFERROR(VLOOKUP(Logs_Registre[[#This Row],[Cell_ID]],Registre_Maintenance[],5,FALSE),"")</f>
        <v/>
      </c>
      <c r="K899" t="str">
        <f>IFERROR(VLOOKUP(Logs_Registre[[#This Row],[Cell_ID]],Registre_Maintenance[],6,FALSE),"")</f>
        <v/>
      </c>
    </row>
    <row r="900" spans="1:11" x14ac:dyDescent="0.25">
      <c r="A900" s="1" t="s">
        <v>1241</v>
      </c>
      <c r="B900" s="1" t="s">
        <v>1250</v>
      </c>
      <c r="C900" s="2">
        <v>45204.84652777778</v>
      </c>
      <c r="D900" s="3">
        <v>45204.84652777778</v>
      </c>
      <c r="E900">
        <v>16</v>
      </c>
      <c r="F900" s="1" t="s">
        <v>737</v>
      </c>
      <c r="G900" t="str">
        <f>IFERROR(VLOOKUP(Logs_Registre[[#This Row],[Cell_ID]],Registre_Maintenance[],2,FALSE),"")</f>
        <v/>
      </c>
      <c r="H900" t="str">
        <f>IFERROR(VLOOKUP(Logs_Registre[[#This Row],[Cell_ID]],Registre_Maintenance[],3,FALSE),"")</f>
        <v/>
      </c>
      <c r="I900" t="str">
        <f>IFERROR(VLOOKUP(Logs_Registre[[#This Row],[Cell_ID]],Registre_Maintenance[],4,FALSE),"")</f>
        <v/>
      </c>
      <c r="J900" t="str">
        <f>IFERROR(VLOOKUP(Logs_Registre[[#This Row],[Cell_ID]],Registre_Maintenance[],5,FALSE),"")</f>
        <v/>
      </c>
      <c r="K900" t="str">
        <f>IFERROR(VLOOKUP(Logs_Registre[[#This Row],[Cell_ID]],Registre_Maintenance[],6,FALSE),"")</f>
        <v/>
      </c>
    </row>
    <row r="901" spans="1:11" x14ac:dyDescent="0.25">
      <c r="A901" s="1" t="s">
        <v>861</v>
      </c>
      <c r="B901" s="1" t="s">
        <v>863</v>
      </c>
      <c r="C901" s="2">
        <v>45204.81527777778</v>
      </c>
      <c r="D901" s="3">
        <v>45204.81527777778</v>
      </c>
      <c r="E901">
        <v>71</v>
      </c>
      <c r="F901" s="1" t="s">
        <v>737</v>
      </c>
      <c r="G901" t="str">
        <f>IFERROR(VLOOKUP(Logs_Registre[[#This Row],[Cell_ID]],Registre_Maintenance[],2,FALSE),"")</f>
        <v>Kasai-Central</v>
      </c>
      <c r="H901">
        <f>IFERROR(VLOOKUP(Logs_Registre[[#This Row],[Cell_ID]],Registre_Maintenance[],3,FALSE),"")</f>
        <v>-10.414493</v>
      </c>
      <c r="I901">
        <f>IFERROR(VLOOKUP(Logs_Registre[[#This Row],[Cell_ID]],Registre_Maintenance[],4,FALSE),"")</f>
        <v>12.333356999999999</v>
      </c>
      <c r="J901" t="str">
        <f>IFERROR(VLOOKUP(Logs_Registre[[#This Row],[Cell_ID]],Registre_Maintenance[],5,FALSE),"")</f>
        <v>3G</v>
      </c>
      <c r="K901" t="str">
        <f>IFERROR(VLOOKUP(Logs_Registre[[#This Row],[Cell_ID]],Registre_Maintenance[],6,FALSE),"")</f>
        <v>Ericsson</v>
      </c>
    </row>
    <row r="902" spans="1:11" x14ac:dyDescent="0.25">
      <c r="A902" s="1" t="s">
        <v>1219</v>
      </c>
      <c r="B902" s="1" t="s">
        <v>1240</v>
      </c>
      <c r="C902" s="2">
        <v>45204.76666666667</v>
      </c>
      <c r="D902" s="3">
        <v>45204.76666666667</v>
      </c>
      <c r="E902">
        <v>9</v>
      </c>
      <c r="F902" s="1" t="s">
        <v>737</v>
      </c>
      <c r="G902" t="str">
        <f>IFERROR(VLOOKUP(Logs_Registre[[#This Row],[Cell_ID]],Registre_Maintenance[],2,FALSE),"")</f>
        <v>Kasai-Central</v>
      </c>
      <c r="H902">
        <f>IFERROR(VLOOKUP(Logs_Registre[[#This Row],[Cell_ID]],Registre_Maintenance[],3,FALSE),"")</f>
        <v>-12.560556999999999</v>
      </c>
      <c r="I902">
        <f>IFERROR(VLOOKUP(Logs_Registre[[#This Row],[Cell_ID]],Registre_Maintenance[],4,FALSE),"")</f>
        <v>13.204014000000001</v>
      </c>
      <c r="J902" t="str">
        <f>IFERROR(VLOOKUP(Logs_Registre[[#This Row],[Cell_ID]],Registre_Maintenance[],5,FALSE),"")</f>
        <v>4G</v>
      </c>
      <c r="K902" t="str">
        <f>IFERROR(VLOOKUP(Logs_Registre[[#This Row],[Cell_ID]],Registre_Maintenance[],6,FALSE),"")</f>
        <v>Ericsson</v>
      </c>
    </row>
    <row r="903" spans="1:11" x14ac:dyDescent="0.25">
      <c r="A903" s="1" t="s">
        <v>978</v>
      </c>
      <c r="B903" s="1" t="s">
        <v>992</v>
      </c>
      <c r="C903" s="2">
        <v>45204.759027777778</v>
      </c>
      <c r="D903" s="3">
        <v>45204.759027777778</v>
      </c>
      <c r="E903">
        <v>105</v>
      </c>
      <c r="F903" s="1" t="s">
        <v>737</v>
      </c>
      <c r="G903" t="str">
        <f>IFERROR(VLOOKUP(Logs_Registre[[#This Row],[Cell_ID]],Registre_Maintenance[],2,FALSE),"")</f>
        <v/>
      </c>
      <c r="H903" t="str">
        <f>IFERROR(VLOOKUP(Logs_Registre[[#This Row],[Cell_ID]],Registre_Maintenance[],3,FALSE),"")</f>
        <v/>
      </c>
      <c r="I903" t="str">
        <f>IFERROR(VLOOKUP(Logs_Registre[[#This Row],[Cell_ID]],Registre_Maintenance[],4,FALSE),"")</f>
        <v/>
      </c>
      <c r="J903" t="str">
        <f>IFERROR(VLOOKUP(Logs_Registre[[#This Row],[Cell_ID]],Registre_Maintenance[],5,FALSE),"")</f>
        <v/>
      </c>
      <c r="K903" t="str">
        <f>IFERROR(VLOOKUP(Logs_Registre[[#This Row],[Cell_ID]],Registre_Maintenance[],6,FALSE),"")</f>
        <v/>
      </c>
    </row>
    <row r="904" spans="1:11" x14ac:dyDescent="0.25">
      <c r="A904" s="1" t="s">
        <v>1138</v>
      </c>
      <c r="B904" s="1" t="s">
        <v>1161</v>
      </c>
      <c r="C904" s="2">
        <v>45204.68472222222</v>
      </c>
      <c r="D904" s="3">
        <v>45204.68472222222</v>
      </c>
      <c r="E904">
        <v>92</v>
      </c>
      <c r="F904" s="1" t="s">
        <v>732</v>
      </c>
      <c r="G904" t="str">
        <f>IFERROR(VLOOKUP(Logs_Registre[[#This Row],[Cell_ID]],Registre_Maintenance[],2,FALSE),"")</f>
        <v/>
      </c>
      <c r="H904" t="str">
        <f>IFERROR(VLOOKUP(Logs_Registre[[#This Row],[Cell_ID]],Registre_Maintenance[],3,FALSE),"")</f>
        <v/>
      </c>
      <c r="I904" t="str">
        <f>IFERROR(VLOOKUP(Logs_Registre[[#This Row],[Cell_ID]],Registre_Maintenance[],4,FALSE),"")</f>
        <v/>
      </c>
      <c r="J904" t="str">
        <f>IFERROR(VLOOKUP(Logs_Registre[[#This Row],[Cell_ID]],Registre_Maintenance[],5,FALSE),"")</f>
        <v/>
      </c>
      <c r="K904" t="str">
        <f>IFERROR(VLOOKUP(Logs_Registre[[#This Row],[Cell_ID]],Registre_Maintenance[],6,FALSE),"")</f>
        <v/>
      </c>
    </row>
    <row r="905" spans="1:11" x14ac:dyDescent="0.25">
      <c r="A905" s="1" t="s">
        <v>1361</v>
      </c>
      <c r="B905" s="1" t="s">
        <v>1070</v>
      </c>
      <c r="C905" s="2">
        <v>45204.665277777778</v>
      </c>
      <c r="D905" s="3">
        <v>45204.665277777778</v>
      </c>
      <c r="E905">
        <v>56</v>
      </c>
      <c r="F905" s="1" t="s">
        <v>732</v>
      </c>
      <c r="G905" t="str">
        <f>IFERROR(VLOOKUP(Logs_Registre[[#This Row],[Cell_ID]],Registre_Maintenance[],2,FALSE),"")</f>
        <v/>
      </c>
      <c r="H905" t="str">
        <f>IFERROR(VLOOKUP(Logs_Registre[[#This Row],[Cell_ID]],Registre_Maintenance[],3,FALSE),"")</f>
        <v/>
      </c>
      <c r="I905" t="str">
        <f>IFERROR(VLOOKUP(Logs_Registre[[#This Row],[Cell_ID]],Registre_Maintenance[],4,FALSE),"")</f>
        <v/>
      </c>
      <c r="J905" t="str">
        <f>IFERROR(VLOOKUP(Logs_Registre[[#This Row],[Cell_ID]],Registre_Maintenance[],5,FALSE),"")</f>
        <v/>
      </c>
      <c r="K905" t="str">
        <f>IFERROR(VLOOKUP(Logs_Registre[[#This Row],[Cell_ID]],Registre_Maintenance[],6,FALSE),"")</f>
        <v/>
      </c>
    </row>
    <row r="906" spans="1:11" x14ac:dyDescent="0.25">
      <c r="A906" s="1" t="s">
        <v>1382</v>
      </c>
      <c r="B906" s="1" t="s">
        <v>1384</v>
      </c>
      <c r="C906" s="2">
        <v>45204.625</v>
      </c>
      <c r="D906" s="3">
        <v>45204.625</v>
      </c>
      <c r="E906">
        <v>94</v>
      </c>
      <c r="F906" s="1" t="s">
        <v>737</v>
      </c>
      <c r="G906" t="str">
        <f>IFERROR(VLOOKUP(Logs_Registre[[#This Row],[Cell_ID]],Registre_Maintenance[],2,FALSE),"")</f>
        <v>Bas-Uele</v>
      </c>
      <c r="H906">
        <f>IFERROR(VLOOKUP(Logs_Registre[[#This Row],[Cell_ID]],Registre_Maintenance[],3,FALSE),"")</f>
        <v>-1.6893210000000001</v>
      </c>
      <c r="I906">
        <f>IFERROR(VLOOKUP(Logs_Registre[[#This Row],[Cell_ID]],Registre_Maintenance[],4,FALSE),"")</f>
        <v>30.446543999999999</v>
      </c>
      <c r="J906" t="str">
        <f>IFERROR(VLOOKUP(Logs_Registre[[#This Row],[Cell_ID]],Registre_Maintenance[],5,FALSE),"")</f>
        <v>4G</v>
      </c>
      <c r="K906" t="str">
        <f>IFERROR(VLOOKUP(Logs_Registre[[#This Row],[Cell_ID]],Registre_Maintenance[],6,FALSE),"")</f>
        <v>Huawei</v>
      </c>
    </row>
    <row r="907" spans="1:11" x14ac:dyDescent="0.25">
      <c r="A907" s="1" t="s">
        <v>1138</v>
      </c>
      <c r="B907" s="1" t="s">
        <v>1148</v>
      </c>
      <c r="C907" s="2">
        <v>45204.615972222222</v>
      </c>
      <c r="D907" s="3">
        <v>45204.615972222222</v>
      </c>
      <c r="E907">
        <v>41</v>
      </c>
      <c r="F907" s="1" t="s">
        <v>737</v>
      </c>
      <c r="G907" t="str">
        <f>IFERROR(VLOOKUP(Logs_Registre[[#This Row],[Cell_ID]],Registre_Maintenance[],2,FALSE),"")</f>
        <v>Kinshasa</v>
      </c>
      <c r="H907">
        <f>IFERROR(VLOOKUP(Logs_Registre[[#This Row],[Cell_ID]],Registre_Maintenance[],3,FALSE),"")</f>
        <v>1.3006180000000001</v>
      </c>
      <c r="I907">
        <f>IFERROR(VLOOKUP(Logs_Registre[[#This Row],[Cell_ID]],Registre_Maintenance[],4,FALSE),"")</f>
        <v>29.060970999999999</v>
      </c>
      <c r="J907" t="str">
        <f>IFERROR(VLOOKUP(Logs_Registre[[#This Row],[Cell_ID]],Registre_Maintenance[],5,FALSE),"")</f>
        <v>3G</v>
      </c>
      <c r="K907" t="str">
        <f>IFERROR(VLOOKUP(Logs_Registre[[#This Row],[Cell_ID]],Registre_Maintenance[],6,FALSE),"")</f>
        <v>ZTE</v>
      </c>
    </row>
    <row r="908" spans="1:11" x14ac:dyDescent="0.25">
      <c r="A908" s="1" t="s">
        <v>861</v>
      </c>
      <c r="B908" s="1" t="s">
        <v>869</v>
      </c>
      <c r="C908" s="2">
        <v>45204.59097222222</v>
      </c>
      <c r="D908" s="3">
        <v>45204.59097222222</v>
      </c>
      <c r="E908">
        <v>108</v>
      </c>
      <c r="F908" s="1" t="s">
        <v>735</v>
      </c>
      <c r="G908" t="str">
        <f>IFERROR(VLOOKUP(Logs_Registre[[#This Row],[Cell_ID]],Registre_Maintenance[],2,FALSE),"")</f>
        <v>Kwilu</v>
      </c>
      <c r="H908">
        <f>IFERROR(VLOOKUP(Logs_Registre[[#This Row],[Cell_ID]],Registre_Maintenance[],3,FALSE),"")</f>
        <v>-8.5675749999999997</v>
      </c>
      <c r="I908">
        <f>IFERROR(VLOOKUP(Logs_Registre[[#This Row],[Cell_ID]],Registre_Maintenance[],4,FALSE),"")</f>
        <v>26.994581</v>
      </c>
      <c r="J908" t="str">
        <f>IFERROR(VLOOKUP(Logs_Registre[[#This Row],[Cell_ID]],Registre_Maintenance[],5,FALSE),"")</f>
        <v>3G</v>
      </c>
      <c r="K908" t="str">
        <f>IFERROR(VLOOKUP(Logs_Registre[[#This Row],[Cell_ID]],Registre_Maintenance[],6,FALSE),"")</f>
        <v>Nokia</v>
      </c>
    </row>
    <row r="909" spans="1:11" x14ac:dyDescent="0.25">
      <c r="A909" s="1" t="s">
        <v>1114</v>
      </c>
      <c r="B909" s="1" t="s">
        <v>878</v>
      </c>
      <c r="C909" s="2">
        <v>45204.572222222218</v>
      </c>
      <c r="D909" s="3">
        <v>45204.572222222218</v>
      </c>
      <c r="E909">
        <v>88</v>
      </c>
      <c r="F909" s="1" t="s">
        <v>737</v>
      </c>
      <c r="G909" t="str">
        <f>IFERROR(VLOOKUP(Logs_Registre[[#This Row],[Cell_ID]],Registre_Maintenance[],2,FALSE),"")</f>
        <v>Kasai-Central</v>
      </c>
      <c r="H909">
        <f>IFERROR(VLOOKUP(Logs_Registre[[#This Row],[Cell_ID]],Registre_Maintenance[],3,FALSE),"")</f>
        <v>-3.111418</v>
      </c>
      <c r="I909">
        <f>IFERROR(VLOOKUP(Logs_Registre[[#This Row],[Cell_ID]],Registre_Maintenance[],4,FALSE),"")</f>
        <v>14.144854</v>
      </c>
      <c r="J909" t="str">
        <f>IFERROR(VLOOKUP(Logs_Registre[[#This Row],[Cell_ID]],Registre_Maintenance[],5,FALSE),"")</f>
        <v>4G</v>
      </c>
      <c r="K909" t="str">
        <f>IFERROR(VLOOKUP(Logs_Registre[[#This Row],[Cell_ID]],Registre_Maintenance[],6,FALSE),"")</f>
        <v>ZTE</v>
      </c>
    </row>
    <row r="910" spans="1:11" x14ac:dyDescent="0.25">
      <c r="A910" s="1" t="s">
        <v>978</v>
      </c>
      <c r="B910" s="1" t="s">
        <v>982</v>
      </c>
      <c r="C910" s="2">
        <v>45204.570138888892</v>
      </c>
      <c r="D910" s="3">
        <v>45204.570138888892</v>
      </c>
      <c r="E910">
        <v>13</v>
      </c>
      <c r="F910" s="1" t="s">
        <v>737</v>
      </c>
      <c r="G910" t="str">
        <f>IFERROR(VLOOKUP(Logs_Registre[[#This Row],[Cell_ID]],Registre_Maintenance[],2,FALSE),"")</f>
        <v/>
      </c>
      <c r="H910" t="str">
        <f>IFERROR(VLOOKUP(Logs_Registre[[#This Row],[Cell_ID]],Registre_Maintenance[],3,FALSE),"")</f>
        <v/>
      </c>
      <c r="I910" t="str">
        <f>IFERROR(VLOOKUP(Logs_Registre[[#This Row],[Cell_ID]],Registre_Maintenance[],4,FALSE),"")</f>
        <v/>
      </c>
      <c r="J910" t="str">
        <f>IFERROR(VLOOKUP(Logs_Registre[[#This Row],[Cell_ID]],Registre_Maintenance[],5,FALSE),"")</f>
        <v/>
      </c>
      <c r="K910" t="str">
        <f>IFERROR(VLOOKUP(Logs_Registre[[#This Row],[Cell_ID]],Registre_Maintenance[],6,FALSE),"")</f>
        <v/>
      </c>
    </row>
    <row r="911" spans="1:11" x14ac:dyDescent="0.25">
      <c r="A911" s="1" t="s">
        <v>1288</v>
      </c>
      <c r="B911" s="1" t="s">
        <v>956</v>
      </c>
      <c r="C911" s="2">
        <v>45204.55</v>
      </c>
      <c r="D911" s="3">
        <v>45204.55</v>
      </c>
      <c r="E911">
        <v>113</v>
      </c>
      <c r="F911" s="1" t="s">
        <v>735</v>
      </c>
      <c r="G911" t="str">
        <f>IFERROR(VLOOKUP(Logs_Registre[[#This Row],[Cell_ID]],Registre_Maintenance[],2,FALSE),"")</f>
        <v>Kongo-Central</v>
      </c>
      <c r="H911">
        <f>IFERROR(VLOOKUP(Logs_Registre[[#This Row],[Cell_ID]],Registre_Maintenance[],3,FALSE),"")</f>
        <v>2.975352</v>
      </c>
      <c r="I911">
        <f>IFERROR(VLOOKUP(Logs_Registre[[#This Row],[Cell_ID]],Registre_Maintenance[],4,FALSE),"")</f>
        <v>22.535886000000001</v>
      </c>
      <c r="J911" t="str">
        <f>IFERROR(VLOOKUP(Logs_Registre[[#This Row],[Cell_ID]],Registre_Maintenance[],5,FALSE),"")</f>
        <v>4G</v>
      </c>
      <c r="K911" t="str">
        <f>IFERROR(VLOOKUP(Logs_Registre[[#This Row],[Cell_ID]],Registre_Maintenance[],6,FALSE),"")</f>
        <v>Huawei</v>
      </c>
    </row>
    <row r="912" spans="1:11" x14ac:dyDescent="0.25">
      <c r="A912" s="1" t="s">
        <v>1193</v>
      </c>
      <c r="B912" s="1" t="s">
        <v>900</v>
      </c>
      <c r="C912" s="2">
        <v>45204.53125</v>
      </c>
      <c r="D912" s="3">
        <v>45204.53125</v>
      </c>
      <c r="E912">
        <v>47</v>
      </c>
      <c r="F912" s="1" t="s">
        <v>732</v>
      </c>
      <c r="G912" t="str">
        <f>IFERROR(VLOOKUP(Logs_Registre[[#This Row],[Cell_ID]],Registre_Maintenance[],2,FALSE),"")</f>
        <v>Nord-Kivu</v>
      </c>
      <c r="H912">
        <f>IFERROR(VLOOKUP(Logs_Registre[[#This Row],[Cell_ID]],Registre_Maintenance[],3,FALSE),"")</f>
        <v>-12.336202</v>
      </c>
      <c r="I912">
        <f>IFERROR(VLOOKUP(Logs_Registre[[#This Row],[Cell_ID]],Registre_Maintenance[],4,FALSE),"")</f>
        <v>13.693683999999999</v>
      </c>
      <c r="J912" t="str">
        <f>IFERROR(VLOOKUP(Logs_Registre[[#This Row],[Cell_ID]],Registre_Maintenance[],5,FALSE),"")</f>
        <v>5G</v>
      </c>
      <c r="K912" t="str">
        <f>IFERROR(VLOOKUP(Logs_Registre[[#This Row],[Cell_ID]],Registre_Maintenance[],6,FALSE),"")</f>
        <v>Huawei</v>
      </c>
    </row>
    <row r="913" spans="1:11" x14ac:dyDescent="0.25">
      <c r="A913" s="1" t="s">
        <v>1024</v>
      </c>
      <c r="B913" s="1" t="s">
        <v>1044</v>
      </c>
      <c r="C913" s="2">
        <v>45204.47152777778</v>
      </c>
      <c r="D913" s="3">
        <v>45204.47152777778</v>
      </c>
      <c r="E913">
        <v>10</v>
      </c>
      <c r="F913" s="1" t="s">
        <v>732</v>
      </c>
      <c r="G913" t="str">
        <f>IFERROR(VLOOKUP(Logs_Registre[[#This Row],[Cell_ID]],Registre_Maintenance[],2,FALSE),"")</f>
        <v>Nord-Kivu</v>
      </c>
      <c r="H913">
        <f>IFERROR(VLOOKUP(Logs_Registre[[#This Row],[Cell_ID]],Registre_Maintenance[],3,FALSE),"")</f>
        <v>4.9455159999999996</v>
      </c>
      <c r="I913">
        <f>IFERROR(VLOOKUP(Logs_Registre[[#This Row],[Cell_ID]],Registre_Maintenance[],4,FALSE),"")</f>
        <v>23.647746000000001</v>
      </c>
      <c r="J913" t="str">
        <f>IFERROR(VLOOKUP(Logs_Registre[[#This Row],[Cell_ID]],Registre_Maintenance[],5,FALSE),"")</f>
        <v>5G</v>
      </c>
      <c r="K913" t="str">
        <f>IFERROR(VLOOKUP(Logs_Registre[[#This Row],[Cell_ID]],Registre_Maintenance[],6,FALSE),"")</f>
        <v>Huawei</v>
      </c>
    </row>
    <row r="914" spans="1:11" x14ac:dyDescent="0.25">
      <c r="A914" s="1" t="s">
        <v>1165</v>
      </c>
      <c r="B914" s="1" t="s">
        <v>884</v>
      </c>
      <c r="C914" s="2">
        <v>45204.39166666667</v>
      </c>
      <c r="D914" s="3">
        <v>45204.39166666667</v>
      </c>
      <c r="E914">
        <v>98</v>
      </c>
      <c r="F914" s="1" t="s">
        <v>737</v>
      </c>
      <c r="G914" t="str">
        <f>IFERROR(VLOOKUP(Logs_Registre[[#This Row],[Cell_ID]],Registre_Maintenance[],2,FALSE),"")</f>
        <v/>
      </c>
      <c r="H914" t="str">
        <f>IFERROR(VLOOKUP(Logs_Registre[[#This Row],[Cell_ID]],Registre_Maintenance[],3,FALSE),"")</f>
        <v/>
      </c>
      <c r="I914" t="str">
        <f>IFERROR(VLOOKUP(Logs_Registre[[#This Row],[Cell_ID]],Registre_Maintenance[],4,FALSE),"")</f>
        <v/>
      </c>
      <c r="J914" t="str">
        <f>IFERROR(VLOOKUP(Logs_Registre[[#This Row],[Cell_ID]],Registre_Maintenance[],5,FALSE),"")</f>
        <v/>
      </c>
      <c r="K914" t="str">
        <f>IFERROR(VLOOKUP(Logs_Registre[[#This Row],[Cell_ID]],Registre_Maintenance[],6,FALSE),"")</f>
        <v/>
      </c>
    </row>
    <row r="915" spans="1:11" x14ac:dyDescent="0.25">
      <c r="A915" s="1" t="s">
        <v>730</v>
      </c>
      <c r="B915" s="1" t="s">
        <v>777</v>
      </c>
      <c r="C915" s="2">
        <v>45204.338888888888</v>
      </c>
      <c r="D915" s="3">
        <v>45204.338888888888</v>
      </c>
      <c r="E915">
        <v>60</v>
      </c>
      <c r="F915" s="1" t="s">
        <v>732</v>
      </c>
      <c r="G915" t="str">
        <f>IFERROR(VLOOKUP(Logs_Registre[[#This Row],[Cell_ID]],Registre_Maintenance[],2,FALSE),"")</f>
        <v/>
      </c>
      <c r="H915" t="str">
        <f>IFERROR(VLOOKUP(Logs_Registre[[#This Row],[Cell_ID]],Registre_Maintenance[],3,FALSE),"")</f>
        <v/>
      </c>
      <c r="I915" t="str">
        <f>IFERROR(VLOOKUP(Logs_Registre[[#This Row],[Cell_ID]],Registre_Maintenance[],4,FALSE),"")</f>
        <v/>
      </c>
      <c r="J915" t="str">
        <f>IFERROR(VLOOKUP(Logs_Registre[[#This Row],[Cell_ID]],Registre_Maintenance[],5,FALSE),"")</f>
        <v/>
      </c>
      <c r="K915" t="str">
        <f>IFERROR(VLOOKUP(Logs_Registre[[#This Row],[Cell_ID]],Registre_Maintenance[],6,FALSE),"")</f>
        <v/>
      </c>
    </row>
    <row r="916" spans="1:11" x14ac:dyDescent="0.25">
      <c r="A916" s="1" t="s">
        <v>939</v>
      </c>
      <c r="B916" s="1" t="s">
        <v>966</v>
      </c>
      <c r="C916" s="2">
        <v>45204.314583333333</v>
      </c>
      <c r="D916" s="3">
        <v>45204.314583333333</v>
      </c>
      <c r="E916">
        <v>120</v>
      </c>
      <c r="F916" s="1" t="s">
        <v>735</v>
      </c>
      <c r="G916" t="str">
        <f>IFERROR(VLOOKUP(Logs_Registre[[#This Row],[Cell_ID]],Registre_Maintenance[],2,FALSE),"")</f>
        <v/>
      </c>
      <c r="H916" t="str">
        <f>IFERROR(VLOOKUP(Logs_Registre[[#This Row],[Cell_ID]],Registre_Maintenance[],3,FALSE),"")</f>
        <v/>
      </c>
      <c r="I916" t="str">
        <f>IFERROR(VLOOKUP(Logs_Registre[[#This Row],[Cell_ID]],Registre_Maintenance[],4,FALSE),"")</f>
        <v/>
      </c>
      <c r="J916" t="str">
        <f>IFERROR(VLOOKUP(Logs_Registre[[#This Row],[Cell_ID]],Registre_Maintenance[],5,FALSE),"")</f>
        <v/>
      </c>
      <c r="K916" t="str">
        <f>IFERROR(VLOOKUP(Logs_Registre[[#This Row],[Cell_ID]],Registre_Maintenance[],6,FALSE),"")</f>
        <v/>
      </c>
    </row>
    <row r="917" spans="1:11" x14ac:dyDescent="0.25">
      <c r="A917" s="1" t="s">
        <v>861</v>
      </c>
      <c r="B917" s="1" t="s">
        <v>879</v>
      </c>
      <c r="C917" s="2">
        <v>45204.297222222223</v>
      </c>
      <c r="D917" s="3">
        <v>45204.297222222223</v>
      </c>
      <c r="E917">
        <v>111</v>
      </c>
      <c r="F917" s="1" t="s">
        <v>735</v>
      </c>
      <c r="G917" t="str">
        <f>IFERROR(VLOOKUP(Logs_Registre[[#This Row],[Cell_ID]],Registre_Maintenance[],2,FALSE),"")</f>
        <v>Nord-Ubangi</v>
      </c>
      <c r="H917">
        <f>IFERROR(VLOOKUP(Logs_Registre[[#This Row],[Cell_ID]],Registre_Maintenance[],3,FALSE),"")</f>
        <v>-1.342476</v>
      </c>
      <c r="I917">
        <f>IFERROR(VLOOKUP(Logs_Registre[[#This Row],[Cell_ID]],Registre_Maintenance[],4,FALSE),"")</f>
        <v>15.986086</v>
      </c>
      <c r="J917" t="str">
        <f>IFERROR(VLOOKUP(Logs_Registre[[#This Row],[Cell_ID]],Registre_Maintenance[],5,FALSE),"")</f>
        <v>4G</v>
      </c>
      <c r="K917" t="str">
        <f>IFERROR(VLOOKUP(Logs_Registre[[#This Row],[Cell_ID]],Registre_Maintenance[],6,FALSE),"")</f>
        <v>Ericsson</v>
      </c>
    </row>
    <row r="918" spans="1:11" x14ac:dyDescent="0.25">
      <c r="A918" s="1" t="s">
        <v>730</v>
      </c>
      <c r="B918" s="1" t="s">
        <v>749</v>
      </c>
      <c r="C918" s="2">
        <v>45204.283333333333</v>
      </c>
      <c r="D918" s="3">
        <v>45204.283333333333</v>
      </c>
      <c r="E918">
        <v>11</v>
      </c>
      <c r="F918" s="1" t="s">
        <v>737</v>
      </c>
      <c r="G918" t="str">
        <f>IFERROR(VLOOKUP(Logs_Registre[[#This Row],[Cell_ID]],Registre_Maintenance[],2,FALSE),"")</f>
        <v>Lomami</v>
      </c>
      <c r="H918">
        <f>IFERROR(VLOOKUP(Logs_Registre[[#This Row],[Cell_ID]],Registre_Maintenance[],3,FALSE),"")</f>
        <v>-2.2371569999999998</v>
      </c>
      <c r="I918">
        <f>IFERROR(VLOOKUP(Logs_Registre[[#This Row],[Cell_ID]],Registre_Maintenance[],4,FALSE),"")</f>
        <v>25.926188</v>
      </c>
      <c r="J918" t="str">
        <f>IFERROR(VLOOKUP(Logs_Registre[[#This Row],[Cell_ID]],Registre_Maintenance[],5,FALSE),"")</f>
        <v>3G</v>
      </c>
      <c r="K918" t="str">
        <f>IFERROR(VLOOKUP(Logs_Registre[[#This Row],[Cell_ID]],Registre_Maintenance[],6,FALSE),"")</f>
        <v>Nokia</v>
      </c>
    </row>
    <row r="919" spans="1:11" x14ac:dyDescent="0.25">
      <c r="A919" s="1" t="s">
        <v>1165</v>
      </c>
      <c r="B919" s="1" t="s">
        <v>1117</v>
      </c>
      <c r="C919" s="2">
        <v>45204.26458333333</v>
      </c>
      <c r="D919" s="3">
        <v>45204.26458333333</v>
      </c>
      <c r="E919">
        <v>90</v>
      </c>
      <c r="F919" s="1" t="s">
        <v>737</v>
      </c>
      <c r="G919" t="str">
        <f>IFERROR(VLOOKUP(Logs_Registre[[#This Row],[Cell_ID]],Registre_Maintenance[],2,FALSE),"")</f>
        <v>Lualaba</v>
      </c>
      <c r="H919">
        <f>IFERROR(VLOOKUP(Logs_Registre[[#This Row],[Cell_ID]],Registre_Maintenance[],3,FALSE),"")</f>
        <v>2.0392079999999999</v>
      </c>
      <c r="I919">
        <f>IFERROR(VLOOKUP(Logs_Registre[[#This Row],[Cell_ID]],Registre_Maintenance[],4,FALSE),"")</f>
        <v>19.090841999999999</v>
      </c>
      <c r="J919" t="str">
        <f>IFERROR(VLOOKUP(Logs_Registre[[#This Row],[Cell_ID]],Registre_Maintenance[],5,FALSE),"")</f>
        <v>4G</v>
      </c>
      <c r="K919" t="str">
        <f>IFERROR(VLOOKUP(Logs_Registre[[#This Row],[Cell_ID]],Registre_Maintenance[],6,FALSE),"")</f>
        <v>Nokia</v>
      </c>
    </row>
    <row r="920" spans="1:11" x14ac:dyDescent="0.25">
      <c r="A920" s="1" t="s">
        <v>1086</v>
      </c>
      <c r="B920" s="1" t="s">
        <v>956</v>
      </c>
      <c r="C920" s="2">
        <v>45204.237500000003</v>
      </c>
      <c r="D920" s="3">
        <v>45204.237500000003</v>
      </c>
      <c r="E920">
        <v>21</v>
      </c>
      <c r="F920" s="1" t="s">
        <v>735</v>
      </c>
      <c r="G920" t="str">
        <f>IFERROR(VLOOKUP(Logs_Registre[[#This Row],[Cell_ID]],Registre_Maintenance[],2,FALSE),"")</f>
        <v>Kongo-Central</v>
      </c>
      <c r="H920">
        <f>IFERROR(VLOOKUP(Logs_Registre[[#This Row],[Cell_ID]],Registre_Maintenance[],3,FALSE),"")</f>
        <v>2.975352</v>
      </c>
      <c r="I920">
        <f>IFERROR(VLOOKUP(Logs_Registre[[#This Row],[Cell_ID]],Registre_Maintenance[],4,FALSE),"")</f>
        <v>22.535886000000001</v>
      </c>
      <c r="J920" t="str">
        <f>IFERROR(VLOOKUP(Logs_Registre[[#This Row],[Cell_ID]],Registre_Maintenance[],5,FALSE),"")</f>
        <v>4G</v>
      </c>
      <c r="K920" t="str">
        <f>IFERROR(VLOOKUP(Logs_Registre[[#This Row],[Cell_ID]],Registre_Maintenance[],6,FALSE),"")</f>
        <v>Huawei</v>
      </c>
    </row>
    <row r="921" spans="1:11" x14ac:dyDescent="0.25">
      <c r="A921" s="1" t="s">
        <v>902</v>
      </c>
      <c r="B921" s="1" t="s">
        <v>908</v>
      </c>
      <c r="C921" s="2">
        <v>45204.20208333333</v>
      </c>
      <c r="D921" s="3">
        <v>45204.20208333333</v>
      </c>
      <c r="E921">
        <v>10</v>
      </c>
      <c r="F921" s="1" t="s">
        <v>732</v>
      </c>
      <c r="G921" t="str">
        <f>IFERROR(VLOOKUP(Logs_Registre[[#This Row],[Cell_ID]],Registre_Maintenance[],2,FALSE),"")</f>
        <v/>
      </c>
      <c r="H921" t="str">
        <f>IFERROR(VLOOKUP(Logs_Registre[[#This Row],[Cell_ID]],Registre_Maintenance[],3,FALSE),"")</f>
        <v/>
      </c>
      <c r="I921" t="str">
        <f>IFERROR(VLOOKUP(Logs_Registre[[#This Row],[Cell_ID]],Registre_Maintenance[],4,FALSE),"")</f>
        <v/>
      </c>
      <c r="J921" t="str">
        <f>IFERROR(VLOOKUP(Logs_Registre[[#This Row],[Cell_ID]],Registre_Maintenance[],5,FALSE),"")</f>
        <v/>
      </c>
      <c r="K921" t="str">
        <f>IFERROR(VLOOKUP(Logs_Registre[[#This Row],[Cell_ID]],Registre_Maintenance[],6,FALSE),"")</f>
        <v/>
      </c>
    </row>
    <row r="922" spans="1:11" x14ac:dyDescent="0.25">
      <c r="A922" s="1" t="s">
        <v>1288</v>
      </c>
      <c r="B922" s="1" t="s">
        <v>1200</v>
      </c>
      <c r="C922" s="2">
        <v>45204.122916666667</v>
      </c>
      <c r="D922" s="3">
        <v>45204.122916666667</v>
      </c>
      <c r="E922">
        <v>34</v>
      </c>
      <c r="F922" s="1" t="s">
        <v>732</v>
      </c>
      <c r="G922" t="str">
        <f>IFERROR(VLOOKUP(Logs_Registre[[#This Row],[Cell_ID]],Registre_Maintenance[],2,FALSE),"")</f>
        <v>Equateur</v>
      </c>
      <c r="H922">
        <f>IFERROR(VLOOKUP(Logs_Registre[[#This Row],[Cell_ID]],Registre_Maintenance[],3,FALSE),"")</f>
        <v>-6.1490739999999997</v>
      </c>
      <c r="I922">
        <f>IFERROR(VLOOKUP(Logs_Registre[[#This Row],[Cell_ID]],Registre_Maintenance[],4,FALSE),"")</f>
        <v>23.304411000000002</v>
      </c>
      <c r="J922" t="str">
        <f>IFERROR(VLOOKUP(Logs_Registre[[#This Row],[Cell_ID]],Registre_Maintenance[],5,FALSE),"")</f>
        <v>5G</v>
      </c>
      <c r="K922" t="str">
        <f>IFERROR(VLOOKUP(Logs_Registre[[#This Row],[Cell_ID]],Registre_Maintenance[],6,FALSE),"")</f>
        <v>ZTE</v>
      </c>
    </row>
    <row r="923" spans="1:11" x14ac:dyDescent="0.25">
      <c r="A923" s="1" t="s">
        <v>1193</v>
      </c>
      <c r="B923" s="1" t="s">
        <v>1208</v>
      </c>
      <c r="C923" s="2">
        <v>45204.09097222222</v>
      </c>
      <c r="D923" s="3">
        <v>45204.09097222222</v>
      </c>
      <c r="E923">
        <v>81</v>
      </c>
      <c r="F923" s="1" t="s">
        <v>732</v>
      </c>
      <c r="G923" t="str">
        <f>IFERROR(VLOOKUP(Logs_Registre[[#This Row],[Cell_ID]],Registre_Maintenance[],2,FALSE),"")</f>
        <v/>
      </c>
      <c r="H923" t="str">
        <f>IFERROR(VLOOKUP(Logs_Registre[[#This Row],[Cell_ID]],Registre_Maintenance[],3,FALSE),"")</f>
        <v/>
      </c>
      <c r="I923" t="str">
        <f>IFERROR(VLOOKUP(Logs_Registre[[#This Row],[Cell_ID]],Registre_Maintenance[],4,FALSE),"")</f>
        <v/>
      </c>
      <c r="J923" t="str">
        <f>IFERROR(VLOOKUP(Logs_Registre[[#This Row],[Cell_ID]],Registre_Maintenance[],5,FALSE),"")</f>
        <v/>
      </c>
      <c r="K923" t="str">
        <f>IFERROR(VLOOKUP(Logs_Registre[[#This Row],[Cell_ID]],Registre_Maintenance[],6,FALSE),"")</f>
        <v/>
      </c>
    </row>
    <row r="924" spans="1:11" x14ac:dyDescent="0.25">
      <c r="A924" s="1" t="s">
        <v>1193</v>
      </c>
      <c r="B924" s="1" t="s">
        <v>1216</v>
      </c>
      <c r="C924" s="2">
        <v>45204.090277777781</v>
      </c>
      <c r="D924" s="3">
        <v>45204.090277777781</v>
      </c>
      <c r="E924">
        <v>93</v>
      </c>
      <c r="F924" s="1" t="s">
        <v>737</v>
      </c>
      <c r="G924" t="str">
        <f>IFERROR(VLOOKUP(Logs_Registre[[#This Row],[Cell_ID]],Registre_Maintenance[],2,FALSE),"")</f>
        <v/>
      </c>
      <c r="H924" t="str">
        <f>IFERROR(VLOOKUP(Logs_Registre[[#This Row],[Cell_ID]],Registre_Maintenance[],3,FALSE),"")</f>
        <v/>
      </c>
      <c r="I924" t="str">
        <f>IFERROR(VLOOKUP(Logs_Registre[[#This Row],[Cell_ID]],Registre_Maintenance[],4,FALSE),"")</f>
        <v/>
      </c>
      <c r="J924" t="str">
        <f>IFERROR(VLOOKUP(Logs_Registre[[#This Row],[Cell_ID]],Registre_Maintenance[],5,FALSE),"")</f>
        <v/>
      </c>
      <c r="K924" t="str">
        <f>IFERROR(VLOOKUP(Logs_Registre[[#This Row],[Cell_ID]],Registre_Maintenance[],6,FALSE),"")</f>
        <v/>
      </c>
    </row>
    <row r="925" spans="1:11" x14ac:dyDescent="0.25">
      <c r="A925" s="1" t="s">
        <v>1165</v>
      </c>
      <c r="B925" s="1" t="s">
        <v>1187</v>
      </c>
      <c r="C925" s="2">
        <v>45204.011111111111</v>
      </c>
      <c r="D925" s="3">
        <v>45204.011111111111</v>
      </c>
      <c r="E925">
        <v>12</v>
      </c>
      <c r="F925" s="1" t="s">
        <v>735</v>
      </c>
      <c r="G925" t="str">
        <f>IFERROR(VLOOKUP(Logs_Registre[[#This Row],[Cell_ID]],Registre_Maintenance[],2,FALSE),"")</f>
        <v>Maniema</v>
      </c>
      <c r="H925">
        <f>IFERROR(VLOOKUP(Logs_Registre[[#This Row],[Cell_ID]],Registre_Maintenance[],3,FALSE),"")</f>
        <v>-1.6488929999999999</v>
      </c>
      <c r="I925">
        <f>IFERROR(VLOOKUP(Logs_Registre[[#This Row],[Cell_ID]],Registre_Maintenance[],4,FALSE),"")</f>
        <v>27.284617000000001</v>
      </c>
      <c r="J925" t="str">
        <f>IFERROR(VLOOKUP(Logs_Registre[[#This Row],[Cell_ID]],Registre_Maintenance[],5,FALSE),"")</f>
        <v>5G</v>
      </c>
      <c r="K925" t="str">
        <f>IFERROR(VLOOKUP(Logs_Registre[[#This Row],[Cell_ID]],Registre_Maintenance[],6,FALSE),"")</f>
        <v>Nokia</v>
      </c>
    </row>
    <row r="926" spans="1:11" x14ac:dyDescent="0.25">
      <c r="A926" s="1" t="s">
        <v>823</v>
      </c>
      <c r="B926" s="1" t="s">
        <v>839</v>
      </c>
      <c r="C926" s="2">
        <v>45203.997916666667</v>
      </c>
      <c r="D926" s="3">
        <v>45203.997916666667</v>
      </c>
      <c r="E926">
        <v>101</v>
      </c>
      <c r="F926" s="1" t="s">
        <v>737</v>
      </c>
      <c r="G926" t="str">
        <f>IFERROR(VLOOKUP(Logs_Registre[[#This Row],[Cell_ID]],Registre_Maintenance[],2,FALSE),"")</f>
        <v>Nord-Kivu</v>
      </c>
      <c r="H926">
        <f>IFERROR(VLOOKUP(Logs_Registre[[#This Row],[Cell_ID]],Registre_Maintenance[],3,FALSE),"")</f>
        <v>-6.3148239999999998</v>
      </c>
      <c r="I926">
        <f>IFERROR(VLOOKUP(Logs_Registre[[#This Row],[Cell_ID]],Registre_Maintenance[],4,FALSE),"")</f>
        <v>24.507498999999999</v>
      </c>
      <c r="J926" t="str">
        <f>IFERROR(VLOOKUP(Logs_Registre[[#This Row],[Cell_ID]],Registre_Maintenance[],5,FALSE),"")</f>
        <v>3G</v>
      </c>
      <c r="K926" t="str">
        <f>IFERROR(VLOOKUP(Logs_Registre[[#This Row],[Cell_ID]],Registre_Maintenance[],6,FALSE),"")</f>
        <v>ZTE</v>
      </c>
    </row>
    <row r="927" spans="1:11" x14ac:dyDescent="0.25">
      <c r="A927" s="1" t="s">
        <v>1165</v>
      </c>
      <c r="B927" s="1" t="s">
        <v>1179</v>
      </c>
      <c r="C927" s="2">
        <v>45203.991666666669</v>
      </c>
      <c r="D927" s="3">
        <v>45203.991666666669</v>
      </c>
      <c r="E927">
        <v>5</v>
      </c>
      <c r="F927" s="1" t="s">
        <v>737</v>
      </c>
      <c r="G927" t="str">
        <f>IFERROR(VLOOKUP(Logs_Registre[[#This Row],[Cell_ID]],Registre_Maintenance[],2,FALSE),"")</f>
        <v/>
      </c>
      <c r="H927" t="str">
        <f>IFERROR(VLOOKUP(Logs_Registre[[#This Row],[Cell_ID]],Registre_Maintenance[],3,FALSE),"")</f>
        <v/>
      </c>
      <c r="I927" t="str">
        <f>IFERROR(VLOOKUP(Logs_Registre[[#This Row],[Cell_ID]],Registre_Maintenance[],4,FALSE),"")</f>
        <v/>
      </c>
      <c r="J927" t="str">
        <f>IFERROR(VLOOKUP(Logs_Registre[[#This Row],[Cell_ID]],Registre_Maintenance[],5,FALSE),"")</f>
        <v/>
      </c>
      <c r="K927" t="str">
        <f>IFERROR(VLOOKUP(Logs_Registre[[#This Row],[Cell_ID]],Registre_Maintenance[],6,FALSE),"")</f>
        <v/>
      </c>
    </row>
    <row r="928" spans="1:11" x14ac:dyDescent="0.25">
      <c r="A928" s="1" t="s">
        <v>1308</v>
      </c>
      <c r="B928" s="1" t="s">
        <v>1317</v>
      </c>
      <c r="C928" s="2">
        <v>45203.958333333343</v>
      </c>
      <c r="D928" s="3">
        <v>45203.958333333343</v>
      </c>
      <c r="E928">
        <v>65</v>
      </c>
      <c r="F928" s="1" t="s">
        <v>737</v>
      </c>
      <c r="G928" t="str">
        <f>IFERROR(VLOOKUP(Logs_Registre[[#This Row],[Cell_ID]],Registre_Maintenance[],2,FALSE),"")</f>
        <v/>
      </c>
      <c r="H928" t="str">
        <f>IFERROR(VLOOKUP(Logs_Registre[[#This Row],[Cell_ID]],Registre_Maintenance[],3,FALSE),"")</f>
        <v/>
      </c>
      <c r="I928" t="str">
        <f>IFERROR(VLOOKUP(Logs_Registre[[#This Row],[Cell_ID]],Registre_Maintenance[],4,FALSE),"")</f>
        <v/>
      </c>
      <c r="J928" t="str">
        <f>IFERROR(VLOOKUP(Logs_Registre[[#This Row],[Cell_ID]],Registre_Maintenance[],5,FALSE),"")</f>
        <v/>
      </c>
      <c r="K928" t="str">
        <f>IFERROR(VLOOKUP(Logs_Registre[[#This Row],[Cell_ID]],Registre_Maintenance[],6,FALSE),"")</f>
        <v/>
      </c>
    </row>
    <row r="929" spans="1:11" x14ac:dyDescent="0.25">
      <c r="A929" s="1" t="s">
        <v>861</v>
      </c>
      <c r="B929" s="1" t="s">
        <v>892</v>
      </c>
      <c r="C929" s="2">
        <v>45203.950694444437</v>
      </c>
      <c r="D929" s="3">
        <v>45203.950694444437</v>
      </c>
      <c r="E929">
        <v>8</v>
      </c>
      <c r="F929" s="1" t="s">
        <v>735</v>
      </c>
      <c r="G929" t="str">
        <f>IFERROR(VLOOKUP(Logs_Registre[[#This Row],[Cell_ID]],Registre_Maintenance[],2,FALSE),"")</f>
        <v>Tshuapa</v>
      </c>
      <c r="H929">
        <f>IFERROR(VLOOKUP(Logs_Registre[[#This Row],[Cell_ID]],Registre_Maintenance[],3,FALSE),"")</f>
        <v>-0.79406600000000005</v>
      </c>
      <c r="I929">
        <f>IFERROR(VLOOKUP(Logs_Registre[[#This Row],[Cell_ID]],Registre_Maintenance[],4,FALSE),"")</f>
        <v>12.534793000000001</v>
      </c>
      <c r="J929" t="str">
        <f>IFERROR(VLOOKUP(Logs_Registre[[#This Row],[Cell_ID]],Registre_Maintenance[],5,FALSE),"")</f>
        <v>3G</v>
      </c>
      <c r="K929" t="str">
        <f>IFERROR(VLOOKUP(Logs_Registre[[#This Row],[Cell_ID]],Registre_Maintenance[],6,FALSE),"")</f>
        <v>Huawei</v>
      </c>
    </row>
    <row r="930" spans="1:11" x14ac:dyDescent="0.25">
      <c r="A930" s="1" t="s">
        <v>1219</v>
      </c>
      <c r="B930" s="1" t="s">
        <v>1198</v>
      </c>
      <c r="C930" s="2">
        <v>45203.910416666673</v>
      </c>
      <c r="D930" s="3">
        <v>45203.910416666673</v>
      </c>
      <c r="E930">
        <v>62</v>
      </c>
      <c r="F930" s="1" t="s">
        <v>732</v>
      </c>
      <c r="G930" t="str">
        <f>IFERROR(VLOOKUP(Logs_Registre[[#This Row],[Cell_ID]],Registre_Maintenance[],2,FALSE),"")</f>
        <v/>
      </c>
      <c r="H930" t="str">
        <f>IFERROR(VLOOKUP(Logs_Registre[[#This Row],[Cell_ID]],Registre_Maintenance[],3,FALSE),"")</f>
        <v/>
      </c>
      <c r="I930" t="str">
        <f>IFERROR(VLOOKUP(Logs_Registre[[#This Row],[Cell_ID]],Registre_Maintenance[],4,FALSE),"")</f>
        <v/>
      </c>
      <c r="J930" t="str">
        <f>IFERROR(VLOOKUP(Logs_Registre[[#This Row],[Cell_ID]],Registre_Maintenance[],5,FALSE),"")</f>
        <v/>
      </c>
      <c r="K930" t="str">
        <f>IFERROR(VLOOKUP(Logs_Registre[[#This Row],[Cell_ID]],Registre_Maintenance[],6,FALSE),"")</f>
        <v/>
      </c>
    </row>
    <row r="931" spans="1:11" x14ac:dyDescent="0.25">
      <c r="A931" s="1" t="s">
        <v>779</v>
      </c>
      <c r="B931" s="1" t="s">
        <v>783</v>
      </c>
      <c r="C931" s="2">
        <v>45203.893750000003</v>
      </c>
      <c r="D931" s="3">
        <v>45203.893750000003</v>
      </c>
      <c r="E931">
        <v>32</v>
      </c>
      <c r="F931" s="1" t="s">
        <v>732</v>
      </c>
      <c r="G931" t="str">
        <f>IFERROR(VLOOKUP(Logs_Registre[[#This Row],[Cell_ID]],Registre_Maintenance[],2,FALSE),"")</f>
        <v/>
      </c>
      <c r="H931" t="str">
        <f>IFERROR(VLOOKUP(Logs_Registre[[#This Row],[Cell_ID]],Registre_Maintenance[],3,FALSE),"")</f>
        <v/>
      </c>
      <c r="I931" t="str">
        <f>IFERROR(VLOOKUP(Logs_Registre[[#This Row],[Cell_ID]],Registre_Maintenance[],4,FALSE),"")</f>
        <v/>
      </c>
      <c r="J931" t="str">
        <f>IFERROR(VLOOKUP(Logs_Registre[[#This Row],[Cell_ID]],Registre_Maintenance[],5,FALSE),"")</f>
        <v/>
      </c>
      <c r="K931" t="str">
        <f>IFERROR(VLOOKUP(Logs_Registre[[#This Row],[Cell_ID]],Registre_Maintenance[],6,FALSE),"")</f>
        <v/>
      </c>
    </row>
    <row r="932" spans="1:11" x14ac:dyDescent="0.25">
      <c r="A932" s="1" t="s">
        <v>1345</v>
      </c>
      <c r="B932" s="1" t="s">
        <v>903</v>
      </c>
      <c r="C932" s="2">
        <v>45203.89166666667</v>
      </c>
      <c r="D932" s="3">
        <v>45203.89166666667</v>
      </c>
      <c r="E932">
        <v>7</v>
      </c>
      <c r="F932" s="1" t="s">
        <v>735</v>
      </c>
      <c r="G932" t="str">
        <f>IFERROR(VLOOKUP(Logs_Registre[[#This Row],[Cell_ID]],Registre_Maintenance[],2,FALSE),"")</f>
        <v/>
      </c>
      <c r="H932" t="str">
        <f>IFERROR(VLOOKUP(Logs_Registre[[#This Row],[Cell_ID]],Registre_Maintenance[],3,FALSE),"")</f>
        <v/>
      </c>
      <c r="I932" t="str">
        <f>IFERROR(VLOOKUP(Logs_Registre[[#This Row],[Cell_ID]],Registre_Maintenance[],4,FALSE),"")</f>
        <v/>
      </c>
      <c r="J932" t="str">
        <f>IFERROR(VLOOKUP(Logs_Registre[[#This Row],[Cell_ID]],Registre_Maintenance[],5,FALSE),"")</f>
        <v/>
      </c>
      <c r="K932" t="str">
        <f>IFERROR(VLOOKUP(Logs_Registre[[#This Row],[Cell_ID]],Registre_Maintenance[],6,FALSE),"")</f>
        <v/>
      </c>
    </row>
    <row r="933" spans="1:11" x14ac:dyDescent="0.25">
      <c r="A933" s="1" t="s">
        <v>1138</v>
      </c>
      <c r="B933" s="1" t="s">
        <v>1158</v>
      </c>
      <c r="C933" s="2">
        <v>45203.884027777778</v>
      </c>
      <c r="D933" s="3">
        <v>45203.884027777778</v>
      </c>
      <c r="E933">
        <v>116</v>
      </c>
      <c r="F933" s="1" t="s">
        <v>735</v>
      </c>
      <c r="G933" t="str">
        <f>IFERROR(VLOOKUP(Logs_Registre[[#This Row],[Cell_ID]],Registre_Maintenance[],2,FALSE),"")</f>
        <v/>
      </c>
      <c r="H933" t="str">
        <f>IFERROR(VLOOKUP(Logs_Registre[[#This Row],[Cell_ID]],Registre_Maintenance[],3,FALSE),"")</f>
        <v/>
      </c>
      <c r="I933" t="str">
        <f>IFERROR(VLOOKUP(Logs_Registre[[#This Row],[Cell_ID]],Registre_Maintenance[],4,FALSE),"")</f>
        <v/>
      </c>
      <c r="J933" t="str">
        <f>IFERROR(VLOOKUP(Logs_Registre[[#This Row],[Cell_ID]],Registre_Maintenance[],5,FALSE),"")</f>
        <v/>
      </c>
      <c r="K933" t="str">
        <f>IFERROR(VLOOKUP(Logs_Registre[[#This Row],[Cell_ID]],Registre_Maintenance[],6,FALSE),"")</f>
        <v/>
      </c>
    </row>
    <row r="934" spans="1:11" x14ac:dyDescent="0.25">
      <c r="A934" s="1" t="s">
        <v>939</v>
      </c>
      <c r="B934" s="1" t="s">
        <v>961</v>
      </c>
      <c r="C934" s="2">
        <v>45203.864583333343</v>
      </c>
      <c r="D934" s="3">
        <v>45203.864583333343</v>
      </c>
      <c r="E934">
        <v>100</v>
      </c>
      <c r="F934" s="1" t="s">
        <v>737</v>
      </c>
      <c r="G934" t="str">
        <f>IFERROR(VLOOKUP(Logs_Registre[[#This Row],[Cell_ID]],Registre_Maintenance[],2,FALSE),"")</f>
        <v/>
      </c>
      <c r="H934" t="str">
        <f>IFERROR(VLOOKUP(Logs_Registre[[#This Row],[Cell_ID]],Registre_Maintenance[],3,FALSE),"")</f>
        <v/>
      </c>
      <c r="I934" t="str">
        <f>IFERROR(VLOOKUP(Logs_Registre[[#This Row],[Cell_ID]],Registre_Maintenance[],4,FALSE),"")</f>
        <v/>
      </c>
      <c r="J934" t="str">
        <f>IFERROR(VLOOKUP(Logs_Registre[[#This Row],[Cell_ID]],Registre_Maintenance[],5,FALSE),"")</f>
        <v/>
      </c>
      <c r="K934" t="str">
        <f>IFERROR(VLOOKUP(Logs_Registre[[#This Row],[Cell_ID]],Registre_Maintenance[],6,FALSE),"")</f>
        <v/>
      </c>
    </row>
    <row r="935" spans="1:11" x14ac:dyDescent="0.25">
      <c r="A935" s="1" t="s">
        <v>823</v>
      </c>
      <c r="B935" s="1" t="s">
        <v>827</v>
      </c>
      <c r="C935" s="2">
        <v>45203.810416666667</v>
      </c>
      <c r="D935" s="3">
        <v>45203.810416666667</v>
      </c>
      <c r="E935">
        <v>78</v>
      </c>
      <c r="F935" s="1" t="s">
        <v>737</v>
      </c>
      <c r="G935" t="str">
        <f>IFERROR(VLOOKUP(Logs_Registre[[#This Row],[Cell_ID]],Registre_Maintenance[],2,FALSE),"")</f>
        <v/>
      </c>
      <c r="H935" t="str">
        <f>IFERROR(VLOOKUP(Logs_Registre[[#This Row],[Cell_ID]],Registre_Maintenance[],3,FALSE),"")</f>
        <v/>
      </c>
      <c r="I935" t="str">
        <f>IFERROR(VLOOKUP(Logs_Registre[[#This Row],[Cell_ID]],Registre_Maintenance[],4,FALSE),"")</f>
        <v/>
      </c>
      <c r="J935" t="str">
        <f>IFERROR(VLOOKUP(Logs_Registre[[#This Row],[Cell_ID]],Registre_Maintenance[],5,FALSE),"")</f>
        <v/>
      </c>
      <c r="K935" t="str">
        <f>IFERROR(VLOOKUP(Logs_Registre[[#This Row],[Cell_ID]],Registre_Maintenance[],6,FALSE),"")</f>
        <v/>
      </c>
    </row>
    <row r="936" spans="1:11" x14ac:dyDescent="0.25">
      <c r="A936" s="1" t="s">
        <v>779</v>
      </c>
      <c r="B936" s="1" t="s">
        <v>811</v>
      </c>
      <c r="C936" s="2">
        <v>45203.760416666657</v>
      </c>
      <c r="D936" s="3">
        <v>45203.760416666657</v>
      </c>
      <c r="E936">
        <v>18</v>
      </c>
      <c r="F936" s="1" t="s">
        <v>737</v>
      </c>
      <c r="G936" t="str">
        <f>IFERROR(VLOOKUP(Logs_Registre[[#This Row],[Cell_ID]],Registre_Maintenance[],2,FALSE),"")</f>
        <v>Nord-Ubangi</v>
      </c>
      <c r="H936">
        <f>IFERROR(VLOOKUP(Logs_Registre[[#This Row],[Cell_ID]],Registre_Maintenance[],3,FALSE),"")</f>
        <v>0.94539899999999999</v>
      </c>
      <c r="I936">
        <f>IFERROR(VLOOKUP(Logs_Registre[[#This Row],[Cell_ID]],Registre_Maintenance[],4,FALSE),"")</f>
        <v>14.401821999999999</v>
      </c>
      <c r="J936" t="str">
        <f>IFERROR(VLOOKUP(Logs_Registre[[#This Row],[Cell_ID]],Registre_Maintenance[],5,FALSE),"")</f>
        <v>5G</v>
      </c>
      <c r="K936" t="str">
        <f>IFERROR(VLOOKUP(Logs_Registre[[#This Row],[Cell_ID]],Registre_Maintenance[],6,FALSE),"")</f>
        <v>Nokia</v>
      </c>
    </row>
    <row r="937" spans="1:11" x14ac:dyDescent="0.25">
      <c r="A937" s="1" t="s">
        <v>861</v>
      </c>
      <c r="B937" s="1" t="s">
        <v>886</v>
      </c>
      <c r="C937" s="2">
        <v>45203.750694444447</v>
      </c>
      <c r="D937" s="3">
        <v>45203.750694444447</v>
      </c>
      <c r="E937">
        <v>64</v>
      </c>
      <c r="F937" s="1" t="s">
        <v>737</v>
      </c>
      <c r="G937" t="str">
        <f>IFERROR(VLOOKUP(Logs_Registre[[#This Row],[Cell_ID]],Registre_Maintenance[],2,FALSE),"")</f>
        <v>Maniema</v>
      </c>
      <c r="H937">
        <f>IFERROR(VLOOKUP(Logs_Registre[[#This Row],[Cell_ID]],Registre_Maintenance[],3,FALSE),"")</f>
        <v>-4.6818410000000004</v>
      </c>
      <c r="I937">
        <f>IFERROR(VLOOKUP(Logs_Registre[[#This Row],[Cell_ID]],Registre_Maintenance[],4,FALSE),"")</f>
        <v>17.541618</v>
      </c>
      <c r="J937" t="str">
        <f>IFERROR(VLOOKUP(Logs_Registre[[#This Row],[Cell_ID]],Registre_Maintenance[],5,FALSE),"")</f>
        <v>4G</v>
      </c>
      <c r="K937" t="str">
        <f>IFERROR(VLOOKUP(Logs_Registre[[#This Row],[Cell_ID]],Registre_Maintenance[],6,FALSE),"")</f>
        <v>Ericsson</v>
      </c>
    </row>
    <row r="938" spans="1:11" x14ac:dyDescent="0.25">
      <c r="A938" s="1" t="s">
        <v>902</v>
      </c>
      <c r="B938" s="1" t="s">
        <v>928</v>
      </c>
      <c r="C938" s="2">
        <v>45203.718055555553</v>
      </c>
      <c r="D938" s="3">
        <v>45203.718055555553</v>
      </c>
      <c r="E938">
        <v>114</v>
      </c>
      <c r="F938" s="1" t="s">
        <v>735</v>
      </c>
      <c r="G938" t="str">
        <f>IFERROR(VLOOKUP(Logs_Registre[[#This Row],[Cell_ID]],Registre_Maintenance[],2,FALSE),"")</f>
        <v/>
      </c>
      <c r="H938" t="str">
        <f>IFERROR(VLOOKUP(Logs_Registre[[#This Row],[Cell_ID]],Registre_Maintenance[],3,FALSE),"")</f>
        <v/>
      </c>
      <c r="I938" t="str">
        <f>IFERROR(VLOOKUP(Logs_Registre[[#This Row],[Cell_ID]],Registre_Maintenance[],4,FALSE),"")</f>
        <v/>
      </c>
      <c r="J938" t="str">
        <f>IFERROR(VLOOKUP(Logs_Registre[[#This Row],[Cell_ID]],Registre_Maintenance[],5,FALSE),"")</f>
        <v/>
      </c>
      <c r="K938" t="str">
        <f>IFERROR(VLOOKUP(Logs_Registre[[#This Row],[Cell_ID]],Registre_Maintenance[],6,FALSE),"")</f>
        <v/>
      </c>
    </row>
    <row r="939" spans="1:11" x14ac:dyDescent="0.25">
      <c r="A939" s="1" t="s">
        <v>1219</v>
      </c>
      <c r="B939" s="1" t="s">
        <v>1234</v>
      </c>
      <c r="C939" s="2">
        <v>45203.71597222222</v>
      </c>
      <c r="D939" s="3">
        <v>45203.71597222222</v>
      </c>
      <c r="E939">
        <v>68</v>
      </c>
      <c r="F939" s="1" t="s">
        <v>735</v>
      </c>
      <c r="G939" t="str">
        <f>IFERROR(VLOOKUP(Logs_Registre[[#This Row],[Cell_ID]],Registre_Maintenance[],2,FALSE),"")</f>
        <v/>
      </c>
      <c r="H939" t="str">
        <f>IFERROR(VLOOKUP(Logs_Registre[[#This Row],[Cell_ID]],Registre_Maintenance[],3,FALSE),"")</f>
        <v/>
      </c>
      <c r="I939" t="str">
        <f>IFERROR(VLOOKUP(Logs_Registre[[#This Row],[Cell_ID]],Registre_Maintenance[],4,FALSE),"")</f>
        <v/>
      </c>
      <c r="J939" t="str">
        <f>IFERROR(VLOOKUP(Logs_Registre[[#This Row],[Cell_ID]],Registre_Maintenance[],5,FALSE),"")</f>
        <v/>
      </c>
      <c r="K939" t="str">
        <f>IFERROR(VLOOKUP(Logs_Registre[[#This Row],[Cell_ID]],Registre_Maintenance[],6,FALSE),"")</f>
        <v/>
      </c>
    </row>
    <row r="940" spans="1:11" x14ac:dyDescent="0.25">
      <c r="A940" s="1" t="s">
        <v>1086</v>
      </c>
      <c r="B940" s="1" t="s">
        <v>1104</v>
      </c>
      <c r="C940" s="2">
        <v>45203.67291666667</v>
      </c>
      <c r="D940" s="3">
        <v>45203.67291666667</v>
      </c>
      <c r="E940">
        <v>82</v>
      </c>
      <c r="F940" s="1" t="s">
        <v>732</v>
      </c>
      <c r="G940" t="str">
        <f>IFERROR(VLOOKUP(Logs_Registre[[#This Row],[Cell_ID]],Registre_Maintenance[],2,FALSE),"")</f>
        <v/>
      </c>
      <c r="H940" t="str">
        <f>IFERROR(VLOOKUP(Logs_Registre[[#This Row],[Cell_ID]],Registre_Maintenance[],3,FALSE),"")</f>
        <v/>
      </c>
      <c r="I940" t="str">
        <f>IFERROR(VLOOKUP(Logs_Registre[[#This Row],[Cell_ID]],Registre_Maintenance[],4,FALSE),"")</f>
        <v/>
      </c>
      <c r="J940" t="str">
        <f>IFERROR(VLOOKUP(Logs_Registre[[#This Row],[Cell_ID]],Registre_Maintenance[],5,FALSE),"")</f>
        <v/>
      </c>
      <c r="K940" t="str">
        <f>IFERROR(VLOOKUP(Logs_Registre[[#This Row],[Cell_ID]],Registre_Maintenance[],6,FALSE),"")</f>
        <v/>
      </c>
    </row>
    <row r="941" spans="1:11" x14ac:dyDescent="0.25">
      <c r="A941" s="1" t="s">
        <v>978</v>
      </c>
      <c r="B941" s="1" t="s">
        <v>983</v>
      </c>
      <c r="C941" s="2">
        <v>45203.652083333327</v>
      </c>
      <c r="D941" s="3">
        <v>45203.652083333327</v>
      </c>
      <c r="E941">
        <v>65</v>
      </c>
      <c r="F941" s="1" t="s">
        <v>737</v>
      </c>
      <c r="G941" t="str">
        <f>IFERROR(VLOOKUP(Logs_Registre[[#This Row],[Cell_ID]],Registre_Maintenance[],2,FALSE),"")</f>
        <v>Haut-Katanga</v>
      </c>
      <c r="H941">
        <f>IFERROR(VLOOKUP(Logs_Registre[[#This Row],[Cell_ID]],Registre_Maintenance[],3,FALSE),"")</f>
        <v>2.016505</v>
      </c>
      <c r="I941">
        <f>IFERROR(VLOOKUP(Logs_Registre[[#This Row],[Cell_ID]],Registre_Maintenance[],4,FALSE),"")</f>
        <v>14.294164</v>
      </c>
      <c r="J941" t="str">
        <f>IFERROR(VLOOKUP(Logs_Registre[[#This Row],[Cell_ID]],Registre_Maintenance[],5,FALSE),"")</f>
        <v>5G</v>
      </c>
      <c r="K941" t="str">
        <f>IFERROR(VLOOKUP(Logs_Registre[[#This Row],[Cell_ID]],Registre_Maintenance[],6,FALSE),"")</f>
        <v>Huawei</v>
      </c>
    </row>
    <row r="942" spans="1:11" x14ac:dyDescent="0.25">
      <c r="A942" s="1" t="s">
        <v>1219</v>
      </c>
      <c r="B942" s="1" t="s">
        <v>1225</v>
      </c>
      <c r="C942" s="2">
        <v>45203.615277777782</v>
      </c>
      <c r="D942" s="3">
        <v>45203.615277777782</v>
      </c>
      <c r="E942">
        <v>41</v>
      </c>
      <c r="F942" s="1" t="s">
        <v>732</v>
      </c>
      <c r="G942" t="str">
        <f>IFERROR(VLOOKUP(Logs_Registre[[#This Row],[Cell_ID]],Registre_Maintenance[],2,FALSE),"")</f>
        <v/>
      </c>
      <c r="H942" t="str">
        <f>IFERROR(VLOOKUP(Logs_Registre[[#This Row],[Cell_ID]],Registre_Maintenance[],3,FALSE),"")</f>
        <v/>
      </c>
      <c r="I942" t="str">
        <f>IFERROR(VLOOKUP(Logs_Registre[[#This Row],[Cell_ID]],Registre_Maintenance[],4,FALSE),"")</f>
        <v/>
      </c>
      <c r="J942" t="str">
        <f>IFERROR(VLOOKUP(Logs_Registre[[#This Row],[Cell_ID]],Registre_Maintenance[],5,FALSE),"")</f>
        <v/>
      </c>
      <c r="K942" t="str">
        <f>IFERROR(VLOOKUP(Logs_Registre[[#This Row],[Cell_ID]],Registre_Maintenance[],6,FALSE),"")</f>
        <v/>
      </c>
    </row>
    <row r="943" spans="1:11" x14ac:dyDescent="0.25">
      <c r="A943" s="1" t="s">
        <v>1382</v>
      </c>
      <c r="B943" s="1" t="s">
        <v>1383</v>
      </c>
      <c r="C943" s="2">
        <v>45203.603472222218</v>
      </c>
      <c r="D943" s="3">
        <v>45203.603472222218</v>
      </c>
      <c r="E943">
        <v>106</v>
      </c>
      <c r="F943" s="1" t="s">
        <v>735</v>
      </c>
      <c r="G943" t="str">
        <f>IFERROR(VLOOKUP(Logs_Registre[[#This Row],[Cell_ID]],Registre_Maintenance[],2,FALSE),"")</f>
        <v>Haut-Katanga</v>
      </c>
      <c r="H943">
        <f>IFERROR(VLOOKUP(Logs_Registre[[#This Row],[Cell_ID]],Registre_Maintenance[],3,FALSE),"")</f>
        <v>-5.1507670000000001</v>
      </c>
      <c r="I943">
        <f>IFERROR(VLOOKUP(Logs_Registre[[#This Row],[Cell_ID]],Registre_Maintenance[],4,FALSE),"")</f>
        <v>28.075324999999999</v>
      </c>
      <c r="J943" t="str">
        <f>IFERROR(VLOOKUP(Logs_Registre[[#This Row],[Cell_ID]],Registre_Maintenance[],5,FALSE),"")</f>
        <v>5G</v>
      </c>
      <c r="K943" t="str">
        <f>IFERROR(VLOOKUP(Logs_Registre[[#This Row],[Cell_ID]],Registre_Maintenance[],6,FALSE),"")</f>
        <v>Huawei</v>
      </c>
    </row>
    <row r="944" spans="1:11" x14ac:dyDescent="0.25">
      <c r="A944" s="1" t="s">
        <v>1138</v>
      </c>
      <c r="B944" s="1" t="s">
        <v>1146</v>
      </c>
      <c r="C944" s="2">
        <v>45203.59652777778</v>
      </c>
      <c r="D944" s="3">
        <v>45203.59652777778</v>
      </c>
      <c r="E944">
        <v>13</v>
      </c>
      <c r="F944" s="1" t="s">
        <v>735</v>
      </c>
      <c r="G944" t="str">
        <f>IFERROR(VLOOKUP(Logs_Registre[[#This Row],[Cell_ID]],Registre_Maintenance[],2,FALSE),"")</f>
        <v>Tshuapa</v>
      </c>
      <c r="H944">
        <f>IFERROR(VLOOKUP(Logs_Registre[[#This Row],[Cell_ID]],Registre_Maintenance[],3,FALSE),"")</f>
        <v>-1.9540519999999999</v>
      </c>
      <c r="I944">
        <f>IFERROR(VLOOKUP(Logs_Registre[[#This Row],[Cell_ID]],Registre_Maintenance[],4,FALSE),"")</f>
        <v>12.667945</v>
      </c>
      <c r="J944" t="str">
        <f>IFERROR(VLOOKUP(Logs_Registre[[#This Row],[Cell_ID]],Registre_Maintenance[],5,FALSE),"")</f>
        <v>4G</v>
      </c>
      <c r="K944" t="str">
        <f>IFERROR(VLOOKUP(Logs_Registre[[#This Row],[Cell_ID]],Registre_Maintenance[],6,FALSE),"")</f>
        <v>Huawei</v>
      </c>
    </row>
    <row r="945" spans="1:11" x14ac:dyDescent="0.25">
      <c r="A945" s="1" t="s">
        <v>1361</v>
      </c>
      <c r="B945" s="1" t="s">
        <v>1379</v>
      </c>
      <c r="C945" s="2">
        <v>45203.570833333331</v>
      </c>
      <c r="D945" s="3">
        <v>45203.570833333331</v>
      </c>
      <c r="E945">
        <v>68</v>
      </c>
      <c r="F945" s="1" t="s">
        <v>737</v>
      </c>
      <c r="G945" t="str">
        <f>IFERROR(VLOOKUP(Logs_Registre[[#This Row],[Cell_ID]],Registre_Maintenance[],2,FALSE),"")</f>
        <v/>
      </c>
      <c r="H945" t="str">
        <f>IFERROR(VLOOKUP(Logs_Registre[[#This Row],[Cell_ID]],Registre_Maintenance[],3,FALSE),"")</f>
        <v/>
      </c>
      <c r="I945" t="str">
        <f>IFERROR(VLOOKUP(Logs_Registre[[#This Row],[Cell_ID]],Registre_Maintenance[],4,FALSE),"")</f>
        <v/>
      </c>
      <c r="J945" t="str">
        <f>IFERROR(VLOOKUP(Logs_Registre[[#This Row],[Cell_ID]],Registre_Maintenance[],5,FALSE),"")</f>
        <v/>
      </c>
      <c r="K945" t="str">
        <f>IFERROR(VLOOKUP(Logs_Registre[[#This Row],[Cell_ID]],Registre_Maintenance[],6,FALSE),"")</f>
        <v/>
      </c>
    </row>
    <row r="946" spans="1:11" x14ac:dyDescent="0.25">
      <c r="A946" s="1" t="s">
        <v>1345</v>
      </c>
      <c r="B946" s="1" t="s">
        <v>1226</v>
      </c>
      <c r="C946" s="2">
        <v>45203.522222222222</v>
      </c>
      <c r="D946" s="3">
        <v>45203.522222222222</v>
      </c>
      <c r="E946">
        <v>11</v>
      </c>
      <c r="F946" s="1" t="s">
        <v>735</v>
      </c>
      <c r="G946" t="str">
        <f>IFERROR(VLOOKUP(Logs_Registre[[#This Row],[Cell_ID]],Registre_Maintenance[],2,FALSE),"")</f>
        <v>Kwilu</v>
      </c>
      <c r="H946">
        <f>IFERROR(VLOOKUP(Logs_Registre[[#This Row],[Cell_ID]],Registre_Maintenance[],3,FALSE),"")</f>
        <v>-7.402336</v>
      </c>
      <c r="I946">
        <f>IFERROR(VLOOKUP(Logs_Registre[[#This Row],[Cell_ID]],Registre_Maintenance[],4,FALSE),"")</f>
        <v>27.376697</v>
      </c>
      <c r="J946" t="str">
        <f>IFERROR(VLOOKUP(Logs_Registre[[#This Row],[Cell_ID]],Registre_Maintenance[],5,FALSE),"")</f>
        <v>4G</v>
      </c>
      <c r="K946" t="str">
        <f>IFERROR(VLOOKUP(Logs_Registre[[#This Row],[Cell_ID]],Registre_Maintenance[],6,FALSE),"")</f>
        <v>Huawei</v>
      </c>
    </row>
    <row r="947" spans="1:11" x14ac:dyDescent="0.25">
      <c r="A947" s="1" t="s">
        <v>1361</v>
      </c>
      <c r="B947" s="1" t="s">
        <v>763</v>
      </c>
      <c r="C947" s="2">
        <v>45203.517361111109</v>
      </c>
      <c r="D947" s="3">
        <v>45203.517361111109</v>
      </c>
      <c r="E947">
        <v>26</v>
      </c>
      <c r="F947" s="1" t="s">
        <v>732</v>
      </c>
      <c r="G947" t="str">
        <f>IFERROR(VLOOKUP(Logs_Registre[[#This Row],[Cell_ID]],Registre_Maintenance[],2,FALSE),"")</f>
        <v>Nord-Ubangi</v>
      </c>
      <c r="H947">
        <f>IFERROR(VLOOKUP(Logs_Registre[[#This Row],[Cell_ID]],Registre_Maintenance[],3,FALSE),"")</f>
        <v>-8.1437910000000002</v>
      </c>
      <c r="I947">
        <f>IFERROR(VLOOKUP(Logs_Registre[[#This Row],[Cell_ID]],Registre_Maintenance[],4,FALSE),"")</f>
        <v>28.946161</v>
      </c>
      <c r="J947" t="str">
        <f>IFERROR(VLOOKUP(Logs_Registre[[#This Row],[Cell_ID]],Registre_Maintenance[],5,FALSE),"")</f>
        <v>4G</v>
      </c>
      <c r="K947" t="str">
        <f>IFERROR(VLOOKUP(Logs_Registre[[#This Row],[Cell_ID]],Registre_Maintenance[],6,FALSE),"")</f>
        <v>ZTE</v>
      </c>
    </row>
    <row r="948" spans="1:11" x14ac:dyDescent="0.25">
      <c r="A948" s="1" t="s">
        <v>730</v>
      </c>
      <c r="B948" s="1" t="s">
        <v>760</v>
      </c>
      <c r="C948" s="2">
        <v>45203.511805555558</v>
      </c>
      <c r="D948" s="3">
        <v>45203.511805555558</v>
      </c>
      <c r="E948">
        <v>64</v>
      </c>
      <c r="F948" s="1" t="s">
        <v>737</v>
      </c>
      <c r="G948" t="str">
        <f>IFERROR(VLOOKUP(Logs_Registre[[#This Row],[Cell_ID]],Registre_Maintenance[],2,FALSE),"")</f>
        <v>Tshopo</v>
      </c>
      <c r="H948">
        <f>IFERROR(VLOOKUP(Logs_Registre[[#This Row],[Cell_ID]],Registre_Maintenance[],3,FALSE),"")</f>
        <v>0.23583499999999999</v>
      </c>
      <c r="I948">
        <f>IFERROR(VLOOKUP(Logs_Registre[[#This Row],[Cell_ID]],Registre_Maintenance[],4,FALSE),"")</f>
        <v>24.889558999999998</v>
      </c>
      <c r="J948" t="str">
        <f>IFERROR(VLOOKUP(Logs_Registre[[#This Row],[Cell_ID]],Registre_Maintenance[],5,FALSE),"")</f>
        <v>3G</v>
      </c>
      <c r="K948" t="str">
        <f>IFERROR(VLOOKUP(Logs_Registre[[#This Row],[Cell_ID]],Registre_Maintenance[],6,FALSE),"")</f>
        <v>ZTE</v>
      </c>
    </row>
    <row r="949" spans="1:11" x14ac:dyDescent="0.25">
      <c r="A949" s="1" t="s">
        <v>1059</v>
      </c>
      <c r="B949" s="1" t="s">
        <v>1085</v>
      </c>
      <c r="C949" s="2">
        <v>45203.477083333331</v>
      </c>
      <c r="D949" s="3">
        <v>45203.477083333331</v>
      </c>
      <c r="E949">
        <v>93</v>
      </c>
      <c r="F949" s="1" t="s">
        <v>735</v>
      </c>
      <c r="G949" t="str">
        <f>IFERROR(VLOOKUP(Logs_Registre[[#This Row],[Cell_ID]],Registre_Maintenance[],2,FALSE),"")</f>
        <v/>
      </c>
      <c r="H949" t="str">
        <f>IFERROR(VLOOKUP(Logs_Registre[[#This Row],[Cell_ID]],Registre_Maintenance[],3,FALSE),"")</f>
        <v/>
      </c>
      <c r="I949" t="str">
        <f>IFERROR(VLOOKUP(Logs_Registre[[#This Row],[Cell_ID]],Registre_Maintenance[],4,FALSE),"")</f>
        <v/>
      </c>
      <c r="J949" t="str">
        <f>IFERROR(VLOOKUP(Logs_Registre[[#This Row],[Cell_ID]],Registre_Maintenance[],5,FALSE),"")</f>
        <v/>
      </c>
      <c r="K949" t="str">
        <f>IFERROR(VLOOKUP(Logs_Registre[[#This Row],[Cell_ID]],Registre_Maintenance[],6,FALSE),"")</f>
        <v/>
      </c>
    </row>
    <row r="950" spans="1:11" x14ac:dyDescent="0.25">
      <c r="A950" s="1" t="s">
        <v>1024</v>
      </c>
      <c r="B950" s="1" t="s">
        <v>951</v>
      </c>
      <c r="C950" s="2">
        <v>45203.447916666657</v>
      </c>
      <c r="D950" s="3">
        <v>45203.447916666657</v>
      </c>
      <c r="E950">
        <v>84</v>
      </c>
      <c r="F950" s="1" t="s">
        <v>737</v>
      </c>
      <c r="G950" t="str">
        <f>IFERROR(VLOOKUP(Logs_Registre[[#This Row],[Cell_ID]],Registre_Maintenance[],2,FALSE),"")</f>
        <v/>
      </c>
      <c r="H950" t="str">
        <f>IFERROR(VLOOKUP(Logs_Registre[[#This Row],[Cell_ID]],Registre_Maintenance[],3,FALSE),"")</f>
        <v/>
      </c>
      <c r="I950" t="str">
        <f>IFERROR(VLOOKUP(Logs_Registre[[#This Row],[Cell_ID]],Registre_Maintenance[],4,FALSE),"")</f>
        <v/>
      </c>
      <c r="J950" t="str">
        <f>IFERROR(VLOOKUP(Logs_Registre[[#This Row],[Cell_ID]],Registre_Maintenance[],5,FALSE),"")</f>
        <v/>
      </c>
      <c r="K950" t="str">
        <f>IFERROR(VLOOKUP(Logs_Registre[[#This Row],[Cell_ID]],Registre_Maintenance[],6,FALSE),"")</f>
        <v/>
      </c>
    </row>
    <row r="951" spans="1:11" x14ac:dyDescent="0.25">
      <c r="A951" s="1" t="s">
        <v>1308</v>
      </c>
      <c r="B951" s="1" t="s">
        <v>1326</v>
      </c>
      <c r="C951" s="2">
        <v>45203.425694444442</v>
      </c>
      <c r="D951" s="3">
        <v>45203.425694444442</v>
      </c>
      <c r="E951">
        <v>62</v>
      </c>
      <c r="F951" s="1" t="s">
        <v>732</v>
      </c>
      <c r="G951" t="str">
        <f>IFERROR(VLOOKUP(Logs_Registre[[#This Row],[Cell_ID]],Registre_Maintenance[],2,FALSE),"")</f>
        <v/>
      </c>
      <c r="H951" t="str">
        <f>IFERROR(VLOOKUP(Logs_Registre[[#This Row],[Cell_ID]],Registre_Maintenance[],3,FALSE),"")</f>
        <v/>
      </c>
      <c r="I951" t="str">
        <f>IFERROR(VLOOKUP(Logs_Registre[[#This Row],[Cell_ID]],Registre_Maintenance[],4,FALSE),"")</f>
        <v/>
      </c>
      <c r="J951" t="str">
        <f>IFERROR(VLOOKUP(Logs_Registre[[#This Row],[Cell_ID]],Registre_Maintenance[],5,FALSE),"")</f>
        <v/>
      </c>
      <c r="K951" t="str">
        <f>IFERROR(VLOOKUP(Logs_Registre[[#This Row],[Cell_ID]],Registre_Maintenance[],6,FALSE),"")</f>
        <v/>
      </c>
    </row>
    <row r="952" spans="1:11" x14ac:dyDescent="0.25">
      <c r="A952" s="1" t="s">
        <v>999</v>
      </c>
      <c r="B952" s="1" t="s">
        <v>1004</v>
      </c>
      <c r="C952" s="2">
        <v>45203.35833333333</v>
      </c>
      <c r="D952" s="3">
        <v>45203.35833333333</v>
      </c>
      <c r="E952">
        <v>5</v>
      </c>
      <c r="F952" s="1" t="s">
        <v>732</v>
      </c>
      <c r="G952" t="str">
        <f>IFERROR(VLOOKUP(Logs_Registre[[#This Row],[Cell_ID]],Registre_Maintenance[],2,FALSE),"")</f>
        <v/>
      </c>
      <c r="H952" t="str">
        <f>IFERROR(VLOOKUP(Logs_Registre[[#This Row],[Cell_ID]],Registre_Maintenance[],3,FALSE),"")</f>
        <v/>
      </c>
      <c r="I952" t="str">
        <f>IFERROR(VLOOKUP(Logs_Registre[[#This Row],[Cell_ID]],Registre_Maintenance[],4,FALSE),"")</f>
        <v/>
      </c>
      <c r="J952" t="str">
        <f>IFERROR(VLOOKUP(Logs_Registre[[#This Row],[Cell_ID]],Registre_Maintenance[],5,FALSE),"")</f>
        <v/>
      </c>
      <c r="K952" t="str">
        <f>IFERROR(VLOOKUP(Logs_Registre[[#This Row],[Cell_ID]],Registre_Maintenance[],6,FALSE),"")</f>
        <v/>
      </c>
    </row>
    <row r="953" spans="1:11" x14ac:dyDescent="0.25">
      <c r="A953" s="1" t="s">
        <v>1261</v>
      </c>
      <c r="B953" s="1" t="s">
        <v>1277</v>
      </c>
      <c r="C953" s="2">
        <v>45203.324305555558</v>
      </c>
      <c r="D953" s="3">
        <v>45203.324305555558</v>
      </c>
      <c r="E953">
        <v>34</v>
      </c>
      <c r="F953" s="1" t="s">
        <v>732</v>
      </c>
      <c r="G953" t="str">
        <f>IFERROR(VLOOKUP(Logs_Registre[[#This Row],[Cell_ID]],Registre_Maintenance[],2,FALSE),"")</f>
        <v/>
      </c>
      <c r="H953" t="str">
        <f>IFERROR(VLOOKUP(Logs_Registre[[#This Row],[Cell_ID]],Registre_Maintenance[],3,FALSE),"")</f>
        <v/>
      </c>
      <c r="I953" t="str">
        <f>IFERROR(VLOOKUP(Logs_Registre[[#This Row],[Cell_ID]],Registre_Maintenance[],4,FALSE),"")</f>
        <v/>
      </c>
      <c r="J953" t="str">
        <f>IFERROR(VLOOKUP(Logs_Registre[[#This Row],[Cell_ID]],Registre_Maintenance[],5,FALSE),"")</f>
        <v/>
      </c>
      <c r="K953" t="str">
        <f>IFERROR(VLOOKUP(Logs_Registre[[#This Row],[Cell_ID]],Registre_Maintenance[],6,FALSE),"")</f>
        <v/>
      </c>
    </row>
    <row r="954" spans="1:11" x14ac:dyDescent="0.25">
      <c r="A954" s="1" t="s">
        <v>1219</v>
      </c>
      <c r="B954" s="1" t="s">
        <v>1141</v>
      </c>
      <c r="C954" s="2">
        <v>45203.304861111108</v>
      </c>
      <c r="D954" s="3">
        <v>45203.304861111108</v>
      </c>
      <c r="E954">
        <v>106</v>
      </c>
      <c r="F954" s="1" t="s">
        <v>735</v>
      </c>
      <c r="G954" t="str">
        <f>IFERROR(VLOOKUP(Logs_Registre[[#This Row],[Cell_ID]],Registre_Maintenance[],2,FALSE),"")</f>
        <v>Tanganyika</v>
      </c>
      <c r="H954">
        <f>IFERROR(VLOOKUP(Logs_Registre[[#This Row],[Cell_ID]],Registre_Maintenance[],3,FALSE),"")</f>
        <v>-11.793894</v>
      </c>
      <c r="I954">
        <f>IFERROR(VLOOKUP(Logs_Registre[[#This Row],[Cell_ID]],Registre_Maintenance[],4,FALSE),"")</f>
        <v>20.433340999999999</v>
      </c>
      <c r="J954" t="str">
        <f>IFERROR(VLOOKUP(Logs_Registre[[#This Row],[Cell_ID]],Registre_Maintenance[],5,FALSE),"")</f>
        <v>5G</v>
      </c>
      <c r="K954" t="str">
        <f>IFERROR(VLOOKUP(Logs_Registre[[#This Row],[Cell_ID]],Registre_Maintenance[],6,FALSE),"")</f>
        <v>Nokia</v>
      </c>
    </row>
    <row r="955" spans="1:11" x14ac:dyDescent="0.25">
      <c r="A955" s="1" t="s">
        <v>902</v>
      </c>
      <c r="B955" s="1" t="s">
        <v>918</v>
      </c>
      <c r="C955" s="2">
        <v>45203.277777777781</v>
      </c>
      <c r="D955" s="3">
        <v>45203.277777777781</v>
      </c>
      <c r="E955">
        <v>79</v>
      </c>
      <c r="F955" s="1" t="s">
        <v>735</v>
      </c>
      <c r="G955" t="str">
        <f>IFERROR(VLOOKUP(Logs_Registre[[#This Row],[Cell_ID]],Registre_Maintenance[],2,FALSE),"")</f>
        <v/>
      </c>
      <c r="H955" t="str">
        <f>IFERROR(VLOOKUP(Logs_Registre[[#This Row],[Cell_ID]],Registre_Maintenance[],3,FALSE),"")</f>
        <v/>
      </c>
      <c r="I955" t="str">
        <f>IFERROR(VLOOKUP(Logs_Registre[[#This Row],[Cell_ID]],Registre_Maintenance[],4,FALSE),"")</f>
        <v/>
      </c>
      <c r="J955" t="str">
        <f>IFERROR(VLOOKUP(Logs_Registre[[#This Row],[Cell_ID]],Registre_Maintenance[],5,FALSE),"")</f>
        <v/>
      </c>
      <c r="K955" t="str">
        <f>IFERROR(VLOOKUP(Logs_Registre[[#This Row],[Cell_ID]],Registre_Maintenance[],6,FALSE),"")</f>
        <v/>
      </c>
    </row>
    <row r="956" spans="1:11" x14ac:dyDescent="0.25">
      <c r="A956" s="1" t="s">
        <v>1404</v>
      </c>
      <c r="B956" s="1" t="s">
        <v>777</v>
      </c>
      <c r="C956" s="2">
        <v>45203.273611111108</v>
      </c>
      <c r="D956" s="3">
        <v>45203.273611111108</v>
      </c>
      <c r="E956">
        <v>23</v>
      </c>
      <c r="F956" s="1" t="s">
        <v>737</v>
      </c>
      <c r="G956" t="str">
        <f>IFERROR(VLOOKUP(Logs_Registre[[#This Row],[Cell_ID]],Registre_Maintenance[],2,FALSE),"")</f>
        <v/>
      </c>
      <c r="H956" t="str">
        <f>IFERROR(VLOOKUP(Logs_Registre[[#This Row],[Cell_ID]],Registre_Maintenance[],3,FALSE),"")</f>
        <v/>
      </c>
      <c r="I956" t="str">
        <f>IFERROR(VLOOKUP(Logs_Registre[[#This Row],[Cell_ID]],Registre_Maintenance[],4,FALSE),"")</f>
        <v/>
      </c>
      <c r="J956" t="str">
        <f>IFERROR(VLOOKUP(Logs_Registre[[#This Row],[Cell_ID]],Registre_Maintenance[],5,FALSE),"")</f>
        <v/>
      </c>
      <c r="K956" t="str">
        <f>IFERROR(VLOOKUP(Logs_Registre[[#This Row],[Cell_ID]],Registre_Maintenance[],6,FALSE),"")</f>
        <v/>
      </c>
    </row>
    <row r="957" spans="1:11" x14ac:dyDescent="0.25">
      <c r="A957" s="1" t="s">
        <v>1114</v>
      </c>
      <c r="B957" s="1" t="s">
        <v>863</v>
      </c>
      <c r="C957" s="2">
        <v>45203.250694444447</v>
      </c>
      <c r="D957" s="3">
        <v>45203.250694444447</v>
      </c>
      <c r="E957">
        <v>49</v>
      </c>
      <c r="F957" s="1" t="s">
        <v>735</v>
      </c>
      <c r="G957" t="str">
        <f>IFERROR(VLOOKUP(Logs_Registre[[#This Row],[Cell_ID]],Registre_Maintenance[],2,FALSE),"")</f>
        <v>Kasai-Central</v>
      </c>
      <c r="H957">
        <f>IFERROR(VLOOKUP(Logs_Registre[[#This Row],[Cell_ID]],Registre_Maintenance[],3,FALSE),"")</f>
        <v>-10.414493</v>
      </c>
      <c r="I957">
        <f>IFERROR(VLOOKUP(Logs_Registre[[#This Row],[Cell_ID]],Registre_Maintenance[],4,FALSE),"")</f>
        <v>12.333356999999999</v>
      </c>
      <c r="J957" t="str">
        <f>IFERROR(VLOOKUP(Logs_Registre[[#This Row],[Cell_ID]],Registre_Maintenance[],5,FALSE),"")</f>
        <v>3G</v>
      </c>
      <c r="K957" t="str">
        <f>IFERROR(VLOOKUP(Logs_Registre[[#This Row],[Cell_ID]],Registre_Maintenance[],6,FALSE),"")</f>
        <v>Ericsson</v>
      </c>
    </row>
    <row r="958" spans="1:11" x14ac:dyDescent="0.25">
      <c r="A958" s="1" t="s">
        <v>1241</v>
      </c>
      <c r="B958" s="1" t="s">
        <v>958</v>
      </c>
      <c r="C958" s="2">
        <v>45203.227777777778</v>
      </c>
      <c r="D958" s="3">
        <v>45203.227777777778</v>
      </c>
      <c r="E958">
        <v>61</v>
      </c>
      <c r="F958" s="1" t="s">
        <v>735</v>
      </c>
      <c r="G958" t="str">
        <f>IFERROR(VLOOKUP(Logs_Registre[[#This Row],[Cell_ID]],Registre_Maintenance[],2,FALSE),"")</f>
        <v/>
      </c>
      <c r="H958" t="str">
        <f>IFERROR(VLOOKUP(Logs_Registre[[#This Row],[Cell_ID]],Registre_Maintenance[],3,FALSE),"")</f>
        <v/>
      </c>
      <c r="I958" t="str">
        <f>IFERROR(VLOOKUP(Logs_Registre[[#This Row],[Cell_ID]],Registre_Maintenance[],4,FALSE),"")</f>
        <v/>
      </c>
      <c r="J958" t="str">
        <f>IFERROR(VLOOKUP(Logs_Registre[[#This Row],[Cell_ID]],Registre_Maintenance[],5,FALSE),"")</f>
        <v/>
      </c>
      <c r="K958" t="str">
        <f>IFERROR(VLOOKUP(Logs_Registre[[#This Row],[Cell_ID]],Registre_Maintenance[],6,FALSE),"")</f>
        <v/>
      </c>
    </row>
    <row r="959" spans="1:11" x14ac:dyDescent="0.25">
      <c r="A959" s="1" t="s">
        <v>1219</v>
      </c>
      <c r="B959" s="1" t="s">
        <v>843</v>
      </c>
      <c r="C959" s="2">
        <v>45203.224305555559</v>
      </c>
      <c r="D959" s="3">
        <v>45203.224305555559</v>
      </c>
      <c r="E959">
        <v>102</v>
      </c>
      <c r="F959" s="1" t="s">
        <v>737</v>
      </c>
      <c r="G959" t="str">
        <f>IFERROR(VLOOKUP(Logs_Registre[[#This Row],[Cell_ID]],Registre_Maintenance[],2,FALSE),"")</f>
        <v>Sud-Kivu</v>
      </c>
      <c r="H959">
        <f>IFERROR(VLOOKUP(Logs_Registre[[#This Row],[Cell_ID]],Registre_Maintenance[],3,FALSE),"")</f>
        <v>-9.4702129999999993</v>
      </c>
      <c r="I959">
        <f>IFERROR(VLOOKUP(Logs_Registre[[#This Row],[Cell_ID]],Registre_Maintenance[],4,FALSE),"")</f>
        <v>12.826158</v>
      </c>
      <c r="J959" t="str">
        <f>IFERROR(VLOOKUP(Logs_Registre[[#This Row],[Cell_ID]],Registre_Maintenance[],5,FALSE),"")</f>
        <v>3G</v>
      </c>
      <c r="K959" t="str">
        <f>IFERROR(VLOOKUP(Logs_Registre[[#This Row],[Cell_ID]],Registre_Maintenance[],6,FALSE),"")</f>
        <v>Ericsson</v>
      </c>
    </row>
    <row r="960" spans="1:11" x14ac:dyDescent="0.25">
      <c r="A960" s="1" t="s">
        <v>861</v>
      </c>
      <c r="B960" s="1" t="s">
        <v>885</v>
      </c>
      <c r="C960" s="2">
        <v>45203.22152777778</v>
      </c>
      <c r="D960" s="3">
        <v>45203.22152777778</v>
      </c>
      <c r="E960">
        <v>101</v>
      </c>
      <c r="F960" s="1" t="s">
        <v>732</v>
      </c>
      <c r="G960" t="str">
        <f>IFERROR(VLOOKUP(Logs_Registre[[#This Row],[Cell_ID]],Registre_Maintenance[],2,FALSE),"")</f>
        <v>Tshopo</v>
      </c>
      <c r="H960">
        <f>IFERROR(VLOOKUP(Logs_Registre[[#This Row],[Cell_ID]],Registre_Maintenance[],3,FALSE),"")</f>
        <v>3.0603760000000002</v>
      </c>
      <c r="I960">
        <f>IFERROR(VLOOKUP(Logs_Registre[[#This Row],[Cell_ID]],Registre_Maintenance[],4,FALSE),"")</f>
        <v>19.708034000000001</v>
      </c>
      <c r="J960" t="str">
        <f>IFERROR(VLOOKUP(Logs_Registre[[#This Row],[Cell_ID]],Registre_Maintenance[],5,FALSE),"")</f>
        <v>3G</v>
      </c>
      <c r="K960" t="str">
        <f>IFERROR(VLOOKUP(Logs_Registre[[#This Row],[Cell_ID]],Registre_Maintenance[],6,FALSE),"")</f>
        <v>ZTE</v>
      </c>
    </row>
    <row r="961" spans="1:11" x14ac:dyDescent="0.25">
      <c r="A961" s="1" t="s">
        <v>1138</v>
      </c>
      <c r="B961" s="1" t="s">
        <v>1140</v>
      </c>
      <c r="C961" s="2">
        <v>45203.213888888888</v>
      </c>
      <c r="D961" s="3">
        <v>45203.213888888888</v>
      </c>
      <c r="E961">
        <v>5</v>
      </c>
      <c r="F961" s="1" t="s">
        <v>732</v>
      </c>
      <c r="G961" t="str">
        <f>IFERROR(VLOOKUP(Logs_Registre[[#This Row],[Cell_ID]],Registre_Maintenance[],2,FALSE),"")</f>
        <v/>
      </c>
      <c r="H961" t="str">
        <f>IFERROR(VLOOKUP(Logs_Registre[[#This Row],[Cell_ID]],Registre_Maintenance[],3,FALSE),"")</f>
        <v/>
      </c>
      <c r="I961" t="str">
        <f>IFERROR(VLOOKUP(Logs_Registre[[#This Row],[Cell_ID]],Registre_Maintenance[],4,FALSE),"")</f>
        <v/>
      </c>
      <c r="J961" t="str">
        <f>IFERROR(VLOOKUP(Logs_Registre[[#This Row],[Cell_ID]],Registre_Maintenance[],5,FALSE),"")</f>
        <v/>
      </c>
      <c r="K961" t="str">
        <f>IFERROR(VLOOKUP(Logs_Registre[[#This Row],[Cell_ID]],Registre_Maintenance[],6,FALSE),"")</f>
        <v/>
      </c>
    </row>
    <row r="962" spans="1:11" x14ac:dyDescent="0.25">
      <c r="A962" s="1" t="s">
        <v>779</v>
      </c>
      <c r="B962" s="1" t="s">
        <v>786</v>
      </c>
      <c r="C962" s="2">
        <v>45203.059027777781</v>
      </c>
      <c r="D962" s="3">
        <v>45203.059027777781</v>
      </c>
      <c r="E962">
        <v>49</v>
      </c>
      <c r="F962" s="1" t="s">
        <v>732</v>
      </c>
      <c r="G962" t="str">
        <f>IFERROR(VLOOKUP(Logs_Registre[[#This Row],[Cell_ID]],Registre_Maintenance[],2,FALSE),"")</f>
        <v/>
      </c>
      <c r="H962" t="str">
        <f>IFERROR(VLOOKUP(Logs_Registre[[#This Row],[Cell_ID]],Registre_Maintenance[],3,FALSE),"")</f>
        <v/>
      </c>
      <c r="I962" t="str">
        <f>IFERROR(VLOOKUP(Logs_Registre[[#This Row],[Cell_ID]],Registre_Maintenance[],4,FALSE),"")</f>
        <v/>
      </c>
      <c r="J962" t="str">
        <f>IFERROR(VLOOKUP(Logs_Registre[[#This Row],[Cell_ID]],Registre_Maintenance[],5,FALSE),"")</f>
        <v/>
      </c>
      <c r="K962" t="str">
        <f>IFERROR(VLOOKUP(Logs_Registre[[#This Row],[Cell_ID]],Registre_Maintenance[],6,FALSE),"")</f>
        <v/>
      </c>
    </row>
    <row r="963" spans="1:11" x14ac:dyDescent="0.25">
      <c r="A963" s="1" t="s">
        <v>1361</v>
      </c>
      <c r="B963" s="1" t="s">
        <v>1053</v>
      </c>
      <c r="C963" s="2">
        <v>45203.041666666657</v>
      </c>
      <c r="D963" s="3">
        <v>45203.041666666657</v>
      </c>
      <c r="E963">
        <v>69</v>
      </c>
      <c r="F963" s="1" t="s">
        <v>737</v>
      </c>
      <c r="G963" t="str">
        <f>IFERROR(VLOOKUP(Logs_Registre[[#This Row],[Cell_ID]],Registre_Maintenance[],2,FALSE),"")</f>
        <v>Bas-Uele</v>
      </c>
      <c r="H963">
        <f>IFERROR(VLOOKUP(Logs_Registre[[#This Row],[Cell_ID]],Registre_Maintenance[],3,FALSE),"")</f>
        <v>-2.2876210000000001</v>
      </c>
      <c r="I963">
        <f>IFERROR(VLOOKUP(Logs_Registre[[#This Row],[Cell_ID]],Registre_Maintenance[],4,FALSE),"")</f>
        <v>27.582545</v>
      </c>
      <c r="J963" t="str">
        <f>IFERROR(VLOOKUP(Logs_Registre[[#This Row],[Cell_ID]],Registre_Maintenance[],5,FALSE),"")</f>
        <v>4G</v>
      </c>
      <c r="K963" t="str">
        <f>IFERROR(VLOOKUP(Logs_Registre[[#This Row],[Cell_ID]],Registre_Maintenance[],6,FALSE),"")</f>
        <v>Huawei</v>
      </c>
    </row>
    <row r="964" spans="1:11" x14ac:dyDescent="0.25">
      <c r="A964" s="1" t="s">
        <v>730</v>
      </c>
      <c r="B964" s="1" t="s">
        <v>731</v>
      </c>
      <c r="C964" s="2">
        <v>45203.032638888893</v>
      </c>
      <c r="D964" s="3">
        <v>45203.032638888893</v>
      </c>
      <c r="E964">
        <v>73</v>
      </c>
      <c r="F964" s="1" t="s">
        <v>732</v>
      </c>
      <c r="G964" t="str">
        <f>IFERROR(VLOOKUP(Logs_Registre[[#This Row],[Cell_ID]],Registre_Maintenance[],2,FALSE),"")</f>
        <v>Tanganyika</v>
      </c>
      <c r="H964">
        <f>IFERROR(VLOOKUP(Logs_Registre[[#This Row],[Cell_ID]],Registre_Maintenance[],3,FALSE),"")</f>
        <v>-11.144149000000001</v>
      </c>
      <c r="I964">
        <f>IFERROR(VLOOKUP(Logs_Registre[[#This Row],[Cell_ID]],Registre_Maintenance[],4,FALSE),"")</f>
        <v>27.244658999999999</v>
      </c>
      <c r="J964" t="str">
        <f>IFERROR(VLOOKUP(Logs_Registre[[#This Row],[Cell_ID]],Registre_Maintenance[],5,FALSE),"")</f>
        <v>4G</v>
      </c>
      <c r="K964" t="str">
        <f>IFERROR(VLOOKUP(Logs_Registre[[#This Row],[Cell_ID]],Registre_Maintenance[],6,FALSE),"")</f>
        <v>Nokia</v>
      </c>
    </row>
    <row r="965" spans="1:11" x14ac:dyDescent="0.25">
      <c r="A965" s="1" t="s">
        <v>1261</v>
      </c>
      <c r="B965" s="1" t="s">
        <v>741</v>
      </c>
      <c r="C965" s="2">
        <v>45203.03125</v>
      </c>
      <c r="D965" s="3">
        <v>45203.03125</v>
      </c>
      <c r="E965">
        <v>36</v>
      </c>
      <c r="F965" s="1" t="s">
        <v>737</v>
      </c>
      <c r="G965" t="str">
        <f>IFERROR(VLOOKUP(Logs_Registre[[#This Row],[Cell_ID]],Registre_Maintenance[],2,FALSE),"")</f>
        <v/>
      </c>
      <c r="H965" t="str">
        <f>IFERROR(VLOOKUP(Logs_Registre[[#This Row],[Cell_ID]],Registre_Maintenance[],3,FALSE),"")</f>
        <v/>
      </c>
      <c r="I965" t="str">
        <f>IFERROR(VLOOKUP(Logs_Registre[[#This Row],[Cell_ID]],Registre_Maintenance[],4,FALSE),"")</f>
        <v/>
      </c>
      <c r="J965" t="str">
        <f>IFERROR(VLOOKUP(Logs_Registre[[#This Row],[Cell_ID]],Registre_Maintenance[],5,FALSE),"")</f>
        <v/>
      </c>
      <c r="K965" t="str">
        <f>IFERROR(VLOOKUP(Logs_Registre[[#This Row],[Cell_ID]],Registre_Maintenance[],6,FALSE),"")</f>
        <v/>
      </c>
    </row>
    <row r="966" spans="1:11" x14ac:dyDescent="0.25">
      <c r="A966" s="1" t="s">
        <v>1241</v>
      </c>
      <c r="B966" s="1" t="s">
        <v>1216</v>
      </c>
      <c r="C966" s="2">
        <v>45203.009027777778</v>
      </c>
      <c r="D966" s="3">
        <v>45203.009027777778</v>
      </c>
      <c r="E966">
        <v>49</v>
      </c>
      <c r="F966" s="1" t="s">
        <v>732</v>
      </c>
      <c r="G966" t="str">
        <f>IFERROR(VLOOKUP(Logs_Registre[[#This Row],[Cell_ID]],Registre_Maintenance[],2,FALSE),"")</f>
        <v/>
      </c>
      <c r="H966" t="str">
        <f>IFERROR(VLOOKUP(Logs_Registre[[#This Row],[Cell_ID]],Registre_Maintenance[],3,FALSE),"")</f>
        <v/>
      </c>
      <c r="I966" t="str">
        <f>IFERROR(VLOOKUP(Logs_Registre[[#This Row],[Cell_ID]],Registre_Maintenance[],4,FALSE),"")</f>
        <v/>
      </c>
      <c r="J966" t="str">
        <f>IFERROR(VLOOKUP(Logs_Registre[[#This Row],[Cell_ID]],Registre_Maintenance[],5,FALSE),"")</f>
        <v/>
      </c>
      <c r="K966" t="str">
        <f>IFERROR(VLOOKUP(Logs_Registre[[#This Row],[Cell_ID]],Registre_Maintenance[],6,FALSE),"")</f>
        <v/>
      </c>
    </row>
    <row r="967" spans="1:11" x14ac:dyDescent="0.25">
      <c r="A967" s="1" t="s">
        <v>1193</v>
      </c>
      <c r="B967" s="1" t="s">
        <v>1210</v>
      </c>
      <c r="C967" s="2">
        <v>45203.003472222219</v>
      </c>
      <c r="D967" s="3">
        <v>45203.003472222219</v>
      </c>
      <c r="E967">
        <v>46</v>
      </c>
      <c r="F967" s="1" t="s">
        <v>735</v>
      </c>
      <c r="G967" t="str">
        <f>IFERROR(VLOOKUP(Logs_Registre[[#This Row],[Cell_ID]],Registre_Maintenance[],2,FALSE),"")</f>
        <v/>
      </c>
      <c r="H967" t="str">
        <f>IFERROR(VLOOKUP(Logs_Registre[[#This Row],[Cell_ID]],Registre_Maintenance[],3,FALSE),"")</f>
        <v/>
      </c>
      <c r="I967" t="str">
        <f>IFERROR(VLOOKUP(Logs_Registre[[#This Row],[Cell_ID]],Registre_Maintenance[],4,FALSE),"")</f>
        <v/>
      </c>
      <c r="J967" t="str">
        <f>IFERROR(VLOOKUP(Logs_Registre[[#This Row],[Cell_ID]],Registre_Maintenance[],5,FALSE),"")</f>
        <v/>
      </c>
      <c r="K967" t="str">
        <f>IFERROR(VLOOKUP(Logs_Registre[[#This Row],[Cell_ID]],Registre_Maintenance[],6,FALSE),"")</f>
        <v/>
      </c>
    </row>
    <row r="968" spans="1:11" x14ac:dyDescent="0.25">
      <c r="A968" s="1" t="s">
        <v>1086</v>
      </c>
      <c r="B968" s="1" t="s">
        <v>1087</v>
      </c>
      <c r="C968" s="2">
        <v>45202.912499999999</v>
      </c>
      <c r="D968" s="3">
        <v>45202.912499999999</v>
      </c>
      <c r="E968">
        <v>68</v>
      </c>
      <c r="F968" s="1" t="s">
        <v>737</v>
      </c>
      <c r="G968" t="str">
        <f>IFERROR(VLOOKUP(Logs_Registre[[#This Row],[Cell_ID]],Registre_Maintenance[],2,FALSE),"")</f>
        <v/>
      </c>
      <c r="H968" t="str">
        <f>IFERROR(VLOOKUP(Logs_Registre[[#This Row],[Cell_ID]],Registre_Maintenance[],3,FALSE),"")</f>
        <v/>
      </c>
      <c r="I968" t="str">
        <f>IFERROR(VLOOKUP(Logs_Registre[[#This Row],[Cell_ID]],Registre_Maintenance[],4,FALSE),"")</f>
        <v/>
      </c>
      <c r="J968" t="str">
        <f>IFERROR(VLOOKUP(Logs_Registre[[#This Row],[Cell_ID]],Registre_Maintenance[],5,FALSE),"")</f>
        <v/>
      </c>
      <c r="K968" t="str">
        <f>IFERROR(VLOOKUP(Logs_Registre[[#This Row],[Cell_ID]],Registre_Maintenance[],6,FALSE),"")</f>
        <v/>
      </c>
    </row>
    <row r="969" spans="1:11" x14ac:dyDescent="0.25">
      <c r="A969" s="1" t="s">
        <v>1241</v>
      </c>
      <c r="B969" s="1" t="s">
        <v>940</v>
      </c>
      <c r="C969" s="2">
        <v>45202.868055555547</v>
      </c>
      <c r="D969" s="3">
        <v>45202.868055555547</v>
      </c>
      <c r="E969">
        <v>91</v>
      </c>
      <c r="F969" s="1" t="s">
        <v>735</v>
      </c>
      <c r="G969" t="str">
        <f>IFERROR(VLOOKUP(Logs_Registre[[#This Row],[Cell_ID]],Registre_Maintenance[],2,FALSE),"")</f>
        <v/>
      </c>
      <c r="H969" t="str">
        <f>IFERROR(VLOOKUP(Logs_Registre[[#This Row],[Cell_ID]],Registre_Maintenance[],3,FALSE),"")</f>
        <v/>
      </c>
      <c r="I969" t="str">
        <f>IFERROR(VLOOKUP(Logs_Registre[[#This Row],[Cell_ID]],Registre_Maintenance[],4,FALSE),"")</f>
        <v/>
      </c>
      <c r="J969" t="str">
        <f>IFERROR(VLOOKUP(Logs_Registre[[#This Row],[Cell_ID]],Registre_Maintenance[],5,FALSE),"")</f>
        <v/>
      </c>
      <c r="K969" t="str">
        <f>IFERROR(VLOOKUP(Logs_Registre[[#This Row],[Cell_ID]],Registre_Maintenance[],6,FALSE),"")</f>
        <v/>
      </c>
    </row>
    <row r="970" spans="1:11" x14ac:dyDescent="0.25">
      <c r="A970" s="1" t="s">
        <v>861</v>
      </c>
      <c r="B970" s="1" t="s">
        <v>868</v>
      </c>
      <c r="C970" s="2">
        <v>45202.852083333331</v>
      </c>
      <c r="D970" s="3">
        <v>45202.852083333331</v>
      </c>
      <c r="E970">
        <v>83</v>
      </c>
      <c r="F970" s="1" t="s">
        <v>732</v>
      </c>
      <c r="G970" t="str">
        <f>IFERROR(VLOOKUP(Logs_Registre[[#This Row],[Cell_ID]],Registre_Maintenance[],2,FALSE),"")</f>
        <v>Mai-Ndombe</v>
      </c>
      <c r="H970">
        <f>IFERROR(VLOOKUP(Logs_Registre[[#This Row],[Cell_ID]],Registre_Maintenance[],3,FALSE),"")</f>
        <v>-1.607639</v>
      </c>
      <c r="I970">
        <f>IFERROR(VLOOKUP(Logs_Registre[[#This Row],[Cell_ID]],Registre_Maintenance[],4,FALSE),"")</f>
        <v>17.003636</v>
      </c>
      <c r="J970" t="str">
        <f>IFERROR(VLOOKUP(Logs_Registre[[#This Row],[Cell_ID]],Registre_Maintenance[],5,FALSE),"")</f>
        <v>4G</v>
      </c>
      <c r="K970" t="str">
        <f>IFERROR(VLOOKUP(Logs_Registre[[#This Row],[Cell_ID]],Registre_Maintenance[],6,FALSE),"")</f>
        <v>Ericsson</v>
      </c>
    </row>
    <row r="971" spans="1:11" x14ac:dyDescent="0.25">
      <c r="A971" s="1" t="s">
        <v>1193</v>
      </c>
      <c r="B971" s="1" t="s">
        <v>1202</v>
      </c>
      <c r="C971" s="2">
        <v>45202.804166666669</v>
      </c>
      <c r="D971" s="3">
        <v>45202.804166666669</v>
      </c>
      <c r="E971">
        <v>115</v>
      </c>
      <c r="F971" s="1" t="s">
        <v>735</v>
      </c>
      <c r="G971" t="str">
        <f>IFERROR(VLOOKUP(Logs_Registre[[#This Row],[Cell_ID]],Registre_Maintenance[],2,FALSE),"")</f>
        <v>Haut-Uele</v>
      </c>
      <c r="H971">
        <f>IFERROR(VLOOKUP(Logs_Registre[[#This Row],[Cell_ID]],Registre_Maintenance[],3,FALSE),"")</f>
        <v>1.2391989999999999</v>
      </c>
      <c r="I971">
        <f>IFERROR(VLOOKUP(Logs_Registre[[#This Row],[Cell_ID]],Registre_Maintenance[],4,FALSE),"")</f>
        <v>15.386718999999999</v>
      </c>
      <c r="J971" t="str">
        <f>IFERROR(VLOOKUP(Logs_Registre[[#This Row],[Cell_ID]],Registre_Maintenance[],5,FALSE),"")</f>
        <v>5G</v>
      </c>
      <c r="K971" t="str">
        <f>IFERROR(VLOOKUP(Logs_Registre[[#This Row],[Cell_ID]],Registre_Maintenance[],6,FALSE),"")</f>
        <v>ZTE</v>
      </c>
    </row>
    <row r="972" spans="1:11" x14ac:dyDescent="0.25">
      <c r="A972" s="1" t="s">
        <v>861</v>
      </c>
      <c r="B972" s="1" t="s">
        <v>890</v>
      </c>
      <c r="C972" s="2">
        <v>45202.780555555553</v>
      </c>
      <c r="D972" s="3">
        <v>45202.780555555553</v>
      </c>
      <c r="E972">
        <v>53</v>
      </c>
      <c r="F972" s="1" t="s">
        <v>737</v>
      </c>
      <c r="G972" t="str">
        <f>IFERROR(VLOOKUP(Logs_Registre[[#This Row],[Cell_ID]],Registre_Maintenance[],2,FALSE),"")</f>
        <v>Maniema</v>
      </c>
      <c r="H972">
        <f>IFERROR(VLOOKUP(Logs_Registre[[#This Row],[Cell_ID]],Registre_Maintenance[],3,FALSE),"")</f>
        <v>-2.3743210000000001</v>
      </c>
      <c r="I972">
        <f>IFERROR(VLOOKUP(Logs_Registre[[#This Row],[Cell_ID]],Registre_Maintenance[],4,FALSE),"")</f>
        <v>22.399491000000001</v>
      </c>
      <c r="J972" t="str">
        <f>IFERROR(VLOOKUP(Logs_Registre[[#This Row],[Cell_ID]],Registre_Maintenance[],5,FALSE),"")</f>
        <v>5G</v>
      </c>
      <c r="K972" t="str">
        <f>IFERROR(VLOOKUP(Logs_Registre[[#This Row],[Cell_ID]],Registre_Maintenance[],6,FALSE),"")</f>
        <v>Ericsson</v>
      </c>
    </row>
    <row r="973" spans="1:11" x14ac:dyDescent="0.25">
      <c r="A973" s="1" t="s">
        <v>1024</v>
      </c>
      <c r="B973" s="1" t="s">
        <v>1043</v>
      </c>
      <c r="C973" s="2">
        <v>45202.779166666667</v>
      </c>
      <c r="D973" s="3">
        <v>45202.779166666667</v>
      </c>
      <c r="E973">
        <v>61</v>
      </c>
      <c r="F973" s="1" t="s">
        <v>737</v>
      </c>
      <c r="G973" t="str">
        <f>IFERROR(VLOOKUP(Logs_Registre[[#This Row],[Cell_ID]],Registre_Maintenance[],2,FALSE),"")</f>
        <v>Tanganyika</v>
      </c>
      <c r="H973">
        <f>IFERROR(VLOOKUP(Logs_Registre[[#This Row],[Cell_ID]],Registre_Maintenance[],3,FALSE),"")</f>
        <v>-12.229338</v>
      </c>
      <c r="I973">
        <f>IFERROR(VLOOKUP(Logs_Registre[[#This Row],[Cell_ID]],Registre_Maintenance[],4,FALSE),"")</f>
        <v>29.587834999999998</v>
      </c>
      <c r="J973" t="str">
        <f>IFERROR(VLOOKUP(Logs_Registre[[#This Row],[Cell_ID]],Registre_Maintenance[],5,FALSE),"")</f>
        <v>4G</v>
      </c>
      <c r="K973" t="str">
        <f>IFERROR(VLOOKUP(Logs_Registre[[#This Row],[Cell_ID]],Registre_Maintenance[],6,FALSE),"")</f>
        <v>Nokia</v>
      </c>
    </row>
    <row r="974" spans="1:11" x14ac:dyDescent="0.25">
      <c r="A974" s="1" t="s">
        <v>1288</v>
      </c>
      <c r="B974" s="1" t="s">
        <v>1272</v>
      </c>
      <c r="C974" s="2">
        <v>45202.775694444441</v>
      </c>
      <c r="D974" s="3">
        <v>45202.775694444441</v>
      </c>
      <c r="E974">
        <v>72</v>
      </c>
      <c r="F974" s="1" t="s">
        <v>732</v>
      </c>
      <c r="G974" t="str">
        <f>IFERROR(VLOOKUP(Logs_Registre[[#This Row],[Cell_ID]],Registre_Maintenance[],2,FALSE),"")</f>
        <v>Kongo-Central</v>
      </c>
      <c r="H974">
        <f>IFERROR(VLOOKUP(Logs_Registre[[#This Row],[Cell_ID]],Registre_Maintenance[],3,FALSE),"")</f>
        <v>1.981107</v>
      </c>
      <c r="I974">
        <f>IFERROR(VLOOKUP(Logs_Registre[[#This Row],[Cell_ID]],Registre_Maintenance[],4,FALSE),"")</f>
        <v>23.932569000000001</v>
      </c>
      <c r="J974" t="str">
        <f>IFERROR(VLOOKUP(Logs_Registre[[#This Row],[Cell_ID]],Registre_Maintenance[],5,FALSE),"")</f>
        <v>3G</v>
      </c>
      <c r="K974" t="str">
        <f>IFERROR(VLOOKUP(Logs_Registre[[#This Row],[Cell_ID]],Registre_Maintenance[],6,FALSE),"")</f>
        <v>Nokia</v>
      </c>
    </row>
    <row r="975" spans="1:11" x14ac:dyDescent="0.25">
      <c r="A975" s="1" t="s">
        <v>1308</v>
      </c>
      <c r="B975" s="1" t="s">
        <v>878</v>
      </c>
      <c r="C975" s="2">
        <v>45202.747916666667</v>
      </c>
      <c r="D975" s="3">
        <v>45202.747916666667</v>
      </c>
      <c r="E975">
        <v>28</v>
      </c>
      <c r="F975" s="1" t="s">
        <v>735</v>
      </c>
      <c r="G975" t="str">
        <f>IFERROR(VLOOKUP(Logs_Registre[[#This Row],[Cell_ID]],Registre_Maintenance[],2,FALSE),"")</f>
        <v>Kasai-Central</v>
      </c>
      <c r="H975">
        <f>IFERROR(VLOOKUP(Logs_Registre[[#This Row],[Cell_ID]],Registre_Maintenance[],3,FALSE),"")</f>
        <v>-3.111418</v>
      </c>
      <c r="I975">
        <f>IFERROR(VLOOKUP(Logs_Registre[[#This Row],[Cell_ID]],Registre_Maintenance[],4,FALSE),"")</f>
        <v>14.144854</v>
      </c>
      <c r="J975" t="str">
        <f>IFERROR(VLOOKUP(Logs_Registre[[#This Row],[Cell_ID]],Registre_Maintenance[],5,FALSE),"")</f>
        <v>4G</v>
      </c>
      <c r="K975" t="str">
        <f>IFERROR(VLOOKUP(Logs_Registre[[#This Row],[Cell_ID]],Registre_Maintenance[],6,FALSE),"")</f>
        <v>ZTE</v>
      </c>
    </row>
    <row r="976" spans="1:11" x14ac:dyDescent="0.25">
      <c r="A976" s="1" t="s">
        <v>1261</v>
      </c>
      <c r="B976" s="1" t="s">
        <v>1211</v>
      </c>
      <c r="C976" s="2">
        <v>45202.728472222218</v>
      </c>
      <c r="D976" s="3">
        <v>45202.728472222218</v>
      </c>
      <c r="E976">
        <v>18</v>
      </c>
      <c r="F976" s="1" t="s">
        <v>732</v>
      </c>
      <c r="G976" t="str">
        <f>IFERROR(VLOOKUP(Logs_Registre[[#This Row],[Cell_ID]],Registre_Maintenance[],2,FALSE),"")</f>
        <v/>
      </c>
      <c r="H976" t="str">
        <f>IFERROR(VLOOKUP(Logs_Registre[[#This Row],[Cell_ID]],Registre_Maintenance[],3,FALSE),"")</f>
        <v/>
      </c>
      <c r="I976" t="str">
        <f>IFERROR(VLOOKUP(Logs_Registre[[#This Row],[Cell_ID]],Registre_Maintenance[],4,FALSE),"")</f>
        <v/>
      </c>
      <c r="J976" t="str">
        <f>IFERROR(VLOOKUP(Logs_Registre[[#This Row],[Cell_ID]],Registre_Maintenance[],5,FALSE),"")</f>
        <v/>
      </c>
      <c r="K976" t="str">
        <f>IFERROR(VLOOKUP(Logs_Registre[[#This Row],[Cell_ID]],Registre_Maintenance[],6,FALSE),"")</f>
        <v/>
      </c>
    </row>
    <row r="977" spans="1:11" x14ac:dyDescent="0.25">
      <c r="A977" s="1" t="s">
        <v>978</v>
      </c>
      <c r="B977" s="1" t="s">
        <v>993</v>
      </c>
      <c r="C977" s="2">
        <v>45202.717361111107</v>
      </c>
      <c r="D977" s="3">
        <v>45202.717361111107</v>
      </c>
      <c r="E977">
        <v>115</v>
      </c>
      <c r="F977" s="1" t="s">
        <v>737</v>
      </c>
      <c r="G977" t="str">
        <f>IFERROR(VLOOKUP(Logs_Registre[[#This Row],[Cell_ID]],Registre_Maintenance[],2,FALSE),"")</f>
        <v>Tanganyika</v>
      </c>
      <c r="H977">
        <f>IFERROR(VLOOKUP(Logs_Registre[[#This Row],[Cell_ID]],Registre_Maintenance[],3,FALSE),"")</f>
        <v>-1.5936220000000001</v>
      </c>
      <c r="I977">
        <f>IFERROR(VLOOKUP(Logs_Registre[[#This Row],[Cell_ID]],Registre_Maintenance[],4,FALSE),"")</f>
        <v>14.928856</v>
      </c>
      <c r="J977" t="str">
        <f>IFERROR(VLOOKUP(Logs_Registre[[#This Row],[Cell_ID]],Registre_Maintenance[],5,FALSE),"")</f>
        <v>5G</v>
      </c>
      <c r="K977" t="str">
        <f>IFERROR(VLOOKUP(Logs_Registre[[#This Row],[Cell_ID]],Registre_Maintenance[],6,FALSE),"")</f>
        <v>Ericsson</v>
      </c>
    </row>
    <row r="978" spans="1:11" x14ac:dyDescent="0.25">
      <c r="A978" s="1" t="s">
        <v>1193</v>
      </c>
      <c r="B978" s="1" t="s">
        <v>1196</v>
      </c>
      <c r="C978" s="2">
        <v>45202.699305555558</v>
      </c>
      <c r="D978" s="3">
        <v>45202.699305555558</v>
      </c>
      <c r="E978">
        <v>63</v>
      </c>
      <c r="F978" s="1" t="s">
        <v>735</v>
      </c>
      <c r="G978" t="str">
        <f>IFERROR(VLOOKUP(Logs_Registre[[#This Row],[Cell_ID]],Registre_Maintenance[],2,FALSE),"")</f>
        <v>Tshopo</v>
      </c>
      <c r="H978">
        <f>IFERROR(VLOOKUP(Logs_Registre[[#This Row],[Cell_ID]],Registre_Maintenance[],3,FALSE),"")</f>
        <v>1.400674</v>
      </c>
      <c r="I978">
        <f>IFERROR(VLOOKUP(Logs_Registre[[#This Row],[Cell_ID]],Registre_Maintenance[],4,FALSE),"")</f>
        <v>13.503126999999999</v>
      </c>
      <c r="J978" t="str">
        <f>IFERROR(VLOOKUP(Logs_Registre[[#This Row],[Cell_ID]],Registre_Maintenance[],5,FALSE),"")</f>
        <v>5G</v>
      </c>
      <c r="K978" t="str">
        <f>IFERROR(VLOOKUP(Logs_Registre[[#This Row],[Cell_ID]],Registre_Maintenance[],6,FALSE),"")</f>
        <v>ZTE</v>
      </c>
    </row>
    <row r="979" spans="1:11" x14ac:dyDescent="0.25">
      <c r="A979" s="1" t="s">
        <v>1024</v>
      </c>
      <c r="B979" s="1" t="s">
        <v>1034</v>
      </c>
      <c r="C979" s="2">
        <v>45202.695138888892</v>
      </c>
      <c r="D979" s="3">
        <v>45202.695138888892</v>
      </c>
      <c r="E979">
        <v>21</v>
      </c>
      <c r="F979" s="1" t="s">
        <v>732</v>
      </c>
      <c r="G979" t="str">
        <f>IFERROR(VLOOKUP(Logs_Registre[[#This Row],[Cell_ID]],Registre_Maintenance[],2,FALSE),"")</f>
        <v/>
      </c>
      <c r="H979" t="str">
        <f>IFERROR(VLOOKUP(Logs_Registre[[#This Row],[Cell_ID]],Registre_Maintenance[],3,FALSE),"")</f>
        <v/>
      </c>
      <c r="I979" t="str">
        <f>IFERROR(VLOOKUP(Logs_Registre[[#This Row],[Cell_ID]],Registre_Maintenance[],4,FALSE),"")</f>
        <v/>
      </c>
      <c r="J979" t="str">
        <f>IFERROR(VLOOKUP(Logs_Registre[[#This Row],[Cell_ID]],Registre_Maintenance[],5,FALSE),"")</f>
        <v/>
      </c>
      <c r="K979" t="str">
        <f>IFERROR(VLOOKUP(Logs_Registre[[#This Row],[Cell_ID]],Registre_Maintenance[],6,FALSE),"")</f>
        <v/>
      </c>
    </row>
    <row r="980" spans="1:11" x14ac:dyDescent="0.25">
      <c r="A980" s="1" t="s">
        <v>1086</v>
      </c>
      <c r="B980" s="1" t="s">
        <v>1108</v>
      </c>
      <c r="C980" s="2">
        <v>45202.695138888892</v>
      </c>
      <c r="D980" s="3">
        <v>45202.695138888892</v>
      </c>
      <c r="E980">
        <v>49</v>
      </c>
      <c r="F980" s="1" t="s">
        <v>735</v>
      </c>
      <c r="G980" t="str">
        <f>IFERROR(VLOOKUP(Logs_Registre[[#This Row],[Cell_ID]],Registre_Maintenance[],2,FALSE),"")</f>
        <v/>
      </c>
      <c r="H980" t="str">
        <f>IFERROR(VLOOKUP(Logs_Registre[[#This Row],[Cell_ID]],Registre_Maintenance[],3,FALSE),"")</f>
        <v/>
      </c>
      <c r="I980" t="str">
        <f>IFERROR(VLOOKUP(Logs_Registre[[#This Row],[Cell_ID]],Registre_Maintenance[],4,FALSE),"")</f>
        <v/>
      </c>
      <c r="J980" t="str">
        <f>IFERROR(VLOOKUP(Logs_Registre[[#This Row],[Cell_ID]],Registre_Maintenance[],5,FALSE),"")</f>
        <v/>
      </c>
      <c r="K980" t="str">
        <f>IFERROR(VLOOKUP(Logs_Registre[[#This Row],[Cell_ID]],Registre_Maintenance[],6,FALSE),"")</f>
        <v/>
      </c>
    </row>
    <row r="981" spans="1:11" x14ac:dyDescent="0.25">
      <c r="A981" s="1" t="s">
        <v>1138</v>
      </c>
      <c r="B981" s="1" t="s">
        <v>1159</v>
      </c>
      <c r="C981" s="2">
        <v>45202.686111111107</v>
      </c>
      <c r="D981" s="3">
        <v>45202.686111111107</v>
      </c>
      <c r="E981">
        <v>53</v>
      </c>
      <c r="F981" s="1" t="s">
        <v>732</v>
      </c>
      <c r="G981" t="str">
        <f>IFERROR(VLOOKUP(Logs_Registre[[#This Row],[Cell_ID]],Registre_Maintenance[],2,FALSE),"")</f>
        <v/>
      </c>
      <c r="H981" t="str">
        <f>IFERROR(VLOOKUP(Logs_Registre[[#This Row],[Cell_ID]],Registre_Maintenance[],3,FALSE),"")</f>
        <v/>
      </c>
      <c r="I981" t="str">
        <f>IFERROR(VLOOKUP(Logs_Registre[[#This Row],[Cell_ID]],Registre_Maintenance[],4,FALSE),"")</f>
        <v/>
      </c>
      <c r="J981" t="str">
        <f>IFERROR(VLOOKUP(Logs_Registre[[#This Row],[Cell_ID]],Registre_Maintenance[],5,FALSE),"")</f>
        <v/>
      </c>
      <c r="K981" t="str">
        <f>IFERROR(VLOOKUP(Logs_Registre[[#This Row],[Cell_ID]],Registre_Maintenance[],6,FALSE),"")</f>
        <v/>
      </c>
    </row>
    <row r="982" spans="1:11" x14ac:dyDescent="0.25">
      <c r="A982" s="1" t="s">
        <v>939</v>
      </c>
      <c r="B982" s="1" t="s">
        <v>951</v>
      </c>
      <c r="C982" s="2">
        <v>45202.659722222219</v>
      </c>
      <c r="D982" s="3">
        <v>45202.659722222219</v>
      </c>
      <c r="E982">
        <v>42</v>
      </c>
      <c r="F982" s="1" t="s">
        <v>732</v>
      </c>
      <c r="G982" t="str">
        <f>IFERROR(VLOOKUP(Logs_Registre[[#This Row],[Cell_ID]],Registre_Maintenance[],2,FALSE),"")</f>
        <v/>
      </c>
      <c r="H982" t="str">
        <f>IFERROR(VLOOKUP(Logs_Registre[[#This Row],[Cell_ID]],Registre_Maintenance[],3,FALSE),"")</f>
        <v/>
      </c>
      <c r="I982" t="str">
        <f>IFERROR(VLOOKUP(Logs_Registre[[#This Row],[Cell_ID]],Registre_Maintenance[],4,FALSE),"")</f>
        <v/>
      </c>
      <c r="J982" t="str">
        <f>IFERROR(VLOOKUP(Logs_Registre[[#This Row],[Cell_ID]],Registre_Maintenance[],5,FALSE),"")</f>
        <v/>
      </c>
      <c r="K982" t="str">
        <f>IFERROR(VLOOKUP(Logs_Registre[[#This Row],[Cell_ID]],Registre_Maintenance[],6,FALSE),"")</f>
        <v/>
      </c>
    </row>
    <row r="983" spans="1:11" x14ac:dyDescent="0.25">
      <c r="A983" s="1" t="s">
        <v>1261</v>
      </c>
      <c r="B983" s="1" t="s">
        <v>1272</v>
      </c>
      <c r="C983" s="2">
        <v>45202.645138888889</v>
      </c>
      <c r="D983" s="3">
        <v>45202.645138888889</v>
      </c>
      <c r="E983">
        <v>106</v>
      </c>
      <c r="F983" s="1" t="s">
        <v>737</v>
      </c>
      <c r="G983" t="str">
        <f>IFERROR(VLOOKUP(Logs_Registre[[#This Row],[Cell_ID]],Registre_Maintenance[],2,FALSE),"")</f>
        <v>Kongo-Central</v>
      </c>
      <c r="H983">
        <f>IFERROR(VLOOKUP(Logs_Registre[[#This Row],[Cell_ID]],Registre_Maintenance[],3,FALSE),"")</f>
        <v>1.981107</v>
      </c>
      <c r="I983">
        <f>IFERROR(VLOOKUP(Logs_Registre[[#This Row],[Cell_ID]],Registre_Maintenance[],4,FALSE),"")</f>
        <v>23.932569000000001</v>
      </c>
      <c r="J983" t="str">
        <f>IFERROR(VLOOKUP(Logs_Registre[[#This Row],[Cell_ID]],Registre_Maintenance[],5,FALSE),"")</f>
        <v>3G</v>
      </c>
      <c r="K983" t="str">
        <f>IFERROR(VLOOKUP(Logs_Registre[[#This Row],[Cell_ID]],Registre_Maintenance[],6,FALSE),"")</f>
        <v>Nokia</v>
      </c>
    </row>
    <row r="984" spans="1:11" x14ac:dyDescent="0.25">
      <c r="A984" s="1" t="s">
        <v>1138</v>
      </c>
      <c r="B984" s="1" t="s">
        <v>1139</v>
      </c>
      <c r="C984" s="2">
        <v>45202.529166666667</v>
      </c>
      <c r="D984" s="3">
        <v>45202.529166666667</v>
      </c>
      <c r="E984">
        <v>109</v>
      </c>
      <c r="F984" s="1" t="s">
        <v>735</v>
      </c>
      <c r="G984" t="str">
        <f>IFERROR(VLOOKUP(Logs_Registre[[#This Row],[Cell_ID]],Registre_Maintenance[],2,FALSE),"")</f>
        <v>Haut-Uele</v>
      </c>
      <c r="H984">
        <f>IFERROR(VLOOKUP(Logs_Registre[[#This Row],[Cell_ID]],Registre_Maintenance[],3,FALSE),"")</f>
        <v>-7.1483749999999997</v>
      </c>
      <c r="I984">
        <f>IFERROR(VLOOKUP(Logs_Registre[[#This Row],[Cell_ID]],Registre_Maintenance[],4,FALSE),"")</f>
        <v>26.014271000000001</v>
      </c>
      <c r="J984" t="str">
        <f>IFERROR(VLOOKUP(Logs_Registre[[#This Row],[Cell_ID]],Registre_Maintenance[],5,FALSE),"")</f>
        <v>5G</v>
      </c>
      <c r="K984" t="str">
        <f>IFERROR(VLOOKUP(Logs_Registre[[#This Row],[Cell_ID]],Registre_Maintenance[],6,FALSE),"")</f>
        <v>Huawei</v>
      </c>
    </row>
    <row r="985" spans="1:11" x14ac:dyDescent="0.25">
      <c r="A985" s="1" t="s">
        <v>1404</v>
      </c>
      <c r="B985" s="1" t="s">
        <v>1278</v>
      </c>
      <c r="C985" s="2">
        <v>45202.499305555553</v>
      </c>
      <c r="D985" s="3">
        <v>45202.499305555553</v>
      </c>
      <c r="E985">
        <v>57</v>
      </c>
      <c r="F985" s="1" t="s">
        <v>735</v>
      </c>
      <c r="G985" t="str">
        <f>IFERROR(VLOOKUP(Logs_Registre[[#This Row],[Cell_ID]],Registre_Maintenance[],2,FALSE),"")</f>
        <v/>
      </c>
      <c r="H985" t="str">
        <f>IFERROR(VLOOKUP(Logs_Registre[[#This Row],[Cell_ID]],Registre_Maintenance[],3,FALSE),"")</f>
        <v/>
      </c>
      <c r="I985" t="str">
        <f>IFERROR(VLOOKUP(Logs_Registre[[#This Row],[Cell_ID]],Registre_Maintenance[],4,FALSE),"")</f>
        <v/>
      </c>
      <c r="J985" t="str">
        <f>IFERROR(VLOOKUP(Logs_Registre[[#This Row],[Cell_ID]],Registre_Maintenance[],5,FALSE),"")</f>
        <v/>
      </c>
      <c r="K985" t="str">
        <f>IFERROR(VLOOKUP(Logs_Registre[[#This Row],[Cell_ID]],Registre_Maintenance[],6,FALSE),"")</f>
        <v/>
      </c>
    </row>
    <row r="986" spans="1:11" x14ac:dyDescent="0.25">
      <c r="A986" s="1" t="s">
        <v>1241</v>
      </c>
      <c r="B986" s="1" t="s">
        <v>1252</v>
      </c>
      <c r="C986" s="2">
        <v>45202.487500000003</v>
      </c>
      <c r="D986" s="3">
        <v>45202.487500000003</v>
      </c>
      <c r="E986">
        <v>22</v>
      </c>
      <c r="F986" s="1" t="s">
        <v>737</v>
      </c>
      <c r="G986" t="str">
        <f>IFERROR(VLOOKUP(Logs_Registre[[#This Row],[Cell_ID]],Registre_Maintenance[],2,FALSE),"")</f>
        <v/>
      </c>
      <c r="H986" t="str">
        <f>IFERROR(VLOOKUP(Logs_Registre[[#This Row],[Cell_ID]],Registre_Maintenance[],3,FALSE),"")</f>
        <v/>
      </c>
      <c r="I986" t="str">
        <f>IFERROR(VLOOKUP(Logs_Registre[[#This Row],[Cell_ID]],Registre_Maintenance[],4,FALSE),"")</f>
        <v/>
      </c>
      <c r="J986" t="str">
        <f>IFERROR(VLOOKUP(Logs_Registre[[#This Row],[Cell_ID]],Registre_Maintenance[],5,FALSE),"")</f>
        <v/>
      </c>
      <c r="K986" t="str">
        <f>IFERROR(VLOOKUP(Logs_Registre[[#This Row],[Cell_ID]],Registre_Maintenance[],6,FALSE),"")</f>
        <v/>
      </c>
    </row>
    <row r="987" spans="1:11" x14ac:dyDescent="0.25">
      <c r="A987" s="1" t="s">
        <v>1193</v>
      </c>
      <c r="B987" s="1" t="s">
        <v>1218</v>
      </c>
      <c r="C987" s="2">
        <v>45202.469444444447</v>
      </c>
      <c r="D987" s="3">
        <v>45202.469444444447</v>
      </c>
      <c r="E987">
        <v>78</v>
      </c>
      <c r="F987" s="1" t="s">
        <v>732</v>
      </c>
      <c r="G987" t="str">
        <f>IFERROR(VLOOKUP(Logs_Registre[[#This Row],[Cell_ID]],Registre_Maintenance[],2,FALSE),"")</f>
        <v/>
      </c>
      <c r="H987" t="str">
        <f>IFERROR(VLOOKUP(Logs_Registre[[#This Row],[Cell_ID]],Registre_Maintenance[],3,FALSE),"")</f>
        <v/>
      </c>
      <c r="I987" t="str">
        <f>IFERROR(VLOOKUP(Logs_Registre[[#This Row],[Cell_ID]],Registre_Maintenance[],4,FALSE),"")</f>
        <v/>
      </c>
      <c r="J987" t="str">
        <f>IFERROR(VLOOKUP(Logs_Registre[[#This Row],[Cell_ID]],Registre_Maintenance[],5,FALSE),"")</f>
        <v/>
      </c>
      <c r="K987" t="str">
        <f>IFERROR(VLOOKUP(Logs_Registre[[#This Row],[Cell_ID]],Registre_Maintenance[],6,FALSE),"")</f>
        <v/>
      </c>
    </row>
    <row r="988" spans="1:11" x14ac:dyDescent="0.25">
      <c r="A988" s="1" t="s">
        <v>939</v>
      </c>
      <c r="B988" s="1" t="s">
        <v>954</v>
      </c>
      <c r="C988" s="2">
        <v>45202.45416666667</v>
      </c>
      <c r="D988" s="3">
        <v>45202.45416666667</v>
      </c>
      <c r="E988">
        <v>89</v>
      </c>
      <c r="F988" s="1" t="s">
        <v>737</v>
      </c>
      <c r="G988" t="str">
        <f>IFERROR(VLOOKUP(Logs_Registre[[#This Row],[Cell_ID]],Registre_Maintenance[],2,FALSE),"")</f>
        <v/>
      </c>
      <c r="H988" t="str">
        <f>IFERROR(VLOOKUP(Logs_Registre[[#This Row],[Cell_ID]],Registre_Maintenance[],3,FALSE),"")</f>
        <v/>
      </c>
      <c r="I988" t="str">
        <f>IFERROR(VLOOKUP(Logs_Registre[[#This Row],[Cell_ID]],Registre_Maintenance[],4,FALSE),"")</f>
        <v/>
      </c>
      <c r="J988" t="str">
        <f>IFERROR(VLOOKUP(Logs_Registre[[#This Row],[Cell_ID]],Registre_Maintenance[],5,FALSE),"")</f>
        <v/>
      </c>
      <c r="K988" t="str">
        <f>IFERROR(VLOOKUP(Logs_Registre[[#This Row],[Cell_ID]],Registre_Maintenance[],6,FALSE),"")</f>
        <v/>
      </c>
    </row>
    <row r="989" spans="1:11" x14ac:dyDescent="0.25">
      <c r="A989" s="1" t="s">
        <v>1193</v>
      </c>
      <c r="B989" s="1" t="s">
        <v>1110</v>
      </c>
      <c r="C989" s="2">
        <v>45202.443055555559</v>
      </c>
      <c r="D989" s="3">
        <v>45202.443055555559</v>
      </c>
      <c r="E989">
        <v>43</v>
      </c>
      <c r="F989" s="1" t="s">
        <v>732</v>
      </c>
      <c r="G989" t="str">
        <f>IFERROR(VLOOKUP(Logs_Registre[[#This Row],[Cell_ID]],Registre_Maintenance[],2,FALSE),"")</f>
        <v/>
      </c>
      <c r="H989" t="str">
        <f>IFERROR(VLOOKUP(Logs_Registre[[#This Row],[Cell_ID]],Registre_Maintenance[],3,FALSE),"")</f>
        <v/>
      </c>
      <c r="I989" t="str">
        <f>IFERROR(VLOOKUP(Logs_Registre[[#This Row],[Cell_ID]],Registre_Maintenance[],4,FALSE),"")</f>
        <v/>
      </c>
      <c r="J989" t="str">
        <f>IFERROR(VLOOKUP(Logs_Registre[[#This Row],[Cell_ID]],Registre_Maintenance[],5,FALSE),"")</f>
        <v/>
      </c>
      <c r="K989" t="str">
        <f>IFERROR(VLOOKUP(Logs_Registre[[#This Row],[Cell_ID]],Registre_Maintenance[],6,FALSE),"")</f>
        <v/>
      </c>
    </row>
    <row r="990" spans="1:11" x14ac:dyDescent="0.25">
      <c r="A990" s="1" t="s">
        <v>1308</v>
      </c>
      <c r="B990" s="1" t="s">
        <v>1322</v>
      </c>
      <c r="C990" s="2">
        <v>45202.443055555559</v>
      </c>
      <c r="D990" s="3">
        <v>45202.443055555559</v>
      </c>
      <c r="E990">
        <v>52</v>
      </c>
      <c r="F990" s="1" t="s">
        <v>735</v>
      </c>
      <c r="G990" t="str">
        <f>IFERROR(VLOOKUP(Logs_Registre[[#This Row],[Cell_ID]],Registre_Maintenance[],2,FALSE),"")</f>
        <v/>
      </c>
      <c r="H990" t="str">
        <f>IFERROR(VLOOKUP(Logs_Registre[[#This Row],[Cell_ID]],Registre_Maintenance[],3,FALSE),"")</f>
        <v/>
      </c>
      <c r="I990" t="str">
        <f>IFERROR(VLOOKUP(Logs_Registre[[#This Row],[Cell_ID]],Registre_Maintenance[],4,FALSE),"")</f>
        <v/>
      </c>
      <c r="J990" t="str">
        <f>IFERROR(VLOOKUP(Logs_Registre[[#This Row],[Cell_ID]],Registre_Maintenance[],5,FALSE),"")</f>
        <v/>
      </c>
      <c r="K990" t="str">
        <f>IFERROR(VLOOKUP(Logs_Registre[[#This Row],[Cell_ID]],Registre_Maintenance[],6,FALSE),"")</f>
        <v/>
      </c>
    </row>
    <row r="991" spans="1:11" x14ac:dyDescent="0.25">
      <c r="A991" s="1" t="s">
        <v>1024</v>
      </c>
      <c r="B991" s="1" t="s">
        <v>757</v>
      </c>
      <c r="C991" s="2">
        <v>45202.42083333333</v>
      </c>
      <c r="D991" s="3">
        <v>45202.42083333333</v>
      </c>
      <c r="E991">
        <v>84</v>
      </c>
      <c r="F991" s="1" t="s">
        <v>732</v>
      </c>
      <c r="G991" t="str">
        <f>IFERROR(VLOOKUP(Logs_Registre[[#This Row],[Cell_ID]],Registre_Maintenance[],2,FALSE),"")</f>
        <v/>
      </c>
      <c r="H991" t="str">
        <f>IFERROR(VLOOKUP(Logs_Registre[[#This Row],[Cell_ID]],Registre_Maintenance[],3,FALSE),"")</f>
        <v/>
      </c>
      <c r="I991" t="str">
        <f>IFERROR(VLOOKUP(Logs_Registre[[#This Row],[Cell_ID]],Registre_Maintenance[],4,FALSE),"")</f>
        <v/>
      </c>
      <c r="J991" t="str">
        <f>IFERROR(VLOOKUP(Logs_Registre[[#This Row],[Cell_ID]],Registre_Maintenance[],5,FALSE),"")</f>
        <v/>
      </c>
      <c r="K991" t="str">
        <f>IFERROR(VLOOKUP(Logs_Registre[[#This Row],[Cell_ID]],Registre_Maintenance[],6,FALSE),"")</f>
        <v/>
      </c>
    </row>
    <row r="992" spans="1:11" x14ac:dyDescent="0.25">
      <c r="A992" s="1" t="s">
        <v>1024</v>
      </c>
      <c r="B992" s="1" t="s">
        <v>1057</v>
      </c>
      <c r="C992" s="2">
        <v>45202.412499999999</v>
      </c>
      <c r="D992" s="3">
        <v>45202.412499999999</v>
      </c>
      <c r="E992">
        <v>35</v>
      </c>
      <c r="F992" s="1" t="s">
        <v>732</v>
      </c>
      <c r="G992" t="str">
        <f>IFERROR(VLOOKUP(Logs_Registre[[#This Row],[Cell_ID]],Registre_Maintenance[],2,FALSE),"")</f>
        <v>Bas-Uele</v>
      </c>
      <c r="H992">
        <f>IFERROR(VLOOKUP(Logs_Registre[[#This Row],[Cell_ID]],Registre_Maintenance[],3,FALSE),"")</f>
        <v>-6.4197189999999997</v>
      </c>
      <c r="I992">
        <f>IFERROR(VLOOKUP(Logs_Registre[[#This Row],[Cell_ID]],Registre_Maintenance[],4,FALSE),"")</f>
        <v>22.287264</v>
      </c>
      <c r="J992" t="str">
        <f>IFERROR(VLOOKUP(Logs_Registre[[#This Row],[Cell_ID]],Registre_Maintenance[],5,FALSE),"")</f>
        <v>3G</v>
      </c>
      <c r="K992" t="str">
        <f>IFERROR(VLOOKUP(Logs_Registre[[#This Row],[Cell_ID]],Registre_Maintenance[],6,FALSE),"")</f>
        <v>Ericsson</v>
      </c>
    </row>
    <row r="993" spans="1:11" x14ac:dyDescent="0.25">
      <c r="A993" s="1" t="s">
        <v>1219</v>
      </c>
      <c r="B993" s="1" t="s">
        <v>1226</v>
      </c>
      <c r="C993" s="2">
        <v>45202.376388888893</v>
      </c>
      <c r="D993" s="3">
        <v>45202.376388888893</v>
      </c>
      <c r="E993">
        <v>28</v>
      </c>
      <c r="F993" s="1" t="s">
        <v>732</v>
      </c>
      <c r="G993" t="str">
        <f>IFERROR(VLOOKUP(Logs_Registre[[#This Row],[Cell_ID]],Registre_Maintenance[],2,FALSE),"")</f>
        <v>Kwilu</v>
      </c>
      <c r="H993">
        <f>IFERROR(VLOOKUP(Logs_Registre[[#This Row],[Cell_ID]],Registre_Maintenance[],3,FALSE),"")</f>
        <v>-7.402336</v>
      </c>
      <c r="I993">
        <f>IFERROR(VLOOKUP(Logs_Registre[[#This Row],[Cell_ID]],Registre_Maintenance[],4,FALSE),"")</f>
        <v>27.376697</v>
      </c>
      <c r="J993" t="str">
        <f>IFERROR(VLOOKUP(Logs_Registre[[#This Row],[Cell_ID]],Registre_Maintenance[],5,FALSE),"")</f>
        <v>4G</v>
      </c>
      <c r="K993" t="str">
        <f>IFERROR(VLOOKUP(Logs_Registre[[#This Row],[Cell_ID]],Registre_Maintenance[],6,FALSE),"")</f>
        <v>Huawei</v>
      </c>
    </row>
    <row r="994" spans="1:11" x14ac:dyDescent="0.25">
      <c r="A994" s="1" t="s">
        <v>1361</v>
      </c>
      <c r="B994" s="1" t="s">
        <v>1377</v>
      </c>
      <c r="C994" s="2">
        <v>45202.361805555563</v>
      </c>
      <c r="D994" s="3">
        <v>45202.361805555563</v>
      </c>
      <c r="E994">
        <v>15</v>
      </c>
      <c r="F994" s="1" t="s">
        <v>735</v>
      </c>
      <c r="G994" t="str">
        <f>IFERROR(VLOOKUP(Logs_Registre[[#This Row],[Cell_ID]],Registre_Maintenance[],2,FALSE),"")</f>
        <v/>
      </c>
      <c r="H994" t="str">
        <f>IFERROR(VLOOKUP(Logs_Registre[[#This Row],[Cell_ID]],Registre_Maintenance[],3,FALSE),"")</f>
        <v/>
      </c>
      <c r="I994" t="str">
        <f>IFERROR(VLOOKUP(Logs_Registre[[#This Row],[Cell_ID]],Registre_Maintenance[],4,FALSE),"")</f>
        <v/>
      </c>
      <c r="J994" t="str">
        <f>IFERROR(VLOOKUP(Logs_Registre[[#This Row],[Cell_ID]],Registre_Maintenance[],5,FALSE),"")</f>
        <v/>
      </c>
      <c r="K994" t="str">
        <f>IFERROR(VLOOKUP(Logs_Registre[[#This Row],[Cell_ID]],Registre_Maintenance[],6,FALSE),"")</f>
        <v/>
      </c>
    </row>
    <row r="995" spans="1:11" x14ac:dyDescent="0.25">
      <c r="A995" s="1" t="s">
        <v>1288</v>
      </c>
      <c r="B995" s="1" t="s">
        <v>1302</v>
      </c>
      <c r="C995" s="2">
        <v>45202.35</v>
      </c>
      <c r="D995" s="3">
        <v>45202.35</v>
      </c>
      <c r="E995">
        <v>78</v>
      </c>
      <c r="F995" s="1" t="s">
        <v>732</v>
      </c>
      <c r="G995" t="str">
        <f>IFERROR(VLOOKUP(Logs_Registre[[#This Row],[Cell_ID]],Registre_Maintenance[],2,FALSE),"")</f>
        <v/>
      </c>
      <c r="H995" t="str">
        <f>IFERROR(VLOOKUP(Logs_Registre[[#This Row],[Cell_ID]],Registre_Maintenance[],3,FALSE),"")</f>
        <v/>
      </c>
      <c r="I995" t="str">
        <f>IFERROR(VLOOKUP(Logs_Registre[[#This Row],[Cell_ID]],Registre_Maintenance[],4,FALSE),"")</f>
        <v/>
      </c>
      <c r="J995" t="str">
        <f>IFERROR(VLOOKUP(Logs_Registre[[#This Row],[Cell_ID]],Registre_Maintenance[],5,FALSE),"")</f>
        <v/>
      </c>
      <c r="K995" t="str">
        <f>IFERROR(VLOOKUP(Logs_Registre[[#This Row],[Cell_ID]],Registre_Maintenance[],6,FALSE),"")</f>
        <v/>
      </c>
    </row>
    <row r="996" spans="1:11" x14ac:dyDescent="0.25">
      <c r="A996" s="1" t="s">
        <v>939</v>
      </c>
      <c r="B996" s="1" t="s">
        <v>958</v>
      </c>
      <c r="C996" s="2">
        <v>45202.319444444453</v>
      </c>
      <c r="D996" s="3">
        <v>45202.319444444453</v>
      </c>
      <c r="E996">
        <v>115</v>
      </c>
      <c r="F996" s="1" t="s">
        <v>735</v>
      </c>
      <c r="G996" t="str">
        <f>IFERROR(VLOOKUP(Logs_Registre[[#This Row],[Cell_ID]],Registre_Maintenance[],2,FALSE),"")</f>
        <v/>
      </c>
      <c r="H996" t="str">
        <f>IFERROR(VLOOKUP(Logs_Registre[[#This Row],[Cell_ID]],Registre_Maintenance[],3,FALSE),"")</f>
        <v/>
      </c>
      <c r="I996" t="str">
        <f>IFERROR(VLOOKUP(Logs_Registre[[#This Row],[Cell_ID]],Registre_Maintenance[],4,FALSE),"")</f>
        <v/>
      </c>
      <c r="J996" t="str">
        <f>IFERROR(VLOOKUP(Logs_Registre[[#This Row],[Cell_ID]],Registre_Maintenance[],5,FALSE),"")</f>
        <v/>
      </c>
      <c r="K996" t="str">
        <f>IFERROR(VLOOKUP(Logs_Registre[[#This Row],[Cell_ID]],Registre_Maintenance[],6,FALSE),"")</f>
        <v/>
      </c>
    </row>
    <row r="997" spans="1:11" x14ac:dyDescent="0.25">
      <c r="A997" s="1" t="s">
        <v>730</v>
      </c>
      <c r="B997" s="1" t="s">
        <v>773</v>
      </c>
      <c r="C997" s="2">
        <v>45202.290277777778</v>
      </c>
      <c r="D997" s="3">
        <v>45202.290277777778</v>
      </c>
      <c r="E997">
        <v>103</v>
      </c>
      <c r="F997" s="1" t="s">
        <v>735</v>
      </c>
      <c r="G997" t="str">
        <f>IFERROR(VLOOKUP(Logs_Registre[[#This Row],[Cell_ID]],Registre_Maintenance[],2,FALSE),"")</f>
        <v>Equateur</v>
      </c>
      <c r="H997">
        <f>IFERROR(VLOOKUP(Logs_Registre[[#This Row],[Cell_ID]],Registre_Maintenance[],3,FALSE),"")</f>
        <v>4.9250049999999996</v>
      </c>
      <c r="I997">
        <f>IFERROR(VLOOKUP(Logs_Registre[[#This Row],[Cell_ID]],Registre_Maintenance[],4,FALSE),"")</f>
        <v>19.887931999999999</v>
      </c>
      <c r="J997" t="str">
        <f>IFERROR(VLOOKUP(Logs_Registre[[#This Row],[Cell_ID]],Registre_Maintenance[],5,FALSE),"")</f>
        <v>4G</v>
      </c>
      <c r="K997" t="str">
        <f>IFERROR(VLOOKUP(Logs_Registre[[#This Row],[Cell_ID]],Registre_Maintenance[],6,FALSE),"")</f>
        <v>Huawei</v>
      </c>
    </row>
    <row r="998" spans="1:11" x14ac:dyDescent="0.25">
      <c r="A998" s="1" t="s">
        <v>1288</v>
      </c>
      <c r="B998" s="1" t="s">
        <v>870</v>
      </c>
      <c r="C998" s="2">
        <v>45202.289583333331</v>
      </c>
      <c r="D998" s="3">
        <v>45202.289583333331</v>
      </c>
      <c r="E998">
        <v>103</v>
      </c>
      <c r="F998" s="1" t="s">
        <v>735</v>
      </c>
      <c r="G998" t="str">
        <f>IFERROR(VLOOKUP(Logs_Registre[[#This Row],[Cell_ID]],Registre_Maintenance[],2,FALSE),"")</f>
        <v/>
      </c>
      <c r="H998" t="str">
        <f>IFERROR(VLOOKUP(Logs_Registre[[#This Row],[Cell_ID]],Registre_Maintenance[],3,FALSE),"")</f>
        <v/>
      </c>
      <c r="I998" t="str">
        <f>IFERROR(VLOOKUP(Logs_Registre[[#This Row],[Cell_ID]],Registre_Maintenance[],4,FALSE),"")</f>
        <v/>
      </c>
      <c r="J998" t="str">
        <f>IFERROR(VLOOKUP(Logs_Registre[[#This Row],[Cell_ID]],Registre_Maintenance[],5,FALSE),"")</f>
        <v/>
      </c>
      <c r="K998" t="str">
        <f>IFERROR(VLOOKUP(Logs_Registre[[#This Row],[Cell_ID]],Registre_Maintenance[],6,FALSE),"")</f>
        <v/>
      </c>
    </row>
    <row r="999" spans="1:11" x14ac:dyDescent="0.25">
      <c r="A999" s="1" t="s">
        <v>730</v>
      </c>
      <c r="B999" s="1" t="s">
        <v>740</v>
      </c>
      <c r="C999" s="2">
        <v>45202.259722222218</v>
      </c>
      <c r="D999" s="3">
        <v>45202.259722222218</v>
      </c>
      <c r="E999">
        <v>79</v>
      </c>
      <c r="F999" s="1" t="s">
        <v>732</v>
      </c>
      <c r="G999" t="str">
        <f>IFERROR(VLOOKUP(Logs_Registre[[#This Row],[Cell_ID]],Registre_Maintenance[],2,FALSE),"")</f>
        <v>Kasai-Central</v>
      </c>
      <c r="H999">
        <f>IFERROR(VLOOKUP(Logs_Registre[[#This Row],[Cell_ID]],Registre_Maintenance[],3,FALSE),"")</f>
        <v>-1.648264</v>
      </c>
      <c r="I999">
        <f>IFERROR(VLOOKUP(Logs_Registre[[#This Row],[Cell_ID]],Registre_Maintenance[],4,FALSE),"")</f>
        <v>28.866143999999998</v>
      </c>
      <c r="J999" t="str">
        <f>IFERROR(VLOOKUP(Logs_Registre[[#This Row],[Cell_ID]],Registre_Maintenance[],5,FALSE),"")</f>
        <v>5G</v>
      </c>
      <c r="K999" t="str">
        <f>IFERROR(VLOOKUP(Logs_Registre[[#This Row],[Cell_ID]],Registre_Maintenance[],6,FALSE),"")</f>
        <v>Ericsson</v>
      </c>
    </row>
    <row r="1000" spans="1:11" x14ac:dyDescent="0.25">
      <c r="A1000" s="1" t="s">
        <v>902</v>
      </c>
      <c r="B1000" s="1" t="s">
        <v>920</v>
      </c>
      <c r="C1000" s="2">
        <v>45202.21875</v>
      </c>
      <c r="D1000" s="3">
        <v>45202.21875</v>
      </c>
      <c r="E1000">
        <v>86</v>
      </c>
      <c r="F1000" s="1" t="s">
        <v>737</v>
      </c>
      <c r="G1000" t="str">
        <f>IFERROR(VLOOKUP(Logs_Registre[[#This Row],[Cell_ID]],Registre_Maintenance[],2,FALSE),"")</f>
        <v>Haut-Lomami</v>
      </c>
      <c r="H1000">
        <f>IFERROR(VLOOKUP(Logs_Registre[[#This Row],[Cell_ID]],Registre_Maintenance[],3,FALSE),"")</f>
        <v>-12.112682</v>
      </c>
      <c r="I1000">
        <f>IFERROR(VLOOKUP(Logs_Registre[[#This Row],[Cell_ID]],Registre_Maintenance[],4,FALSE),"")</f>
        <v>19.972052000000001</v>
      </c>
      <c r="J1000" t="str">
        <f>IFERROR(VLOOKUP(Logs_Registre[[#This Row],[Cell_ID]],Registre_Maintenance[],5,FALSE),"")</f>
        <v>4G</v>
      </c>
      <c r="K1000" t="str">
        <f>IFERROR(VLOOKUP(Logs_Registre[[#This Row],[Cell_ID]],Registre_Maintenance[],6,FALSE),"")</f>
        <v>Huawei</v>
      </c>
    </row>
    <row r="1001" spans="1:11" x14ac:dyDescent="0.25">
      <c r="A1001" s="1" t="s">
        <v>1059</v>
      </c>
      <c r="B1001" s="1" t="s">
        <v>1062</v>
      </c>
      <c r="C1001" s="2">
        <v>45202.161805555559</v>
      </c>
      <c r="D1001" s="3">
        <v>45202.161805555559</v>
      </c>
      <c r="E1001">
        <v>61</v>
      </c>
      <c r="F1001" s="1" t="s">
        <v>735</v>
      </c>
      <c r="G1001" t="str">
        <f>IFERROR(VLOOKUP(Logs_Registre[[#This Row],[Cell_ID]],Registre_Maintenance[],2,FALSE),"")</f>
        <v>Nord-Kivu</v>
      </c>
      <c r="H1001">
        <f>IFERROR(VLOOKUP(Logs_Registre[[#This Row],[Cell_ID]],Registre_Maintenance[],3,FALSE),"")</f>
        <v>-6.5529849999999996</v>
      </c>
      <c r="I1001">
        <f>IFERROR(VLOOKUP(Logs_Registre[[#This Row],[Cell_ID]],Registre_Maintenance[],4,FALSE),"")</f>
        <v>21.990606</v>
      </c>
      <c r="J1001" t="str">
        <f>IFERROR(VLOOKUP(Logs_Registre[[#This Row],[Cell_ID]],Registre_Maintenance[],5,FALSE),"")</f>
        <v>3G</v>
      </c>
      <c r="K1001" t="str">
        <f>IFERROR(VLOOKUP(Logs_Registre[[#This Row],[Cell_ID]],Registre_Maintenance[],6,FALSE),"")</f>
        <v>Huawei</v>
      </c>
    </row>
    <row r="1002" spans="1:11" x14ac:dyDescent="0.25">
      <c r="A1002" s="1" t="s">
        <v>1193</v>
      </c>
      <c r="B1002" s="1" t="s">
        <v>1204</v>
      </c>
      <c r="C1002" s="2">
        <v>45202.095138888893</v>
      </c>
      <c r="D1002" s="3">
        <v>45202.095138888893</v>
      </c>
      <c r="E1002">
        <v>61</v>
      </c>
      <c r="F1002" s="1" t="s">
        <v>735</v>
      </c>
      <c r="G1002" t="str">
        <f>IFERROR(VLOOKUP(Logs_Registre[[#This Row],[Cell_ID]],Registre_Maintenance[],2,FALSE),"")</f>
        <v/>
      </c>
      <c r="H1002" t="str">
        <f>IFERROR(VLOOKUP(Logs_Registre[[#This Row],[Cell_ID]],Registre_Maintenance[],3,FALSE),"")</f>
        <v/>
      </c>
      <c r="I1002" t="str">
        <f>IFERROR(VLOOKUP(Logs_Registre[[#This Row],[Cell_ID]],Registre_Maintenance[],4,FALSE),"")</f>
        <v/>
      </c>
      <c r="J1002" t="str">
        <f>IFERROR(VLOOKUP(Logs_Registre[[#This Row],[Cell_ID]],Registre_Maintenance[],5,FALSE),"")</f>
        <v/>
      </c>
      <c r="K1002" t="str">
        <f>IFERROR(VLOOKUP(Logs_Registre[[#This Row],[Cell_ID]],Registre_Maintenance[],6,FALSE),"")</f>
        <v/>
      </c>
    </row>
    <row r="1003" spans="1:11" x14ac:dyDescent="0.25">
      <c r="A1003" s="1" t="s">
        <v>1345</v>
      </c>
      <c r="B1003" s="1" t="s">
        <v>1006</v>
      </c>
      <c r="C1003" s="2">
        <v>45202.054861111108</v>
      </c>
      <c r="D1003" s="3">
        <v>45202.054861111108</v>
      </c>
      <c r="E1003">
        <v>11</v>
      </c>
      <c r="F1003" s="1" t="s">
        <v>732</v>
      </c>
      <c r="G1003" t="str">
        <f>IFERROR(VLOOKUP(Logs_Registre[[#This Row],[Cell_ID]],Registre_Maintenance[],2,FALSE),"")</f>
        <v/>
      </c>
      <c r="H1003" t="str">
        <f>IFERROR(VLOOKUP(Logs_Registre[[#This Row],[Cell_ID]],Registre_Maintenance[],3,FALSE),"")</f>
        <v/>
      </c>
      <c r="I1003" t="str">
        <f>IFERROR(VLOOKUP(Logs_Registre[[#This Row],[Cell_ID]],Registre_Maintenance[],4,FALSE),"")</f>
        <v/>
      </c>
      <c r="J1003" t="str">
        <f>IFERROR(VLOOKUP(Logs_Registre[[#This Row],[Cell_ID]],Registre_Maintenance[],5,FALSE),"")</f>
        <v/>
      </c>
      <c r="K1003" t="str">
        <f>IFERROR(VLOOKUP(Logs_Registre[[#This Row],[Cell_ID]],Registre_Maintenance[],6,FALSE),"")</f>
        <v/>
      </c>
    </row>
    <row r="1004" spans="1:11" x14ac:dyDescent="0.25">
      <c r="A1004" s="1" t="s">
        <v>999</v>
      </c>
      <c r="B1004" s="1" t="s">
        <v>1017</v>
      </c>
      <c r="C1004" s="2">
        <v>45202.04791666667</v>
      </c>
      <c r="D1004" s="3">
        <v>45202.04791666667</v>
      </c>
      <c r="E1004">
        <v>115</v>
      </c>
      <c r="F1004" s="1" t="s">
        <v>735</v>
      </c>
      <c r="G1004" t="str">
        <f>IFERROR(VLOOKUP(Logs_Registre[[#This Row],[Cell_ID]],Registre_Maintenance[],2,FALSE),"")</f>
        <v>Tshuapa</v>
      </c>
      <c r="H1004">
        <f>IFERROR(VLOOKUP(Logs_Registre[[#This Row],[Cell_ID]],Registre_Maintenance[],3,FALSE),"")</f>
        <v>-10.577049000000001</v>
      </c>
      <c r="I1004">
        <f>IFERROR(VLOOKUP(Logs_Registre[[#This Row],[Cell_ID]],Registre_Maintenance[],4,FALSE),"")</f>
        <v>23.721854</v>
      </c>
      <c r="J1004" t="str">
        <f>IFERROR(VLOOKUP(Logs_Registre[[#This Row],[Cell_ID]],Registre_Maintenance[],5,FALSE),"")</f>
        <v>4G</v>
      </c>
      <c r="K1004" t="str">
        <f>IFERROR(VLOOKUP(Logs_Registre[[#This Row],[Cell_ID]],Registre_Maintenance[],6,FALSE),"")</f>
        <v>ZTE</v>
      </c>
    </row>
    <row r="1005" spans="1:11" x14ac:dyDescent="0.25">
      <c r="A1005" s="1" t="s">
        <v>1404</v>
      </c>
      <c r="B1005" s="1" t="s">
        <v>1409</v>
      </c>
      <c r="C1005" s="2">
        <v>45201.95416666667</v>
      </c>
      <c r="D1005" s="3">
        <v>45201.95416666667</v>
      </c>
      <c r="E1005">
        <v>32</v>
      </c>
      <c r="F1005" s="1" t="s">
        <v>735</v>
      </c>
      <c r="G1005" t="str">
        <f>IFERROR(VLOOKUP(Logs_Registre[[#This Row],[Cell_ID]],Registre_Maintenance[],2,FALSE),"")</f>
        <v/>
      </c>
      <c r="H1005" t="str">
        <f>IFERROR(VLOOKUP(Logs_Registre[[#This Row],[Cell_ID]],Registre_Maintenance[],3,FALSE),"")</f>
        <v/>
      </c>
      <c r="I1005" t="str">
        <f>IFERROR(VLOOKUP(Logs_Registre[[#This Row],[Cell_ID]],Registre_Maintenance[],4,FALSE),"")</f>
        <v/>
      </c>
      <c r="J1005" t="str">
        <f>IFERROR(VLOOKUP(Logs_Registre[[#This Row],[Cell_ID]],Registre_Maintenance[],5,FALSE),"")</f>
        <v/>
      </c>
      <c r="K1005" t="str">
        <f>IFERROR(VLOOKUP(Logs_Registre[[#This Row],[Cell_ID]],Registre_Maintenance[],6,FALSE),"")</f>
        <v/>
      </c>
    </row>
    <row r="1006" spans="1:11" x14ac:dyDescent="0.25">
      <c r="A1006" s="1" t="s">
        <v>1114</v>
      </c>
      <c r="B1006" s="1" t="s">
        <v>922</v>
      </c>
      <c r="C1006" s="2">
        <v>45201.922222222223</v>
      </c>
      <c r="D1006" s="3">
        <v>45201.922222222223</v>
      </c>
      <c r="E1006">
        <v>32</v>
      </c>
      <c r="F1006" s="1" t="s">
        <v>732</v>
      </c>
      <c r="G1006" t="str">
        <f>IFERROR(VLOOKUP(Logs_Registre[[#This Row],[Cell_ID]],Registre_Maintenance[],2,FALSE),"")</f>
        <v>Bas-Uele</v>
      </c>
      <c r="H1006">
        <f>IFERROR(VLOOKUP(Logs_Registre[[#This Row],[Cell_ID]],Registre_Maintenance[],3,FALSE),"")</f>
        <v>1.5278670000000001</v>
      </c>
      <c r="I1006">
        <f>IFERROR(VLOOKUP(Logs_Registre[[#This Row],[Cell_ID]],Registre_Maintenance[],4,FALSE),"")</f>
        <v>13.899388999999999</v>
      </c>
      <c r="J1006" t="str">
        <f>IFERROR(VLOOKUP(Logs_Registre[[#This Row],[Cell_ID]],Registre_Maintenance[],5,FALSE),"")</f>
        <v>3G</v>
      </c>
      <c r="K1006" t="str">
        <f>IFERROR(VLOOKUP(Logs_Registre[[#This Row],[Cell_ID]],Registre_Maintenance[],6,FALSE),"")</f>
        <v>Huawei</v>
      </c>
    </row>
    <row r="1007" spans="1:11" x14ac:dyDescent="0.25">
      <c r="A1007" s="1" t="s">
        <v>730</v>
      </c>
      <c r="B1007" s="1" t="s">
        <v>758</v>
      </c>
      <c r="C1007" s="2">
        <v>45201.884722222218</v>
      </c>
      <c r="D1007" s="3">
        <v>45201.884722222218</v>
      </c>
      <c r="E1007">
        <v>54</v>
      </c>
      <c r="F1007" s="1" t="s">
        <v>737</v>
      </c>
      <c r="G1007" t="str">
        <f>IFERROR(VLOOKUP(Logs_Registre[[#This Row],[Cell_ID]],Registre_Maintenance[],2,FALSE),"")</f>
        <v>Nord-Kivu</v>
      </c>
      <c r="H1007">
        <f>IFERROR(VLOOKUP(Logs_Registre[[#This Row],[Cell_ID]],Registre_Maintenance[],3,FALSE),"")</f>
        <v>4.6287159999999998</v>
      </c>
      <c r="I1007">
        <f>IFERROR(VLOOKUP(Logs_Registre[[#This Row],[Cell_ID]],Registre_Maintenance[],4,FALSE),"")</f>
        <v>19.407077999999998</v>
      </c>
      <c r="J1007" t="str">
        <f>IFERROR(VLOOKUP(Logs_Registre[[#This Row],[Cell_ID]],Registre_Maintenance[],5,FALSE),"")</f>
        <v>4G</v>
      </c>
      <c r="K1007" t="str">
        <f>IFERROR(VLOOKUP(Logs_Registre[[#This Row],[Cell_ID]],Registre_Maintenance[],6,FALSE),"")</f>
        <v>Ericsson</v>
      </c>
    </row>
    <row r="1008" spans="1:11" x14ac:dyDescent="0.25">
      <c r="A1008" s="1" t="s">
        <v>1382</v>
      </c>
      <c r="B1008" s="1" t="s">
        <v>900</v>
      </c>
      <c r="C1008" s="2">
        <v>45201.877083333333</v>
      </c>
      <c r="D1008" s="3">
        <v>45201.877083333333</v>
      </c>
      <c r="E1008">
        <v>82</v>
      </c>
      <c r="F1008" s="1" t="s">
        <v>737</v>
      </c>
      <c r="G1008" t="str">
        <f>IFERROR(VLOOKUP(Logs_Registre[[#This Row],[Cell_ID]],Registre_Maintenance[],2,FALSE),"")</f>
        <v>Nord-Kivu</v>
      </c>
      <c r="H1008">
        <f>IFERROR(VLOOKUP(Logs_Registre[[#This Row],[Cell_ID]],Registre_Maintenance[],3,FALSE),"")</f>
        <v>-12.336202</v>
      </c>
      <c r="I1008">
        <f>IFERROR(VLOOKUP(Logs_Registre[[#This Row],[Cell_ID]],Registre_Maintenance[],4,FALSE),"")</f>
        <v>13.693683999999999</v>
      </c>
      <c r="J1008" t="str">
        <f>IFERROR(VLOOKUP(Logs_Registre[[#This Row],[Cell_ID]],Registre_Maintenance[],5,FALSE),"")</f>
        <v>5G</v>
      </c>
      <c r="K1008" t="str">
        <f>IFERROR(VLOOKUP(Logs_Registre[[#This Row],[Cell_ID]],Registre_Maintenance[],6,FALSE),"")</f>
        <v>Huawei</v>
      </c>
    </row>
    <row r="1009" spans="1:11" x14ac:dyDescent="0.25">
      <c r="A1009" s="1" t="s">
        <v>1086</v>
      </c>
      <c r="B1009" s="1" t="s">
        <v>1003</v>
      </c>
      <c r="C1009" s="2">
        <v>45201.867361111108</v>
      </c>
      <c r="D1009" s="3">
        <v>45201.867361111108</v>
      </c>
      <c r="E1009">
        <v>18</v>
      </c>
      <c r="F1009" s="1" t="s">
        <v>732</v>
      </c>
      <c r="G1009" t="str">
        <f>IFERROR(VLOOKUP(Logs_Registre[[#This Row],[Cell_ID]],Registre_Maintenance[],2,FALSE),"")</f>
        <v/>
      </c>
      <c r="H1009" t="str">
        <f>IFERROR(VLOOKUP(Logs_Registre[[#This Row],[Cell_ID]],Registre_Maintenance[],3,FALSE),"")</f>
        <v/>
      </c>
      <c r="I1009" t="str">
        <f>IFERROR(VLOOKUP(Logs_Registre[[#This Row],[Cell_ID]],Registre_Maintenance[],4,FALSE),"")</f>
        <v/>
      </c>
      <c r="J1009" t="str">
        <f>IFERROR(VLOOKUP(Logs_Registre[[#This Row],[Cell_ID]],Registre_Maintenance[],5,FALSE),"")</f>
        <v/>
      </c>
      <c r="K1009" t="str">
        <f>IFERROR(VLOOKUP(Logs_Registre[[#This Row],[Cell_ID]],Registre_Maintenance[],6,FALSE),"")</f>
        <v/>
      </c>
    </row>
    <row r="1010" spans="1:11" x14ac:dyDescent="0.25">
      <c r="A1010" s="1" t="s">
        <v>1345</v>
      </c>
      <c r="B1010" s="1" t="s">
        <v>1348</v>
      </c>
      <c r="C1010" s="2">
        <v>45201.859027777777</v>
      </c>
      <c r="D1010" s="3">
        <v>45201.859027777777</v>
      </c>
      <c r="E1010">
        <v>26</v>
      </c>
      <c r="F1010" s="1" t="s">
        <v>735</v>
      </c>
      <c r="G1010" t="str">
        <f>IFERROR(VLOOKUP(Logs_Registre[[#This Row],[Cell_ID]],Registre_Maintenance[],2,FALSE),"")</f>
        <v/>
      </c>
      <c r="H1010" t="str">
        <f>IFERROR(VLOOKUP(Logs_Registre[[#This Row],[Cell_ID]],Registre_Maintenance[],3,FALSE),"")</f>
        <v/>
      </c>
      <c r="I1010" t="str">
        <f>IFERROR(VLOOKUP(Logs_Registre[[#This Row],[Cell_ID]],Registre_Maintenance[],4,FALSE),"")</f>
        <v/>
      </c>
      <c r="J1010" t="str">
        <f>IFERROR(VLOOKUP(Logs_Registre[[#This Row],[Cell_ID]],Registre_Maintenance[],5,FALSE),"")</f>
        <v/>
      </c>
      <c r="K1010" t="str">
        <f>IFERROR(VLOOKUP(Logs_Registre[[#This Row],[Cell_ID]],Registre_Maintenance[],6,FALSE),"")</f>
        <v/>
      </c>
    </row>
    <row r="1011" spans="1:11" x14ac:dyDescent="0.25">
      <c r="A1011" s="1" t="s">
        <v>779</v>
      </c>
      <c r="B1011" s="1" t="s">
        <v>793</v>
      </c>
      <c r="C1011" s="2">
        <v>45201.856944444437</v>
      </c>
      <c r="D1011" s="3">
        <v>45201.856944444437</v>
      </c>
      <c r="E1011">
        <v>61</v>
      </c>
      <c r="F1011" s="1" t="s">
        <v>732</v>
      </c>
      <c r="G1011" t="str">
        <f>IFERROR(VLOOKUP(Logs_Registre[[#This Row],[Cell_ID]],Registre_Maintenance[],2,FALSE),"")</f>
        <v/>
      </c>
      <c r="H1011" t="str">
        <f>IFERROR(VLOOKUP(Logs_Registre[[#This Row],[Cell_ID]],Registre_Maintenance[],3,FALSE),"")</f>
        <v/>
      </c>
      <c r="I1011" t="str">
        <f>IFERROR(VLOOKUP(Logs_Registre[[#This Row],[Cell_ID]],Registre_Maintenance[],4,FALSE),"")</f>
        <v/>
      </c>
      <c r="J1011" t="str">
        <f>IFERROR(VLOOKUP(Logs_Registre[[#This Row],[Cell_ID]],Registre_Maintenance[],5,FALSE),"")</f>
        <v/>
      </c>
      <c r="K1011" t="str">
        <f>IFERROR(VLOOKUP(Logs_Registre[[#This Row],[Cell_ID]],Registre_Maintenance[],6,FALSE),"")</f>
        <v/>
      </c>
    </row>
    <row r="1012" spans="1:11" x14ac:dyDescent="0.25">
      <c r="A1012" s="1" t="s">
        <v>902</v>
      </c>
      <c r="B1012" s="1" t="s">
        <v>917</v>
      </c>
      <c r="C1012" s="2">
        <v>45201.824305555558</v>
      </c>
      <c r="D1012" s="3">
        <v>45201.824305555558</v>
      </c>
      <c r="E1012">
        <v>28</v>
      </c>
      <c r="F1012" s="1" t="s">
        <v>735</v>
      </c>
      <c r="G1012" t="str">
        <f>IFERROR(VLOOKUP(Logs_Registre[[#This Row],[Cell_ID]],Registre_Maintenance[],2,FALSE),"")</f>
        <v>Mai-Ndombe</v>
      </c>
      <c r="H1012">
        <f>IFERROR(VLOOKUP(Logs_Registre[[#This Row],[Cell_ID]],Registre_Maintenance[],3,FALSE),"")</f>
        <v>-9.3652280000000001</v>
      </c>
      <c r="I1012">
        <f>IFERROR(VLOOKUP(Logs_Registre[[#This Row],[Cell_ID]],Registre_Maintenance[],4,FALSE),"")</f>
        <v>18.674116000000001</v>
      </c>
      <c r="J1012" t="str">
        <f>IFERROR(VLOOKUP(Logs_Registre[[#This Row],[Cell_ID]],Registre_Maintenance[],5,FALSE),"")</f>
        <v>4G</v>
      </c>
      <c r="K1012" t="str">
        <f>IFERROR(VLOOKUP(Logs_Registre[[#This Row],[Cell_ID]],Registre_Maintenance[],6,FALSE),"")</f>
        <v>Huawei</v>
      </c>
    </row>
    <row r="1013" spans="1:11" x14ac:dyDescent="0.25">
      <c r="A1013" s="1" t="s">
        <v>1114</v>
      </c>
      <c r="B1013" s="1" t="s">
        <v>1127</v>
      </c>
      <c r="C1013" s="2">
        <v>45201.780555555553</v>
      </c>
      <c r="D1013" s="3">
        <v>45201.780555555553</v>
      </c>
      <c r="E1013">
        <v>15</v>
      </c>
      <c r="F1013" s="1" t="s">
        <v>732</v>
      </c>
      <c r="G1013" t="str">
        <f>IFERROR(VLOOKUP(Logs_Registre[[#This Row],[Cell_ID]],Registre_Maintenance[],2,FALSE),"")</f>
        <v/>
      </c>
      <c r="H1013" t="str">
        <f>IFERROR(VLOOKUP(Logs_Registre[[#This Row],[Cell_ID]],Registre_Maintenance[],3,FALSE),"")</f>
        <v/>
      </c>
      <c r="I1013" t="str">
        <f>IFERROR(VLOOKUP(Logs_Registre[[#This Row],[Cell_ID]],Registre_Maintenance[],4,FALSE),"")</f>
        <v/>
      </c>
      <c r="J1013" t="str">
        <f>IFERROR(VLOOKUP(Logs_Registre[[#This Row],[Cell_ID]],Registre_Maintenance[],5,FALSE),"")</f>
        <v/>
      </c>
      <c r="K1013" t="str">
        <f>IFERROR(VLOOKUP(Logs_Registre[[#This Row],[Cell_ID]],Registre_Maintenance[],6,FALSE),"")</f>
        <v/>
      </c>
    </row>
    <row r="1014" spans="1:11" x14ac:dyDescent="0.25">
      <c r="A1014" s="1" t="s">
        <v>779</v>
      </c>
      <c r="B1014" s="1" t="s">
        <v>768</v>
      </c>
      <c r="C1014" s="2">
        <v>45201.770833333343</v>
      </c>
      <c r="D1014" s="3">
        <v>45201.770833333343</v>
      </c>
      <c r="E1014">
        <v>18</v>
      </c>
      <c r="F1014" s="1" t="s">
        <v>737</v>
      </c>
      <c r="G1014" t="str">
        <f>IFERROR(VLOOKUP(Logs_Registre[[#This Row],[Cell_ID]],Registre_Maintenance[],2,FALSE),"")</f>
        <v/>
      </c>
      <c r="H1014" t="str">
        <f>IFERROR(VLOOKUP(Logs_Registre[[#This Row],[Cell_ID]],Registre_Maintenance[],3,FALSE),"")</f>
        <v/>
      </c>
      <c r="I1014" t="str">
        <f>IFERROR(VLOOKUP(Logs_Registre[[#This Row],[Cell_ID]],Registre_Maintenance[],4,FALSE),"")</f>
        <v/>
      </c>
      <c r="J1014" t="str">
        <f>IFERROR(VLOOKUP(Logs_Registre[[#This Row],[Cell_ID]],Registre_Maintenance[],5,FALSE),"")</f>
        <v/>
      </c>
      <c r="K1014" t="str">
        <f>IFERROR(VLOOKUP(Logs_Registre[[#This Row],[Cell_ID]],Registre_Maintenance[],6,FALSE),"")</f>
        <v/>
      </c>
    </row>
    <row r="1015" spans="1:11" x14ac:dyDescent="0.25">
      <c r="A1015" s="1" t="s">
        <v>1165</v>
      </c>
      <c r="B1015" s="1" t="s">
        <v>1171</v>
      </c>
      <c r="C1015" s="2">
        <v>45201.726388888892</v>
      </c>
      <c r="D1015" s="3">
        <v>45201.726388888892</v>
      </c>
      <c r="E1015">
        <v>97</v>
      </c>
      <c r="F1015" s="1" t="s">
        <v>735</v>
      </c>
      <c r="G1015" t="str">
        <f>IFERROR(VLOOKUP(Logs_Registre[[#This Row],[Cell_ID]],Registre_Maintenance[],2,FALSE),"")</f>
        <v>Kasai-Oriental</v>
      </c>
      <c r="H1015">
        <f>IFERROR(VLOOKUP(Logs_Registre[[#This Row],[Cell_ID]],Registre_Maintenance[],3,FALSE),"")</f>
        <v>-4.3639070000000002</v>
      </c>
      <c r="I1015">
        <f>IFERROR(VLOOKUP(Logs_Registre[[#This Row],[Cell_ID]],Registre_Maintenance[],4,FALSE),"")</f>
        <v>16.283307000000001</v>
      </c>
      <c r="J1015" t="str">
        <f>IFERROR(VLOOKUP(Logs_Registre[[#This Row],[Cell_ID]],Registre_Maintenance[],5,FALSE),"")</f>
        <v>5G</v>
      </c>
      <c r="K1015" t="str">
        <f>IFERROR(VLOOKUP(Logs_Registre[[#This Row],[Cell_ID]],Registre_Maintenance[],6,FALSE),"")</f>
        <v>Huawei</v>
      </c>
    </row>
    <row r="1016" spans="1:11" x14ac:dyDescent="0.25">
      <c r="A1016" s="1" t="s">
        <v>779</v>
      </c>
      <c r="B1016" s="1" t="s">
        <v>807</v>
      </c>
      <c r="C1016" s="2">
        <v>45201.670138888891</v>
      </c>
      <c r="D1016" s="3">
        <v>45201.670138888891</v>
      </c>
      <c r="E1016">
        <v>22</v>
      </c>
      <c r="F1016" s="1" t="s">
        <v>737</v>
      </c>
      <c r="G1016" t="str">
        <f>IFERROR(VLOOKUP(Logs_Registre[[#This Row],[Cell_ID]],Registre_Maintenance[],2,FALSE),"")</f>
        <v/>
      </c>
      <c r="H1016" t="str">
        <f>IFERROR(VLOOKUP(Logs_Registre[[#This Row],[Cell_ID]],Registre_Maintenance[],3,FALSE),"")</f>
        <v/>
      </c>
      <c r="I1016" t="str">
        <f>IFERROR(VLOOKUP(Logs_Registre[[#This Row],[Cell_ID]],Registre_Maintenance[],4,FALSE),"")</f>
        <v/>
      </c>
      <c r="J1016" t="str">
        <f>IFERROR(VLOOKUP(Logs_Registre[[#This Row],[Cell_ID]],Registre_Maintenance[],5,FALSE),"")</f>
        <v/>
      </c>
      <c r="K1016" t="str">
        <f>IFERROR(VLOOKUP(Logs_Registre[[#This Row],[Cell_ID]],Registre_Maintenance[],6,FALSE),"")</f>
        <v/>
      </c>
    </row>
    <row r="1017" spans="1:11" x14ac:dyDescent="0.25">
      <c r="A1017" s="1" t="s">
        <v>1261</v>
      </c>
      <c r="B1017" s="1" t="s">
        <v>783</v>
      </c>
      <c r="C1017" s="2">
        <v>45201.640972222223</v>
      </c>
      <c r="D1017" s="3">
        <v>45201.640972222223</v>
      </c>
      <c r="E1017">
        <v>86</v>
      </c>
      <c r="F1017" s="1" t="s">
        <v>737</v>
      </c>
      <c r="G1017" t="str">
        <f>IFERROR(VLOOKUP(Logs_Registre[[#This Row],[Cell_ID]],Registre_Maintenance[],2,FALSE),"")</f>
        <v/>
      </c>
      <c r="H1017" t="str">
        <f>IFERROR(VLOOKUP(Logs_Registre[[#This Row],[Cell_ID]],Registre_Maintenance[],3,FALSE),"")</f>
        <v/>
      </c>
      <c r="I1017" t="str">
        <f>IFERROR(VLOOKUP(Logs_Registre[[#This Row],[Cell_ID]],Registre_Maintenance[],4,FALSE),"")</f>
        <v/>
      </c>
      <c r="J1017" t="str">
        <f>IFERROR(VLOOKUP(Logs_Registre[[#This Row],[Cell_ID]],Registre_Maintenance[],5,FALSE),"")</f>
        <v/>
      </c>
      <c r="K1017" t="str">
        <f>IFERROR(VLOOKUP(Logs_Registre[[#This Row],[Cell_ID]],Registre_Maintenance[],6,FALSE),"")</f>
        <v/>
      </c>
    </row>
    <row r="1018" spans="1:11" x14ac:dyDescent="0.25">
      <c r="A1018" s="1" t="s">
        <v>1024</v>
      </c>
      <c r="B1018" s="1" t="s">
        <v>1030</v>
      </c>
      <c r="C1018" s="2">
        <v>45201.623611111107</v>
      </c>
      <c r="D1018" s="3">
        <v>45201.623611111107</v>
      </c>
      <c r="E1018">
        <v>9</v>
      </c>
      <c r="F1018" s="1" t="s">
        <v>732</v>
      </c>
      <c r="G1018" t="str">
        <f>IFERROR(VLOOKUP(Logs_Registre[[#This Row],[Cell_ID]],Registre_Maintenance[],2,FALSE),"")</f>
        <v/>
      </c>
      <c r="H1018" t="str">
        <f>IFERROR(VLOOKUP(Logs_Registre[[#This Row],[Cell_ID]],Registre_Maintenance[],3,FALSE),"")</f>
        <v/>
      </c>
      <c r="I1018" t="str">
        <f>IFERROR(VLOOKUP(Logs_Registre[[#This Row],[Cell_ID]],Registre_Maintenance[],4,FALSE),"")</f>
        <v/>
      </c>
      <c r="J1018" t="str">
        <f>IFERROR(VLOOKUP(Logs_Registre[[#This Row],[Cell_ID]],Registre_Maintenance[],5,FALSE),"")</f>
        <v/>
      </c>
      <c r="K1018" t="str">
        <f>IFERROR(VLOOKUP(Logs_Registre[[#This Row],[Cell_ID]],Registre_Maintenance[],6,FALSE),"")</f>
        <v/>
      </c>
    </row>
    <row r="1019" spans="1:11" x14ac:dyDescent="0.25">
      <c r="A1019" s="1" t="s">
        <v>1288</v>
      </c>
      <c r="B1019" s="1" t="s">
        <v>1296</v>
      </c>
      <c r="C1019" s="2">
        <v>45201.585416666669</v>
      </c>
      <c r="D1019" s="3">
        <v>45201.585416666669</v>
      </c>
      <c r="E1019">
        <v>17</v>
      </c>
      <c r="F1019" s="1" t="s">
        <v>737</v>
      </c>
      <c r="G1019" t="str">
        <f>IFERROR(VLOOKUP(Logs_Registre[[#This Row],[Cell_ID]],Registre_Maintenance[],2,FALSE),"")</f>
        <v/>
      </c>
      <c r="H1019" t="str">
        <f>IFERROR(VLOOKUP(Logs_Registre[[#This Row],[Cell_ID]],Registre_Maintenance[],3,FALSE),"")</f>
        <v/>
      </c>
      <c r="I1019" t="str">
        <f>IFERROR(VLOOKUP(Logs_Registre[[#This Row],[Cell_ID]],Registre_Maintenance[],4,FALSE),"")</f>
        <v/>
      </c>
      <c r="J1019" t="str">
        <f>IFERROR(VLOOKUP(Logs_Registre[[#This Row],[Cell_ID]],Registre_Maintenance[],5,FALSE),"")</f>
        <v/>
      </c>
      <c r="K1019" t="str">
        <f>IFERROR(VLOOKUP(Logs_Registre[[#This Row],[Cell_ID]],Registre_Maintenance[],6,FALSE),"")</f>
        <v/>
      </c>
    </row>
    <row r="1020" spans="1:11" x14ac:dyDescent="0.25">
      <c r="A1020" s="1" t="s">
        <v>902</v>
      </c>
      <c r="B1020" s="1" t="s">
        <v>753</v>
      </c>
      <c r="C1020" s="2">
        <v>45201.574305555558</v>
      </c>
      <c r="D1020" s="3">
        <v>45201.574305555558</v>
      </c>
      <c r="E1020">
        <v>75</v>
      </c>
      <c r="F1020" s="1" t="s">
        <v>737</v>
      </c>
      <c r="G1020" t="str">
        <f>IFERROR(VLOOKUP(Logs_Registre[[#This Row],[Cell_ID]],Registre_Maintenance[],2,FALSE),"")</f>
        <v>Haut-Katanga</v>
      </c>
      <c r="H1020">
        <f>IFERROR(VLOOKUP(Logs_Registre[[#This Row],[Cell_ID]],Registre_Maintenance[],3,FALSE),"")</f>
        <v>0.172153</v>
      </c>
      <c r="I1020">
        <f>IFERROR(VLOOKUP(Logs_Registre[[#This Row],[Cell_ID]],Registre_Maintenance[],4,FALSE),"")</f>
        <v>21.091376</v>
      </c>
      <c r="J1020" t="str">
        <f>IFERROR(VLOOKUP(Logs_Registre[[#This Row],[Cell_ID]],Registre_Maintenance[],5,FALSE),"")</f>
        <v>3G</v>
      </c>
      <c r="K1020" t="str">
        <f>IFERROR(VLOOKUP(Logs_Registre[[#This Row],[Cell_ID]],Registre_Maintenance[],6,FALSE),"")</f>
        <v>Ericsson</v>
      </c>
    </row>
    <row r="1021" spans="1:11" x14ac:dyDescent="0.25">
      <c r="A1021" s="1" t="s">
        <v>1241</v>
      </c>
      <c r="B1021" s="1" t="s">
        <v>1253</v>
      </c>
      <c r="C1021" s="2">
        <v>45201.527777777781</v>
      </c>
      <c r="D1021" s="3">
        <v>45201.527777777781</v>
      </c>
      <c r="E1021">
        <v>20</v>
      </c>
      <c r="F1021" s="1" t="s">
        <v>735</v>
      </c>
      <c r="G1021" t="str">
        <f>IFERROR(VLOOKUP(Logs_Registre[[#This Row],[Cell_ID]],Registre_Maintenance[],2,FALSE),"")</f>
        <v>Bas-Uele</v>
      </c>
      <c r="H1021">
        <f>IFERROR(VLOOKUP(Logs_Registre[[#This Row],[Cell_ID]],Registre_Maintenance[],3,FALSE),"")</f>
        <v>0.45116099999999998</v>
      </c>
      <c r="I1021">
        <f>IFERROR(VLOOKUP(Logs_Registre[[#This Row],[Cell_ID]],Registre_Maintenance[],4,FALSE),"")</f>
        <v>17.265761000000001</v>
      </c>
      <c r="J1021" t="str">
        <f>IFERROR(VLOOKUP(Logs_Registre[[#This Row],[Cell_ID]],Registre_Maintenance[],5,FALSE),"")</f>
        <v>4G</v>
      </c>
      <c r="K1021" t="str">
        <f>IFERROR(VLOOKUP(Logs_Registre[[#This Row],[Cell_ID]],Registre_Maintenance[],6,FALSE),"")</f>
        <v>Huawei</v>
      </c>
    </row>
    <row r="1022" spans="1:11" x14ac:dyDescent="0.25">
      <c r="A1022" s="1" t="s">
        <v>1308</v>
      </c>
      <c r="B1022" s="1" t="s">
        <v>849</v>
      </c>
      <c r="C1022" s="2">
        <v>45201.519444444442</v>
      </c>
      <c r="D1022" s="3">
        <v>45201.519444444442</v>
      </c>
      <c r="E1022">
        <v>113</v>
      </c>
      <c r="F1022" s="1" t="s">
        <v>737</v>
      </c>
      <c r="G1022" t="str">
        <f>IFERROR(VLOOKUP(Logs_Registre[[#This Row],[Cell_ID]],Registre_Maintenance[],2,FALSE),"")</f>
        <v/>
      </c>
      <c r="H1022" t="str">
        <f>IFERROR(VLOOKUP(Logs_Registre[[#This Row],[Cell_ID]],Registre_Maintenance[],3,FALSE),"")</f>
        <v/>
      </c>
      <c r="I1022" t="str">
        <f>IFERROR(VLOOKUP(Logs_Registre[[#This Row],[Cell_ID]],Registre_Maintenance[],4,FALSE),"")</f>
        <v/>
      </c>
      <c r="J1022" t="str">
        <f>IFERROR(VLOOKUP(Logs_Registre[[#This Row],[Cell_ID]],Registre_Maintenance[],5,FALSE),"")</f>
        <v/>
      </c>
      <c r="K1022" t="str">
        <f>IFERROR(VLOOKUP(Logs_Registre[[#This Row],[Cell_ID]],Registre_Maintenance[],6,FALSE),"")</f>
        <v/>
      </c>
    </row>
    <row r="1023" spans="1:11" x14ac:dyDescent="0.25">
      <c r="A1023" s="1" t="s">
        <v>978</v>
      </c>
      <c r="B1023" s="1" t="s">
        <v>856</v>
      </c>
      <c r="C1023" s="2">
        <v>45201.511805555558</v>
      </c>
      <c r="D1023" s="3">
        <v>45201.511805555558</v>
      </c>
      <c r="E1023">
        <v>62</v>
      </c>
      <c r="F1023" s="1" t="s">
        <v>735</v>
      </c>
      <c r="G1023" t="str">
        <f>IFERROR(VLOOKUP(Logs_Registre[[#This Row],[Cell_ID]],Registre_Maintenance[],2,FALSE),"")</f>
        <v/>
      </c>
      <c r="H1023" t="str">
        <f>IFERROR(VLOOKUP(Logs_Registre[[#This Row],[Cell_ID]],Registre_Maintenance[],3,FALSE),"")</f>
        <v/>
      </c>
      <c r="I1023" t="str">
        <f>IFERROR(VLOOKUP(Logs_Registre[[#This Row],[Cell_ID]],Registre_Maintenance[],4,FALSE),"")</f>
        <v/>
      </c>
      <c r="J1023" t="str">
        <f>IFERROR(VLOOKUP(Logs_Registre[[#This Row],[Cell_ID]],Registre_Maintenance[],5,FALSE),"")</f>
        <v/>
      </c>
      <c r="K1023" t="str">
        <f>IFERROR(VLOOKUP(Logs_Registre[[#This Row],[Cell_ID]],Registre_Maintenance[],6,FALSE),"")</f>
        <v/>
      </c>
    </row>
    <row r="1024" spans="1:11" x14ac:dyDescent="0.25">
      <c r="A1024" s="1" t="s">
        <v>861</v>
      </c>
      <c r="B1024" s="1" t="s">
        <v>876</v>
      </c>
      <c r="C1024" s="2">
        <v>45201.468055555553</v>
      </c>
      <c r="D1024" s="3">
        <v>45201.468055555553</v>
      </c>
      <c r="E1024">
        <v>80</v>
      </c>
      <c r="F1024" s="1" t="s">
        <v>732</v>
      </c>
      <c r="G1024" t="str">
        <f>IFERROR(VLOOKUP(Logs_Registre[[#This Row],[Cell_ID]],Registre_Maintenance[],2,FALSE),"")</f>
        <v>Haut-Katanga</v>
      </c>
      <c r="H1024">
        <f>IFERROR(VLOOKUP(Logs_Registre[[#This Row],[Cell_ID]],Registre_Maintenance[],3,FALSE),"")</f>
        <v>-3.3890790000000002</v>
      </c>
      <c r="I1024">
        <f>IFERROR(VLOOKUP(Logs_Registre[[#This Row],[Cell_ID]],Registre_Maintenance[],4,FALSE),"")</f>
        <v>18.374571</v>
      </c>
      <c r="J1024" t="str">
        <f>IFERROR(VLOOKUP(Logs_Registre[[#This Row],[Cell_ID]],Registre_Maintenance[],5,FALSE),"")</f>
        <v>5G</v>
      </c>
      <c r="K1024" t="str">
        <f>IFERROR(VLOOKUP(Logs_Registre[[#This Row],[Cell_ID]],Registre_Maintenance[],6,FALSE),"")</f>
        <v>ZTE</v>
      </c>
    </row>
    <row r="1025" spans="1:11" x14ac:dyDescent="0.25">
      <c r="A1025" s="1" t="s">
        <v>1059</v>
      </c>
      <c r="B1025" s="1" t="s">
        <v>1081</v>
      </c>
      <c r="C1025" s="2">
        <v>45201.457638888889</v>
      </c>
      <c r="D1025" s="3">
        <v>45201.457638888889</v>
      </c>
      <c r="E1025">
        <v>42</v>
      </c>
      <c r="F1025" s="1" t="s">
        <v>737</v>
      </c>
      <c r="G1025" t="str">
        <f>IFERROR(VLOOKUP(Logs_Registre[[#This Row],[Cell_ID]],Registre_Maintenance[],2,FALSE),"")</f>
        <v/>
      </c>
      <c r="H1025" t="str">
        <f>IFERROR(VLOOKUP(Logs_Registre[[#This Row],[Cell_ID]],Registre_Maintenance[],3,FALSE),"")</f>
        <v/>
      </c>
      <c r="I1025" t="str">
        <f>IFERROR(VLOOKUP(Logs_Registre[[#This Row],[Cell_ID]],Registre_Maintenance[],4,FALSE),"")</f>
        <v/>
      </c>
      <c r="J1025" t="str">
        <f>IFERROR(VLOOKUP(Logs_Registre[[#This Row],[Cell_ID]],Registre_Maintenance[],5,FALSE),"")</f>
        <v/>
      </c>
      <c r="K1025" t="str">
        <f>IFERROR(VLOOKUP(Logs_Registre[[#This Row],[Cell_ID]],Registre_Maintenance[],6,FALSE),"")</f>
        <v/>
      </c>
    </row>
    <row r="1026" spans="1:11" x14ac:dyDescent="0.25">
      <c r="A1026" s="1" t="s">
        <v>978</v>
      </c>
      <c r="B1026" s="1" t="s">
        <v>980</v>
      </c>
      <c r="C1026" s="2">
        <v>45201.427083333343</v>
      </c>
      <c r="D1026" s="3">
        <v>45201.427083333343</v>
      </c>
      <c r="E1026">
        <v>98</v>
      </c>
      <c r="F1026" s="1" t="s">
        <v>735</v>
      </c>
      <c r="G1026" t="str">
        <f>IFERROR(VLOOKUP(Logs_Registre[[#This Row],[Cell_ID]],Registre_Maintenance[],2,FALSE),"")</f>
        <v/>
      </c>
      <c r="H1026" t="str">
        <f>IFERROR(VLOOKUP(Logs_Registre[[#This Row],[Cell_ID]],Registre_Maintenance[],3,FALSE),"")</f>
        <v/>
      </c>
      <c r="I1026" t="str">
        <f>IFERROR(VLOOKUP(Logs_Registre[[#This Row],[Cell_ID]],Registre_Maintenance[],4,FALSE),"")</f>
        <v/>
      </c>
      <c r="J1026" t="str">
        <f>IFERROR(VLOOKUP(Logs_Registre[[#This Row],[Cell_ID]],Registre_Maintenance[],5,FALSE),"")</f>
        <v/>
      </c>
      <c r="K1026" t="str">
        <f>IFERROR(VLOOKUP(Logs_Registre[[#This Row],[Cell_ID]],Registre_Maintenance[],6,FALSE),"")</f>
        <v/>
      </c>
    </row>
    <row r="1027" spans="1:11" x14ac:dyDescent="0.25">
      <c r="A1027" s="1" t="s">
        <v>861</v>
      </c>
      <c r="B1027" s="1" t="s">
        <v>870</v>
      </c>
      <c r="C1027" s="2">
        <v>45201.35</v>
      </c>
      <c r="D1027" s="3">
        <v>45201.35</v>
      </c>
      <c r="E1027">
        <v>73</v>
      </c>
      <c r="F1027" s="1" t="s">
        <v>732</v>
      </c>
      <c r="G1027" t="str">
        <f>IFERROR(VLOOKUP(Logs_Registre[[#This Row],[Cell_ID]],Registre_Maintenance[],2,FALSE),"")</f>
        <v/>
      </c>
      <c r="H1027" t="str">
        <f>IFERROR(VLOOKUP(Logs_Registre[[#This Row],[Cell_ID]],Registre_Maintenance[],3,FALSE),"")</f>
        <v/>
      </c>
      <c r="I1027" t="str">
        <f>IFERROR(VLOOKUP(Logs_Registre[[#This Row],[Cell_ID]],Registre_Maintenance[],4,FALSE),"")</f>
        <v/>
      </c>
      <c r="J1027" t="str">
        <f>IFERROR(VLOOKUP(Logs_Registre[[#This Row],[Cell_ID]],Registre_Maintenance[],5,FALSE),"")</f>
        <v/>
      </c>
      <c r="K1027" t="str">
        <f>IFERROR(VLOOKUP(Logs_Registre[[#This Row],[Cell_ID]],Registre_Maintenance[],6,FALSE),"")</f>
        <v/>
      </c>
    </row>
    <row r="1028" spans="1:11" x14ac:dyDescent="0.25">
      <c r="A1028" s="1" t="s">
        <v>823</v>
      </c>
      <c r="B1028" s="1" t="s">
        <v>859</v>
      </c>
      <c r="C1028" s="2">
        <v>45201.3125</v>
      </c>
      <c r="D1028" s="3">
        <v>45201.3125</v>
      </c>
      <c r="E1028">
        <v>90</v>
      </c>
      <c r="F1028" s="1" t="s">
        <v>735</v>
      </c>
      <c r="G1028" t="str">
        <f>IFERROR(VLOOKUP(Logs_Registre[[#This Row],[Cell_ID]],Registre_Maintenance[],2,FALSE),"")</f>
        <v/>
      </c>
      <c r="H1028" t="str">
        <f>IFERROR(VLOOKUP(Logs_Registre[[#This Row],[Cell_ID]],Registre_Maintenance[],3,FALSE),"")</f>
        <v/>
      </c>
      <c r="I1028" t="str">
        <f>IFERROR(VLOOKUP(Logs_Registre[[#This Row],[Cell_ID]],Registre_Maintenance[],4,FALSE),"")</f>
        <v/>
      </c>
      <c r="J1028" t="str">
        <f>IFERROR(VLOOKUP(Logs_Registre[[#This Row],[Cell_ID]],Registre_Maintenance[],5,FALSE),"")</f>
        <v/>
      </c>
      <c r="K1028" t="str">
        <f>IFERROR(VLOOKUP(Logs_Registre[[#This Row],[Cell_ID]],Registre_Maintenance[],6,FALSE),"")</f>
        <v/>
      </c>
    </row>
    <row r="1029" spans="1:11" x14ac:dyDescent="0.25">
      <c r="A1029" s="1" t="s">
        <v>1059</v>
      </c>
      <c r="B1029" s="1" t="s">
        <v>1060</v>
      </c>
      <c r="C1029" s="2">
        <v>45201.30972222222</v>
      </c>
      <c r="D1029" s="3">
        <v>45201.30972222222</v>
      </c>
      <c r="E1029">
        <v>56</v>
      </c>
      <c r="F1029" s="1" t="s">
        <v>737</v>
      </c>
      <c r="G1029" t="str">
        <f>IFERROR(VLOOKUP(Logs_Registre[[#This Row],[Cell_ID]],Registre_Maintenance[],2,FALSE),"")</f>
        <v/>
      </c>
      <c r="H1029" t="str">
        <f>IFERROR(VLOOKUP(Logs_Registre[[#This Row],[Cell_ID]],Registre_Maintenance[],3,FALSE),"")</f>
        <v/>
      </c>
      <c r="I1029" t="str">
        <f>IFERROR(VLOOKUP(Logs_Registre[[#This Row],[Cell_ID]],Registre_Maintenance[],4,FALSE),"")</f>
        <v/>
      </c>
      <c r="J1029" t="str">
        <f>IFERROR(VLOOKUP(Logs_Registre[[#This Row],[Cell_ID]],Registre_Maintenance[],5,FALSE),"")</f>
        <v/>
      </c>
      <c r="K1029" t="str">
        <f>IFERROR(VLOOKUP(Logs_Registre[[#This Row],[Cell_ID]],Registre_Maintenance[],6,FALSE),"")</f>
        <v/>
      </c>
    </row>
    <row r="1030" spans="1:11" x14ac:dyDescent="0.25">
      <c r="A1030" s="1" t="s">
        <v>1330</v>
      </c>
      <c r="B1030" s="1" t="s">
        <v>1287</v>
      </c>
      <c r="C1030" s="2">
        <v>45201.293055555558</v>
      </c>
      <c r="D1030" s="3">
        <v>45201.293055555558</v>
      </c>
      <c r="E1030">
        <v>95</v>
      </c>
      <c r="F1030" s="1" t="s">
        <v>737</v>
      </c>
      <c r="G1030" t="str">
        <f>IFERROR(VLOOKUP(Logs_Registre[[#This Row],[Cell_ID]],Registre_Maintenance[],2,FALSE),"")</f>
        <v>Lomami</v>
      </c>
      <c r="H1030">
        <f>IFERROR(VLOOKUP(Logs_Registre[[#This Row],[Cell_ID]],Registre_Maintenance[],3,FALSE),"")</f>
        <v>-9.5619429999999994</v>
      </c>
      <c r="I1030">
        <f>IFERROR(VLOOKUP(Logs_Registre[[#This Row],[Cell_ID]],Registre_Maintenance[],4,FALSE),"")</f>
        <v>21.445726000000001</v>
      </c>
      <c r="J1030" t="str">
        <f>IFERROR(VLOOKUP(Logs_Registre[[#This Row],[Cell_ID]],Registre_Maintenance[],5,FALSE),"")</f>
        <v>4G</v>
      </c>
      <c r="K1030" t="str">
        <f>IFERROR(VLOOKUP(Logs_Registre[[#This Row],[Cell_ID]],Registre_Maintenance[],6,FALSE),"")</f>
        <v>Nokia</v>
      </c>
    </row>
    <row r="1031" spans="1:11" x14ac:dyDescent="0.25">
      <c r="A1031" s="1" t="s">
        <v>1330</v>
      </c>
      <c r="B1031" s="1" t="s">
        <v>1068</v>
      </c>
      <c r="C1031" s="2">
        <v>45201.245833333327</v>
      </c>
      <c r="D1031" s="3">
        <v>45201.245833333327</v>
      </c>
      <c r="E1031">
        <v>91</v>
      </c>
      <c r="F1031" s="1" t="s">
        <v>735</v>
      </c>
      <c r="G1031" t="str">
        <f>IFERROR(VLOOKUP(Logs_Registre[[#This Row],[Cell_ID]],Registre_Maintenance[],2,FALSE),"")</f>
        <v>Ituri</v>
      </c>
      <c r="H1031">
        <f>IFERROR(VLOOKUP(Logs_Registre[[#This Row],[Cell_ID]],Registre_Maintenance[],3,FALSE),"")</f>
        <v>-0.34051900000000002</v>
      </c>
      <c r="I1031">
        <f>IFERROR(VLOOKUP(Logs_Registre[[#This Row],[Cell_ID]],Registre_Maintenance[],4,FALSE),"")</f>
        <v>17.079799000000001</v>
      </c>
      <c r="J1031" t="str">
        <f>IFERROR(VLOOKUP(Logs_Registre[[#This Row],[Cell_ID]],Registre_Maintenance[],5,FALSE),"")</f>
        <v>5G</v>
      </c>
      <c r="K1031" t="str">
        <f>IFERROR(VLOOKUP(Logs_Registre[[#This Row],[Cell_ID]],Registre_Maintenance[],6,FALSE),"")</f>
        <v>Ericsson</v>
      </c>
    </row>
    <row r="1032" spans="1:11" x14ac:dyDescent="0.25">
      <c r="A1032" s="1" t="s">
        <v>902</v>
      </c>
      <c r="B1032" s="1" t="s">
        <v>931</v>
      </c>
      <c r="C1032" s="2">
        <v>45201.243055555547</v>
      </c>
      <c r="D1032" s="3">
        <v>45201.243055555547</v>
      </c>
      <c r="E1032">
        <v>57</v>
      </c>
      <c r="F1032" s="1" t="s">
        <v>737</v>
      </c>
      <c r="G1032" t="str">
        <f>IFERROR(VLOOKUP(Logs_Registre[[#This Row],[Cell_ID]],Registre_Maintenance[],2,FALSE),"")</f>
        <v/>
      </c>
      <c r="H1032" t="str">
        <f>IFERROR(VLOOKUP(Logs_Registre[[#This Row],[Cell_ID]],Registre_Maintenance[],3,FALSE),"")</f>
        <v/>
      </c>
      <c r="I1032" t="str">
        <f>IFERROR(VLOOKUP(Logs_Registre[[#This Row],[Cell_ID]],Registre_Maintenance[],4,FALSE),"")</f>
        <v/>
      </c>
      <c r="J1032" t="str">
        <f>IFERROR(VLOOKUP(Logs_Registre[[#This Row],[Cell_ID]],Registre_Maintenance[],5,FALSE),"")</f>
        <v/>
      </c>
      <c r="K1032" t="str">
        <f>IFERROR(VLOOKUP(Logs_Registre[[#This Row],[Cell_ID]],Registre_Maintenance[],6,FALSE),"")</f>
        <v/>
      </c>
    </row>
    <row r="1033" spans="1:11" x14ac:dyDescent="0.25">
      <c r="A1033" s="1" t="s">
        <v>1404</v>
      </c>
      <c r="B1033" s="1" t="s">
        <v>1034</v>
      </c>
      <c r="C1033" s="2">
        <v>45201.243055555547</v>
      </c>
      <c r="D1033" s="3">
        <v>45201.243055555547</v>
      </c>
      <c r="E1033">
        <v>73</v>
      </c>
      <c r="F1033" s="1" t="s">
        <v>735</v>
      </c>
      <c r="G1033" t="str">
        <f>IFERROR(VLOOKUP(Logs_Registre[[#This Row],[Cell_ID]],Registre_Maintenance[],2,FALSE),"")</f>
        <v/>
      </c>
      <c r="H1033" t="str">
        <f>IFERROR(VLOOKUP(Logs_Registre[[#This Row],[Cell_ID]],Registre_Maintenance[],3,FALSE),"")</f>
        <v/>
      </c>
      <c r="I1033" t="str">
        <f>IFERROR(VLOOKUP(Logs_Registre[[#This Row],[Cell_ID]],Registre_Maintenance[],4,FALSE),"")</f>
        <v/>
      </c>
      <c r="J1033" t="str">
        <f>IFERROR(VLOOKUP(Logs_Registre[[#This Row],[Cell_ID]],Registre_Maintenance[],5,FALSE),"")</f>
        <v/>
      </c>
      <c r="K1033" t="str">
        <f>IFERROR(VLOOKUP(Logs_Registre[[#This Row],[Cell_ID]],Registre_Maintenance[],6,FALSE),"")</f>
        <v/>
      </c>
    </row>
    <row r="1034" spans="1:11" x14ac:dyDescent="0.25">
      <c r="A1034" s="1" t="s">
        <v>779</v>
      </c>
      <c r="B1034" s="1" t="s">
        <v>797</v>
      </c>
      <c r="C1034" s="2">
        <v>45201.224999999999</v>
      </c>
      <c r="D1034" s="3">
        <v>45201.224999999999</v>
      </c>
      <c r="E1034">
        <v>83</v>
      </c>
      <c r="F1034" s="1" t="s">
        <v>735</v>
      </c>
      <c r="G1034" t="str">
        <f>IFERROR(VLOOKUP(Logs_Registre[[#This Row],[Cell_ID]],Registre_Maintenance[],2,FALSE),"")</f>
        <v>Nord-Kivu</v>
      </c>
      <c r="H1034">
        <f>IFERROR(VLOOKUP(Logs_Registre[[#This Row],[Cell_ID]],Registre_Maintenance[],3,FALSE),"")</f>
        <v>0.82868600000000003</v>
      </c>
      <c r="I1034">
        <f>IFERROR(VLOOKUP(Logs_Registre[[#This Row],[Cell_ID]],Registre_Maintenance[],4,FALSE),"")</f>
        <v>26.958843999999999</v>
      </c>
      <c r="J1034" t="str">
        <f>IFERROR(VLOOKUP(Logs_Registre[[#This Row],[Cell_ID]],Registre_Maintenance[],5,FALSE),"")</f>
        <v>5G</v>
      </c>
      <c r="K1034" t="str">
        <f>IFERROR(VLOOKUP(Logs_Registre[[#This Row],[Cell_ID]],Registre_Maintenance[],6,FALSE),"")</f>
        <v>ZTE</v>
      </c>
    </row>
    <row r="1035" spans="1:11" x14ac:dyDescent="0.25">
      <c r="A1035" s="1" t="s">
        <v>1361</v>
      </c>
      <c r="B1035" s="1" t="s">
        <v>797</v>
      </c>
      <c r="C1035" s="2">
        <v>45201.212500000001</v>
      </c>
      <c r="D1035" s="3">
        <v>45201.212500000001</v>
      </c>
      <c r="E1035">
        <v>40</v>
      </c>
      <c r="F1035" s="1" t="s">
        <v>735</v>
      </c>
      <c r="G1035" t="str">
        <f>IFERROR(VLOOKUP(Logs_Registre[[#This Row],[Cell_ID]],Registre_Maintenance[],2,FALSE),"")</f>
        <v>Nord-Kivu</v>
      </c>
      <c r="H1035">
        <f>IFERROR(VLOOKUP(Logs_Registre[[#This Row],[Cell_ID]],Registre_Maintenance[],3,FALSE),"")</f>
        <v>0.82868600000000003</v>
      </c>
      <c r="I1035">
        <f>IFERROR(VLOOKUP(Logs_Registre[[#This Row],[Cell_ID]],Registre_Maintenance[],4,FALSE),"")</f>
        <v>26.958843999999999</v>
      </c>
      <c r="J1035" t="str">
        <f>IFERROR(VLOOKUP(Logs_Registre[[#This Row],[Cell_ID]],Registre_Maintenance[],5,FALSE),"")</f>
        <v>5G</v>
      </c>
      <c r="K1035" t="str">
        <f>IFERROR(VLOOKUP(Logs_Registre[[#This Row],[Cell_ID]],Registre_Maintenance[],6,FALSE),"")</f>
        <v>ZTE</v>
      </c>
    </row>
    <row r="1036" spans="1:11" x14ac:dyDescent="0.25">
      <c r="A1036" s="1" t="s">
        <v>1404</v>
      </c>
      <c r="B1036" s="1" t="s">
        <v>927</v>
      </c>
      <c r="C1036" s="2">
        <v>45201.086111111108</v>
      </c>
      <c r="D1036" s="3">
        <v>45201.086111111108</v>
      </c>
      <c r="E1036">
        <v>55</v>
      </c>
      <c r="F1036" s="1" t="s">
        <v>732</v>
      </c>
      <c r="G1036" t="str">
        <f>IFERROR(VLOOKUP(Logs_Registre[[#This Row],[Cell_ID]],Registre_Maintenance[],2,FALSE),"")</f>
        <v>Nord-Kivu</v>
      </c>
      <c r="H1036">
        <f>IFERROR(VLOOKUP(Logs_Registre[[#This Row],[Cell_ID]],Registre_Maintenance[],3,FALSE),"")</f>
        <v>-1.8555980000000001</v>
      </c>
      <c r="I1036">
        <f>IFERROR(VLOOKUP(Logs_Registre[[#This Row],[Cell_ID]],Registre_Maintenance[],4,FALSE),"")</f>
        <v>30.421918000000002</v>
      </c>
      <c r="J1036" t="str">
        <f>IFERROR(VLOOKUP(Logs_Registre[[#This Row],[Cell_ID]],Registre_Maintenance[],5,FALSE),"")</f>
        <v>3G</v>
      </c>
      <c r="K1036" t="str">
        <f>IFERROR(VLOOKUP(Logs_Registre[[#This Row],[Cell_ID]],Registre_Maintenance[],6,FALSE),"")</f>
        <v>ZTE</v>
      </c>
    </row>
    <row r="1037" spans="1:11" x14ac:dyDescent="0.25">
      <c r="A1037" s="1" t="s">
        <v>1024</v>
      </c>
      <c r="B1037" s="1" t="s">
        <v>1025</v>
      </c>
      <c r="C1037" s="2">
        <v>45201.057638888888</v>
      </c>
      <c r="D1037" s="3">
        <v>45201.057638888888</v>
      </c>
      <c r="E1037">
        <v>103</v>
      </c>
      <c r="F1037" s="1" t="s">
        <v>732</v>
      </c>
      <c r="G1037" t="str">
        <f>IFERROR(VLOOKUP(Logs_Registre[[#This Row],[Cell_ID]],Registre_Maintenance[],2,FALSE),"")</f>
        <v>Haut-Katanga</v>
      </c>
      <c r="H1037">
        <f>IFERROR(VLOOKUP(Logs_Registre[[#This Row],[Cell_ID]],Registre_Maintenance[],3,FALSE),"")</f>
        <v>-11.594525000000001</v>
      </c>
      <c r="I1037">
        <f>IFERROR(VLOOKUP(Logs_Registre[[#This Row],[Cell_ID]],Registre_Maintenance[],4,FALSE),"")</f>
        <v>29.744895</v>
      </c>
      <c r="J1037" t="str">
        <f>IFERROR(VLOOKUP(Logs_Registre[[#This Row],[Cell_ID]],Registre_Maintenance[],5,FALSE),"")</f>
        <v>3G</v>
      </c>
      <c r="K1037" t="str">
        <f>IFERROR(VLOOKUP(Logs_Registre[[#This Row],[Cell_ID]],Registre_Maintenance[],6,FALSE),"")</f>
        <v>ZTE</v>
      </c>
    </row>
    <row r="1038" spans="1:11" x14ac:dyDescent="0.25">
      <c r="A1038" s="1" t="s">
        <v>1241</v>
      </c>
      <c r="B1038" s="1" t="s">
        <v>960</v>
      </c>
      <c r="C1038" s="2">
        <v>45201.04583333333</v>
      </c>
      <c r="D1038" s="3">
        <v>45201.04583333333</v>
      </c>
      <c r="E1038">
        <v>83</v>
      </c>
      <c r="F1038" s="1" t="s">
        <v>735</v>
      </c>
      <c r="G1038" t="str">
        <f>IFERROR(VLOOKUP(Logs_Registre[[#This Row],[Cell_ID]],Registre_Maintenance[],2,FALSE),"")</f>
        <v/>
      </c>
      <c r="H1038" t="str">
        <f>IFERROR(VLOOKUP(Logs_Registre[[#This Row],[Cell_ID]],Registre_Maintenance[],3,FALSE),"")</f>
        <v/>
      </c>
      <c r="I1038" t="str">
        <f>IFERROR(VLOOKUP(Logs_Registre[[#This Row],[Cell_ID]],Registre_Maintenance[],4,FALSE),"")</f>
        <v/>
      </c>
      <c r="J1038" t="str">
        <f>IFERROR(VLOOKUP(Logs_Registre[[#This Row],[Cell_ID]],Registre_Maintenance[],5,FALSE),"")</f>
        <v/>
      </c>
      <c r="K1038" t="str">
        <f>IFERROR(VLOOKUP(Logs_Registre[[#This Row],[Cell_ID]],Registre_Maintenance[],6,FALSE),"")</f>
        <v/>
      </c>
    </row>
    <row r="1039" spans="1:11" x14ac:dyDescent="0.25">
      <c r="A1039" s="1" t="s">
        <v>1114</v>
      </c>
      <c r="B1039" s="1" t="s">
        <v>1089</v>
      </c>
      <c r="C1039" s="2">
        <v>45201.043055555558</v>
      </c>
      <c r="D1039" s="3">
        <v>45201.043055555558</v>
      </c>
      <c r="E1039">
        <v>45</v>
      </c>
      <c r="F1039" s="1" t="s">
        <v>735</v>
      </c>
      <c r="G1039" t="str">
        <f>IFERROR(VLOOKUP(Logs_Registre[[#This Row],[Cell_ID]],Registre_Maintenance[],2,FALSE),"")</f>
        <v/>
      </c>
      <c r="H1039" t="str">
        <f>IFERROR(VLOOKUP(Logs_Registre[[#This Row],[Cell_ID]],Registre_Maintenance[],3,FALSE),"")</f>
        <v/>
      </c>
      <c r="I1039" t="str">
        <f>IFERROR(VLOOKUP(Logs_Registre[[#This Row],[Cell_ID]],Registre_Maintenance[],4,FALSE),"")</f>
        <v/>
      </c>
      <c r="J1039" t="str">
        <f>IFERROR(VLOOKUP(Logs_Registre[[#This Row],[Cell_ID]],Registre_Maintenance[],5,FALSE),"")</f>
        <v/>
      </c>
      <c r="K1039" t="str">
        <f>IFERROR(VLOOKUP(Logs_Registre[[#This Row],[Cell_ID]],Registre_Maintenance[],6,FALSE),"")</f>
        <v/>
      </c>
    </row>
    <row r="1040" spans="1:11" x14ac:dyDescent="0.25">
      <c r="A1040" s="1" t="s">
        <v>999</v>
      </c>
      <c r="B1040" s="1" t="s">
        <v>990</v>
      </c>
      <c r="C1040" s="2">
        <v>45201.009027777778</v>
      </c>
      <c r="D1040" s="3">
        <v>45201.009027777778</v>
      </c>
      <c r="E1040">
        <v>56</v>
      </c>
      <c r="F1040" s="1" t="s">
        <v>735</v>
      </c>
      <c r="G1040" t="str">
        <f>IFERROR(VLOOKUP(Logs_Registre[[#This Row],[Cell_ID]],Registre_Maintenance[],2,FALSE),"")</f>
        <v>Nord-Ubangi</v>
      </c>
      <c r="H1040">
        <f>IFERROR(VLOOKUP(Logs_Registre[[#This Row],[Cell_ID]],Registre_Maintenance[],3,FALSE),"")</f>
        <v>-7.7839049999999999</v>
      </c>
      <c r="I1040">
        <f>IFERROR(VLOOKUP(Logs_Registre[[#This Row],[Cell_ID]],Registre_Maintenance[],4,FALSE),"")</f>
        <v>14.114281999999999</v>
      </c>
      <c r="J1040" t="str">
        <f>IFERROR(VLOOKUP(Logs_Registre[[#This Row],[Cell_ID]],Registre_Maintenance[],5,FALSE),"")</f>
        <v>3G</v>
      </c>
      <c r="K1040" t="str">
        <f>IFERROR(VLOOKUP(Logs_Registre[[#This Row],[Cell_ID]],Registre_Maintenance[],6,FALSE),"")</f>
        <v>ZTE</v>
      </c>
    </row>
    <row r="1041" spans="1:11" x14ac:dyDescent="0.25">
      <c r="A1041" s="1" t="s">
        <v>1219</v>
      </c>
      <c r="B1041" s="1" t="s">
        <v>922</v>
      </c>
      <c r="C1041" s="2">
        <v>45200.98541666667</v>
      </c>
      <c r="D1041" s="3">
        <v>45200.98541666667</v>
      </c>
      <c r="E1041">
        <v>29</v>
      </c>
      <c r="F1041" s="1" t="s">
        <v>737</v>
      </c>
      <c r="G1041" t="str">
        <f>IFERROR(VLOOKUP(Logs_Registre[[#This Row],[Cell_ID]],Registre_Maintenance[],2,FALSE),"")</f>
        <v>Bas-Uele</v>
      </c>
      <c r="H1041">
        <f>IFERROR(VLOOKUP(Logs_Registre[[#This Row],[Cell_ID]],Registre_Maintenance[],3,FALSE),"")</f>
        <v>1.5278670000000001</v>
      </c>
      <c r="I1041">
        <f>IFERROR(VLOOKUP(Logs_Registre[[#This Row],[Cell_ID]],Registre_Maintenance[],4,FALSE),"")</f>
        <v>13.899388999999999</v>
      </c>
      <c r="J1041" t="str">
        <f>IFERROR(VLOOKUP(Logs_Registre[[#This Row],[Cell_ID]],Registre_Maintenance[],5,FALSE),"")</f>
        <v>3G</v>
      </c>
      <c r="K1041" t="str">
        <f>IFERROR(VLOOKUP(Logs_Registre[[#This Row],[Cell_ID]],Registre_Maintenance[],6,FALSE),"")</f>
        <v>Huawei</v>
      </c>
    </row>
    <row r="1042" spans="1:11" x14ac:dyDescent="0.25">
      <c r="A1042" s="1" t="s">
        <v>861</v>
      </c>
      <c r="B1042" s="1" t="s">
        <v>766</v>
      </c>
      <c r="C1042" s="2">
        <v>45200.981944444437</v>
      </c>
      <c r="D1042" s="3">
        <v>45200.981944444437</v>
      </c>
      <c r="E1042">
        <v>98</v>
      </c>
      <c r="F1042" s="1" t="s">
        <v>732</v>
      </c>
      <c r="G1042" t="str">
        <f>IFERROR(VLOOKUP(Logs_Registre[[#This Row],[Cell_ID]],Registre_Maintenance[],2,FALSE),"")</f>
        <v/>
      </c>
      <c r="H1042" t="str">
        <f>IFERROR(VLOOKUP(Logs_Registre[[#This Row],[Cell_ID]],Registre_Maintenance[],3,FALSE),"")</f>
        <v/>
      </c>
      <c r="I1042" t="str">
        <f>IFERROR(VLOOKUP(Logs_Registre[[#This Row],[Cell_ID]],Registre_Maintenance[],4,FALSE),"")</f>
        <v/>
      </c>
      <c r="J1042" t="str">
        <f>IFERROR(VLOOKUP(Logs_Registre[[#This Row],[Cell_ID]],Registre_Maintenance[],5,FALSE),"")</f>
        <v/>
      </c>
      <c r="K1042" t="str">
        <f>IFERROR(VLOOKUP(Logs_Registre[[#This Row],[Cell_ID]],Registre_Maintenance[],6,FALSE),"")</f>
        <v/>
      </c>
    </row>
    <row r="1043" spans="1:11" x14ac:dyDescent="0.25">
      <c r="A1043" s="1" t="s">
        <v>1241</v>
      </c>
      <c r="B1043" s="1" t="s">
        <v>1039</v>
      </c>
      <c r="C1043" s="2">
        <v>45200.931250000001</v>
      </c>
      <c r="D1043" s="3">
        <v>45200.931250000001</v>
      </c>
      <c r="E1043">
        <v>22</v>
      </c>
      <c r="F1043" s="1" t="s">
        <v>732</v>
      </c>
      <c r="G1043" t="str">
        <f>IFERROR(VLOOKUP(Logs_Registre[[#This Row],[Cell_ID]],Registre_Maintenance[],2,FALSE),"")</f>
        <v/>
      </c>
      <c r="H1043" t="str">
        <f>IFERROR(VLOOKUP(Logs_Registre[[#This Row],[Cell_ID]],Registre_Maintenance[],3,FALSE),"")</f>
        <v/>
      </c>
      <c r="I1043" t="str">
        <f>IFERROR(VLOOKUP(Logs_Registre[[#This Row],[Cell_ID]],Registre_Maintenance[],4,FALSE),"")</f>
        <v/>
      </c>
      <c r="J1043" t="str">
        <f>IFERROR(VLOOKUP(Logs_Registre[[#This Row],[Cell_ID]],Registre_Maintenance[],5,FALSE),"")</f>
        <v/>
      </c>
      <c r="K1043" t="str">
        <f>IFERROR(VLOOKUP(Logs_Registre[[#This Row],[Cell_ID]],Registre_Maintenance[],6,FALSE),"")</f>
        <v/>
      </c>
    </row>
    <row r="1044" spans="1:11" x14ac:dyDescent="0.25">
      <c r="A1044" s="1" t="s">
        <v>1219</v>
      </c>
      <c r="B1044" s="1" t="s">
        <v>739</v>
      </c>
      <c r="C1044" s="2">
        <v>45200.925694444442</v>
      </c>
      <c r="D1044" s="3">
        <v>45200.925694444442</v>
      </c>
      <c r="E1044">
        <v>76</v>
      </c>
      <c r="F1044" s="1" t="s">
        <v>737</v>
      </c>
      <c r="G1044" t="str">
        <f>IFERROR(VLOOKUP(Logs_Registre[[#This Row],[Cell_ID]],Registre_Maintenance[],2,FALSE),"")</f>
        <v>Kongo-Central</v>
      </c>
      <c r="H1044">
        <f>IFERROR(VLOOKUP(Logs_Registre[[#This Row],[Cell_ID]],Registre_Maintenance[],3,FALSE),"")</f>
        <v>-2.8211520000000001</v>
      </c>
      <c r="I1044">
        <f>IFERROR(VLOOKUP(Logs_Registre[[#This Row],[Cell_ID]],Registre_Maintenance[],4,FALSE),"")</f>
        <v>20.651419000000001</v>
      </c>
      <c r="J1044" t="str">
        <f>IFERROR(VLOOKUP(Logs_Registre[[#This Row],[Cell_ID]],Registre_Maintenance[],5,FALSE),"")</f>
        <v>5G</v>
      </c>
      <c r="K1044" t="str">
        <f>IFERROR(VLOOKUP(Logs_Registre[[#This Row],[Cell_ID]],Registre_Maintenance[],6,FALSE),"")</f>
        <v>Ericsson</v>
      </c>
    </row>
    <row r="1045" spans="1:11" x14ac:dyDescent="0.25">
      <c r="A1045" s="1" t="s">
        <v>1361</v>
      </c>
      <c r="B1045" s="1" t="s">
        <v>1373</v>
      </c>
      <c r="C1045" s="2">
        <v>45200.913888888892</v>
      </c>
      <c r="D1045" s="3">
        <v>45200.913888888892</v>
      </c>
      <c r="E1045">
        <v>87</v>
      </c>
      <c r="F1045" s="1" t="s">
        <v>732</v>
      </c>
      <c r="G1045" t="str">
        <f>IFERROR(VLOOKUP(Logs_Registre[[#This Row],[Cell_ID]],Registre_Maintenance[],2,FALSE),"")</f>
        <v>Sankuru</v>
      </c>
      <c r="H1045">
        <f>IFERROR(VLOOKUP(Logs_Registre[[#This Row],[Cell_ID]],Registre_Maintenance[],3,FALSE),"")</f>
        <v>3.175935</v>
      </c>
      <c r="I1045">
        <f>IFERROR(VLOOKUP(Logs_Registre[[#This Row],[Cell_ID]],Registre_Maintenance[],4,FALSE),"")</f>
        <v>16.862832000000001</v>
      </c>
      <c r="J1045" t="str">
        <f>IFERROR(VLOOKUP(Logs_Registre[[#This Row],[Cell_ID]],Registre_Maintenance[],5,FALSE),"")</f>
        <v>5G</v>
      </c>
      <c r="K1045" t="str">
        <f>IFERROR(VLOOKUP(Logs_Registre[[#This Row],[Cell_ID]],Registre_Maintenance[],6,FALSE),"")</f>
        <v>Ericsson</v>
      </c>
    </row>
    <row r="1046" spans="1:11" x14ac:dyDescent="0.25">
      <c r="A1046" s="1" t="s">
        <v>1404</v>
      </c>
      <c r="B1046" s="1" t="s">
        <v>998</v>
      </c>
      <c r="C1046" s="2">
        <v>45200.836111111108</v>
      </c>
      <c r="D1046" s="3">
        <v>45200.836111111108</v>
      </c>
      <c r="E1046">
        <v>6</v>
      </c>
      <c r="F1046" s="1" t="s">
        <v>732</v>
      </c>
      <c r="G1046" t="str">
        <f>IFERROR(VLOOKUP(Logs_Registre[[#This Row],[Cell_ID]],Registre_Maintenance[],2,FALSE),"")</f>
        <v/>
      </c>
      <c r="H1046" t="str">
        <f>IFERROR(VLOOKUP(Logs_Registre[[#This Row],[Cell_ID]],Registre_Maintenance[],3,FALSE),"")</f>
        <v/>
      </c>
      <c r="I1046" t="str">
        <f>IFERROR(VLOOKUP(Logs_Registre[[#This Row],[Cell_ID]],Registre_Maintenance[],4,FALSE),"")</f>
        <v/>
      </c>
      <c r="J1046" t="str">
        <f>IFERROR(VLOOKUP(Logs_Registre[[#This Row],[Cell_ID]],Registre_Maintenance[],5,FALSE),"")</f>
        <v/>
      </c>
      <c r="K1046" t="str">
        <f>IFERROR(VLOOKUP(Logs_Registre[[#This Row],[Cell_ID]],Registre_Maintenance[],6,FALSE),"")</f>
        <v/>
      </c>
    </row>
    <row r="1047" spans="1:11" x14ac:dyDescent="0.25">
      <c r="A1047" s="1" t="s">
        <v>999</v>
      </c>
      <c r="B1047" s="1" t="s">
        <v>1007</v>
      </c>
      <c r="C1047" s="2">
        <v>45200.832638888889</v>
      </c>
      <c r="D1047" s="3">
        <v>45200.832638888889</v>
      </c>
      <c r="E1047">
        <v>27</v>
      </c>
      <c r="F1047" s="1" t="s">
        <v>732</v>
      </c>
      <c r="G1047" t="str">
        <f>IFERROR(VLOOKUP(Logs_Registre[[#This Row],[Cell_ID]],Registre_Maintenance[],2,FALSE),"")</f>
        <v>Sud-Kivu</v>
      </c>
      <c r="H1047">
        <f>IFERROR(VLOOKUP(Logs_Registre[[#This Row],[Cell_ID]],Registre_Maintenance[],3,FALSE),"")</f>
        <v>1.2419519999999999</v>
      </c>
      <c r="I1047">
        <f>IFERROR(VLOOKUP(Logs_Registre[[#This Row],[Cell_ID]],Registre_Maintenance[],4,FALSE),"")</f>
        <v>25.261382999999999</v>
      </c>
      <c r="J1047" t="str">
        <f>IFERROR(VLOOKUP(Logs_Registre[[#This Row],[Cell_ID]],Registre_Maintenance[],5,FALSE),"")</f>
        <v>4G</v>
      </c>
      <c r="K1047" t="str">
        <f>IFERROR(VLOOKUP(Logs_Registre[[#This Row],[Cell_ID]],Registre_Maintenance[],6,FALSE),"")</f>
        <v>Huawei</v>
      </c>
    </row>
    <row r="1048" spans="1:11" x14ac:dyDescent="0.25">
      <c r="A1048" s="1" t="s">
        <v>1382</v>
      </c>
      <c r="B1048" s="1" t="s">
        <v>1395</v>
      </c>
      <c r="C1048" s="2">
        <v>45200.67083333333</v>
      </c>
      <c r="D1048" s="3">
        <v>45200.67083333333</v>
      </c>
      <c r="E1048">
        <v>74</v>
      </c>
      <c r="F1048" s="1" t="s">
        <v>737</v>
      </c>
      <c r="G1048" t="str">
        <f>IFERROR(VLOOKUP(Logs_Registre[[#This Row],[Cell_ID]],Registre_Maintenance[],2,FALSE),"")</f>
        <v>Ituri</v>
      </c>
      <c r="H1048">
        <f>IFERROR(VLOOKUP(Logs_Registre[[#This Row],[Cell_ID]],Registre_Maintenance[],3,FALSE),"")</f>
        <v>-4.6426759999999998</v>
      </c>
      <c r="I1048">
        <f>IFERROR(VLOOKUP(Logs_Registre[[#This Row],[Cell_ID]],Registre_Maintenance[],4,FALSE),"")</f>
        <v>22.124254000000001</v>
      </c>
      <c r="J1048" t="str">
        <f>IFERROR(VLOOKUP(Logs_Registre[[#This Row],[Cell_ID]],Registre_Maintenance[],5,FALSE),"")</f>
        <v>4G</v>
      </c>
      <c r="K1048" t="str">
        <f>IFERROR(VLOOKUP(Logs_Registre[[#This Row],[Cell_ID]],Registre_Maintenance[],6,FALSE),"")</f>
        <v>ZTE</v>
      </c>
    </row>
    <row r="1049" spans="1:11" x14ac:dyDescent="0.25">
      <c r="A1049" s="1" t="s">
        <v>1219</v>
      </c>
      <c r="B1049" s="1" t="s">
        <v>1021</v>
      </c>
      <c r="C1049" s="2">
        <v>45200.629166666673</v>
      </c>
      <c r="D1049" s="3">
        <v>45200.629166666673</v>
      </c>
      <c r="E1049">
        <v>73</v>
      </c>
      <c r="F1049" s="1" t="s">
        <v>735</v>
      </c>
      <c r="G1049" t="str">
        <f>IFERROR(VLOOKUP(Logs_Registre[[#This Row],[Cell_ID]],Registre_Maintenance[],2,FALSE),"")</f>
        <v/>
      </c>
      <c r="H1049" t="str">
        <f>IFERROR(VLOOKUP(Logs_Registre[[#This Row],[Cell_ID]],Registre_Maintenance[],3,FALSE),"")</f>
        <v/>
      </c>
      <c r="I1049" t="str">
        <f>IFERROR(VLOOKUP(Logs_Registre[[#This Row],[Cell_ID]],Registre_Maintenance[],4,FALSE),"")</f>
        <v/>
      </c>
      <c r="J1049" t="str">
        <f>IFERROR(VLOOKUP(Logs_Registre[[#This Row],[Cell_ID]],Registre_Maintenance[],5,FALSE),"")</f>
        <v/>
      </c>
      <c r="K1049" t="str">
        <f>IFERROR(VLOOKUP(Logs_Registre[[#This Row],[Cell_ID]],Registre_Maintenance[],6,FALSE),"")</f>
        <v/>
      </c>
    </row>
    <row r="1050" spans="1:11" x14ac:dyDescent="0.25">
      <c r="A1050" s="1" t="s">
        <v>1345</v>
      </c>
      <c r="B1050" s="1" t="s">
        <v>1245</v>
      </c>
      <c r="C1050" s="2">
        <v>45200.595138888893</v>
      </c>
      <c r="D1050" s="3">
        <v>45200.595138888893</v>
      </c>
      <c r="E1050">
        <v>69</v>
      </c>
      <c r="F1050" s="1" t="s">
        <v>737</v>
      </c>
      <c r="G1050" t="str">
        <f>IFERROR(VLOOKUP(Logs_Registre[[#This Row],[Cell_ID]],Registre_Maintenance[],2,FALSE),"")</f>
        <v/>
      </c>
      <c r="H1050" t="str">
        <f>IFERROR(VLOOKUP(Logs_Registre[[#This Row],[Cell_ID]],Registre_Maintenance[],3,FALSE),"")</f>
        <v/>
      </c>
      <c r="I1050" t="str">
        <f>IFERROR(VLOOKUP(Logs_Registre[[#This Row],[Cell_ID]],Registre_Maintenance[],4,FALSE),"")</f>
        <v/>
      </c>
      <c r="J1050" t="str">
        <f>IFERROR(VLOOKUP(Logs_Registre[[#This Row],[Cell_ID]],Registre_Maintenance[],5,FALSE),"")</f>
        <v/>
      </c>
      <c r="K1050" t="str">
        <f>IFERROR(VLOOKUP(Logs_Registre[[#This Row],[Cell_ID]],Registre_Maintenance[],6,FALSE),"")</f>
        <v/>
      </c>
    </row>
    <row r="1051" spans="1:11" x14ac:dyDescent="0.25">
      <c r="A1051" s="1" t="s">
        <v>1308</v>
      </c>
      <c r="B1051" s="1" t="s">
        <v>1323</v>
      </c>
      <c r="C1051" s="2">
        <v>45200.570138888892</v>
      </c>
      <c r="D1051" s="3">
        <v>45200.570138888892</v>
      </c>
      <c r="E1051">
        <v>53</v>
      </c>
      <c r="F1051" s="1" t="s">
        <v>737</v>
      </c>
      <c r="G1051" t="str">
        <f>IFERROR(VLOOKUP(Logs_Registre[[#This Row],[Cell_ID]],Registre_Maintenance[],2,FALSE),"")</f>
        <v/>
      </c>
      <c r="H1051" t="str">
        <f>IFERROR(VLOOKUP(Logs_Registre[[#This Row],[Cell_ID]],Registre_Maintenance[],3,FALSE),"")</f>
        <v/>
      </c>
      <c r="I1051" t="str">
        <f>IFERROR(VLOOKUP(Logs_Registre[[#This Row],[Cell_ID]],Registre_Maintenance[],4,FALSE),"")</f>
        <v/>
      </c>
      <c r="J1051" t="str">
        <f>IFERROR(VLOOKUP(Logs_Registre[[#This Row],[Cell_ID]],Registre_Maintenance[],5,FALSE),"")</f>
        <v/>
      </c>
      <c r="K1051" t="str">
        <f>IFERROR(VLOOKUP(Logs_Registre[[#This Row],[Cell_ID]],Registre_Maintenance[],6,FALSE),"")</f>
        <v/>
      </c>
    </row>
    <row r="1052" spans="1:11" x14ac:dyDescent="0.25">
      <c r="A1052" s="1" t="s">
        <v>1288</v>
      </c>
      <c r="B1052" s="1" t="s">
        <v>1304</v>
      </c>
      <c r="C1052" s="2">
        <v>45200.534722222219</v>
      </c>
      <c r="D1052" s="3">
        <v>45200.534722222219</v>
      </c>
      <c r="E1052">
        <v>50</v>
      </c>
      <c r="F1052" s="1" t="s">
        <v>737</v>
      </c>
      <c r="G1052" t="str">
        <f>IFERROR(VLOOKUP(Logs_Registre[[#This Row],[Cell_ID]],Registre_Maintenance[],2,FALSE),"")</f>
        <v>Tshuapa</v>
      </c>
      <c r="H1052">
        <f>IFERROR(VLOOKUP(Logs_Registre[[#This Row],[Cell_ID]],Registre_Maintenance[],3,FALSE),"")</f>
        <v>-7.7587710000000003</v>
      </c>
      <c r="I1052">
        <f>IFERROR(VLOOKUP(Logs_Registre[[#This Row],[Cell_ID]],Registre_Maintenance[],4,FALSE),"")</f>
        <v>17.880848</v>
      </c>
      <c r="J1052" t="str">
        <f>IFERROR(VLOOKUP(Logs_Registre[[#This Row],[Cell_ID]],Registre_Maintenance[],5,FALSE),"")</f>
        <v>3G</v>
      </c>
      <c r="K1052" t="str">
        <f>IFERROR(VLOOKUP(Logs_Registre[[#This Row],[Cell_ID]],Registre_Maintenance[],6,FALSE),"")</f>
        <v>Ericsson</v>
      </c>
    </row>
    <row r="1053" spans="1:11" x14ac:dyDescent="0.25">
      <c r="A1053" s="1" t="s">
        <v>861</v>
      </c>
      <c r="B1053" s="1" t="s">
        <v>866</v>
      </c>
      <c r="C1053" s="2">
        <v>45200.525694444441</v>
      </c>
      <c r="D1053" s="3">
        <v>45200.525694444441</v>
      </c>
      <c r="E1053">
        <v>88</v>
      </c>
      <c r="F1053" s="1" t="s">
        <v>737</v>
      </c>
      <c r="G1053" t="str">
        <f>IFERROR(VLOOKUP(Logs_Registre[[#This Row],[Cell_ID]],Registre_Maintenance[],2,FALSE),"")</f>
        <v>Kinshasa</v>
      </c>
      <c r="H1053">
        <f>IFERROR(VLOOKUP(Logs_Registre[[#This Row],[Cell_ID]],Registre_Maintenance[],3,FALSE),"")</f>
        <v>-1.6097570000000001</v>
      </c>
      <c r="I1053">
        <f>IFERROR(VLOOKUP(Logs_Registre[[#This Row],[Cell_ID]],Registre_Maintenance[],4,FALSE),"")</f>
        <v>30.661662</v>
      </c>
      <c r="J1053" t="str">
        <f>IFERROR(VLOOKUP(Logs_Registre[[#This Row],[Cell_ID]],Registre_Maintenance[],5,FALSE),"")</f>
        <v>4G</v>
      </c>
      <c r="K1053" t="str">
        <f>IFERROR(VLOOKUP(Logs_Registre[[#This Row],[Cell_ID]],Registre_Maintenance[],6,FALSE),"")</f>
        <v>Ericsson</v>
      </c>
    </row>
    <row r="1054" spans="1:11" x14ac:dyDescent="0.25">
      <c r="A1054" s="1" t="s">
        <v>861</v>
      </c>
      <c r="B1054" s="1" t="s">
        <v>862</v>
      </c>
      <c r="C1054" s="2">
        <v>45200.51458333333</v>
      </c>
      <c r="D1054" s="3">
        <v>45200.51458333333</v>
      </c>
      <c r="E1054">
        <v>24</v>
      </c>
      <c r="F1054" s="1" t="s">
        <v>737</v>
      </c>
      <c r="G1054" t="str">
        <f>IFERROR(VLOOKUP(Logs_Registre[[#This Row],[Cell_ID]],Registre_Maintenance[],2,FALSE),"")</f>
        <v>Tshuapa</v>
      </c>
      <c r="H1054">
        <f>IFERROR(VLOOKUP(Logs_Registre[[#This Row],[Cell_ID]],Registre_Maintenance[],3,FALSE),"")</f>
        <v>-11.622688999999999</v>
      </c>
      <c r="I1054">
        <f>IFERROR(VLOOKUP(Logs_Registre[[#This Row],[Cell_ID]],Registre_Maintenance[],4,FALSE),"")</f>
        <v>18.483874</v>
      </c>
      <c r="J1054" t="str">
        <f>IFERROR(VLOOKUP(Logs_Registre[[#This Row],[Cell_ID]],Registre_Maintenance[],5,FALSE),"")</f>
        <v>5G</v>
      </c>
      <c r="K1054" t="str">
        <f>IFERROR(VLOOKUP(Logs_Registre[[#This Row],[Cell_ID]],Registre_Maintenance[],6,FALSE),"")</f>
        <v>ZTE</v>
      </c>
    </row>
    <row r="1055" spans="1:11" x14ac:dyDescent="0.25">
      <c r="A1055" s="1" t="s">
        <v>779</v>
      </c>
      <c r="B1055" s="1" t="s">
        <v>798</v>
      </c>
      <c r="C1055" s="2">
        <v>45200.511111111111</v>
      </c>
      <c r="D1055" s="3">
        <v>45200.511111111111</v>
      </c>
      <c r="E1055">
        <v>108</v>
      </c>
      <c r="F1055" s="1" t="s">
        <v>737</v>
      </c>
      <c r="G1055" t="str">
        <f>IFERROR(VLOOKUP(Logs_Registre[[#This Row],[Cell_ID]],Registre_Maintenance[],2,FALSE),"")</f>
        <v/>
      </c>
      <c r="H1055" t="str">
        <f>IFERROR(VLOOKUP(Logs_Registre[[#This Row],[Cell_ID]],Registre_Maintenance[],3,FALSE),"")</f>
        <v/>
      </c>
      <c r="I1055" t="str">
        <f>IFERROR(VLOOKUP(Logs_Registre[[#This Row],[Cell_ID]],Registre_Maintenance[],4,FALSE),"")</f>
        <v/>
      </c>
      <c r="J1055" t="str">
        <f>IFERROR(VLOOKUP(Logs_Registre[[#This Row],[Cell_ID]],Registre_Maintenance[],5,FALSE),"")</f>
        <v/>
      </c>
      <c r="K1055" t="str">
        <f>IFERROR(VLOOKUP(Logs_Registre[[#This Row],[Cell_ID]],Registre_Maintenance[],6,FALSE),"")</f>
        <v/>
      </c>
    </row>
    <row r="1056" spans="1:11" x14ac:dyDescent="0.25">
      <c r="A1056" s="1" t="s">
        <v>1138</v>
      </c>
      <c r="B1056" s="1" t="s">
        <v>1164</v>
      </c>
      <c r="C1056" s="2">
        <v>45200.511111111111</v>
      </c>
      <c r="D1056" s="3">
        <v>45200.511111111111</v>
      </c>
      <c r="E1056">
        <v>22</v>
      </c>
      <c r="F1056" s="1" t="s">
        <v>737</v>
      </c>
      <c r="G1056" t="str">
        <f>IFERROR(VLOOKUP(Logs_Registre[[#This Row],[Cell_ID]],Registre_Maintenance[],2,FALSE),"")</f>
        <v>Kwilu</v>
      </c>
      <c r="H1056">
        <f>IFERROR(VLOOKUP(Logs_Registre[[#This Row],[Cell_ID]],Registre_Maintenance[],3,FALSE),"")</f>
        <v>-10.939712999999999</v>
      </c>
      <c r="I1056">
        <f>IFERROR(VLOOKUP(Logs_Registre[[#This Row],[Cell_ID]],Registre_Maintenance[],4,FALSE),"")</f>
        <v>18.276230999999999</v>
      </c>
      <c r="J1056" t="str">
        <f>IFERROR(VLOOKUP(Logs_Registre[[#This Row],[Cell_ID]],Registre_Maintenance[],5,FALSE),"")</f>
        <v>4G</v>
      </c>
      <c r="K1056" t="str">
        <f>IFERROR(VLOOKUP(Logs_Registre[[#This Row],[Cell_ID]],Registre_Maintenance[],6,FALSE),"")</f>
        <v>ZTE</v>
      </c>
    </row>
    <row r="1057" spans="1:11" x14ac:dyDescent="0.25">
      <c r="A1057" s="1" t="s">
        <v>1382</v>
      </c>
      <c r="B1057" s="1" t="s">
        <v>1227</v>
      </c>
      <c r="C1057" s="2">
        <v>45200.506249999999</v>
      </c>
      <c r="D1057" s="3">
        <v>45200.506249999999</v>
      </c>
      <c r="E1057">
        <v>99</v>
      </c>
      <c r="F1057" s="1" t="s">
        <v>732</v>
      </c>
      <c r="G1057" t="str">
        <f>IFERROR(VLOOKUP(Logs_Registre[[#This Row],[Cell_ID]],Registre_Maintenance[],2,FALSE),"")</f>
        <v>Haut-Katanga</v>
      </c>
      <c r="H1057">
        <f>IFERROR(VLOOKUP(Logs_Registre[[#This Row],[Cell_ID]],Registre_Maintenance[],3,FALSE),"")</f>
        <v>-10.945031</v>
      </c>
      <c r="I1057">
        <f>IFERROR(VLOOKUP(Logs_Registre[[#This Row],[Cell_ID]],Registre_Maintenance[],4,FALSE),"")</f>
        <v>27.922274000000002</v>
      </c>
      <c r="J1057" t="str">
        <f>IFERROR(VLOOKUP(Logs_Registre[[#This Row],[Cell_ID]],Registre_Maintenance[],5,FALSE),"")</f>
        <v>4G</v>
      </c>
      <c r="K1057" t="str">
        <f>IFERROR(VLOOKUP(Logs_Registre[[#This Row],[Cell_ID]],Registre_Maintenance[],6,FALSE),"")</f>
        <v>Ericsson</v>
      </c>
    </row>
    <row r="1058" spans="1:11" x14ac:dyDescent="0.25">
      <c r="A1058" s="1" t="s">
        <v>978</v>
      </c>
      <c r="B1058" s="1" t="s">
        <v>997</v>
      </c>
      <c r="C1058" s="2">
        <v>45200.493055555547</v>
      </c>
      <c r="D1058" s="3">
        <v>45200.493055555547</v>
      </c>
      <c r="E1058">
        <v>113</v>
      </c>
      <c r="F1058" s="1" t="s">
        <v>732</v>
      </c>
      <c r="G1058" t="str">
        <f>IFERROR(VLOOKUP(Logs_Registre[[#This Row],[Cell_ID]],Registre_Maintenance[],2,FALSE),"")</f>
        <v>Sud-Kivu</v>
      </c>
      <c r="H1058">
        <f>IFERROR(VLOOKUP(Logs_Registre[[#This Row],[Cell_ID]],Registre_Maintenance[],3,FALSE),"")</f>
        <v>-1.5419050000000001</v>
      </c>
      <c r="I1058">
        <f>IFERROR(VLOOKUP(Logs_Registre[[#This Row],[Cell_ID]],Registre_Maintenance[],4,FALSE),"")</f>
        <v>14.730632999999999</v>
      </c>
      <c r="J1058" t="str">
        <f>IFERROR(VLOOKUP(Logs_Registre[[#This Row],[Cell_ID]],Registre_Maintenance[],5,FALSE),"")</f>
        <v>3G</v>
      </c>
      <c r="K1058" t="str">
        <f>IFERROR(VLOOKUP(Logs_Registre[[#This Row],[Cell_ID]],Registre_Maintenance[],6,FALSE),"")</f>
        <v>ZTE</v>
      </c>
    </row>
    <row r="1059" spans="1:11" x14ac:dyDescent="0.25">
      <c r="A1059" s="1" t="s">
        <v>1261</v>
      </c>
      <c r="B1059" s="1" t="s">
        <v>1287</v>
      </c>
      <c r="C1059" s="2">
        <v>45200.466666666667</v>
      </c>
      <c r="D1059" s="3">
        <v>45200.466666666667</v>
      </c>
      <c r="E1059">
        <v>31</v>
      </c>
      <c r="F1059" s="1" t="s">
        <v>735</v>
      </c>
      <c r="G1059" t="str">
        <f>IFERROR(VLOOKUP(Logs_Registre[[#This Row],[Cell_ID]],Registre_Maintenance[],2,FALSE),"")</f>
        <v>Lomami</v>
      </c>
      <c r="H1059">
        <f>IFERROR(VLOOKUP(Logs_Registre[[#This Row],[Cell_ID]],Registre_Maintenance[],3,FALSE),"")</f>
        <v>-9.5619429999999994</v>
      </c>
      <c r="I1059">
        <f>IFERROR(VLOOKUP(Logs_Registre[[#This Row],[Cell_ID]],Registre_Maintenance[],4,FALSE),"")</f>
        <v>21.445726000000001</v>
      </c>
      <c r="J1059" t="str">
        <f>IFERROR(VLOOKUP(Logs_Registre[[#This Row],[Cell_ID]],Registre_Maintenance[],5,FALSE),"")</f>
        <v>4G</v>
      </c>
      <c r="K1059" t="str">
        <f>IFERROR(VLOOKUP(Logs_Registre[[#This Row],[Cell_ID]],Registre_Maintenance[],6,FALSE),"")</f>
        <v>Nokia</v>
      </c>
    </row>
    <row r="1060" spans="1:11" x14ac:dyDescent="0.25">
      <c r="A1060" s="1" t="s">
        <v>1219</v>
      </c>
      <c r="B1060" s="1" t="s">
        <v>1227</v>
      </c>
      <c r="C1060" s="2">
        <v>45200.445138888892</v>
      </c>
      <c r="D1060" s="3">
        <v>45200.445138888892</v>
      </c>
      <c r="E1060">
        <v>112</v>
      </c>
      <c r="F1060" s="1" t="s">
        <v>732</v>
      </c>
      <c r="G1060" t="str">
        <f>IFERROR(VLOOKUP(Logs_Registre[[#This Row],[Cell_ID]],Registre_Maintenance[],2,FALSE),"")</f>
        <v>Haut-Katanga</v>
      </c>
      <c r="H1060">
        <f>IFERROR(VLOOKUP(Logs_Registre[[#This Row],[Cell_ID]],Registre_Maintenance[],3,FALSE),"")</f>
        <v>-10.945031</v>
      </c>
      <c r="I1060">
        <f>IFERROR(VLOOKUP(Logs_Registre[[#This Row],[Cell_ID]],Registre_Maintenance[],4,FALSE),"")</f>
        <v>27.922274000000002</v>
      </c>
      <c r="J1060" t="str">
        <f>IFERROR(VLOOKUP(Logs_Registre[[#This Row],[Cell_ID]],Registre_Maintenance[],5,FALSE),"")</f>
        <v>4G</v>
      </c>
      <c r="K1060" t="str">
        <f>IFERROR(VLOOKUP(Logs_Registre[[#This Row],[Cell_ID]],Registre_Maintenance[],6,FALSE),"")</f>
        <v>Ericsson</v>
      </c>
    </row>
    <row r="1061" spans="1:11" x14ac:dyDescent="0.25">
      <c r="A1061" s="1" t="s">
        <v>1308</v>
      </c>
      <c r="B1061" s="1" t="s">
        <v>844</v>
      </c>
      <c r="C1061" s="2">
        <v>45200.427777777782</v>
      </c>
      <c r="D1061" s="3">
        <v>45200.427777777782</v>
      </c>
      <c r="E1061">
        <v>16</v>
      </c>
      <c r="F1061" s="1" t="s">
        <v>735</v>
      </c>
      <c r="G1061" t="str">
        <f>IFERROR(VLOOKUP(Logs_Registre[[#This Row],[Cell_ID]],Registre_Maintenance[],2,FALSE),"")</f>
        <v/>
      </c>
      <c r="H1061" t="str">
        <f>IFERROR(VLOOKUP(Logs_Registre[[#This Row],[Cell_ID]],Registre_Maintenance[],3,FALSE),"")</f>
        <v/>
      </c>
      <c r="I1061" t="str">
        <f>IFERROR(VLOOKUP(Logs_Registre[[#This Row],[Cell_ID]],Registre_Maintenance[],4,FALSE),"")</f>
        <v/>
      </c>
      <c r="J1061" t="str">
        <f>IFERROR(VLOOKUP(Logs_Registre[[#This Row],[Cell_ID]],Registre_Maintenance[],5,FALSE),"")</f>
        <v/>
      </c>
      <c r="K1061" t="str">
        <f>IFERROR(VLOOKUP(Logs_Registre[[#This Row],[Cell_ID]],Registre_Maintenance[],6,FALSE),"")</f>
        <v/>
      </c>
    </row>
    <row r="1062" spans="1:11" x14ac:dyDescent="0.25">
      <c r="A1062" s="1" t="s">
        <v>1193</v>
      </c>
      <c r="B1062" s="1" t="s">
        <v>1034</v>
      </c>
      <c r="C1062" s="2">
        <v>45200.394444444442</v>
      </c>
      <c r="D1062" s="3">
        <v>45200.394444444442</v>
      </c>
      <c r="E1062">
        <v>115</v>
      </c>
      <c r="F1062" s="1" t="s">
        <v>735</v>
      </c>
      <c r="G1062" t="str">
        <f>IFERROR(VLOOKUP(Logs_Registre[[#This Row],[Cell_ID]],Registre_Maintenance[],2,FALSE),"")</f>
        <v/>
      </c>
      <c r="H1062" t="str">
        <f>IFERROR(VLOOKUP(Logs_Registre[[#This Row],[Cell_ID]],Registre_Maintenance[],3,FALSE),"")</f>
        <v/>
      </c>
      <c r="I1062" t="str">
        <f>IFERROR(VLOOKUP(Logs_Registre[[#This Row],[Cell_ID]],Registre_Maintenance[],4,FALSE),"")</f>
        <v/>
      </c>
      <c r="J1062" t="str">
        <f>IFERROR(VLOOKUP(Logs_Registre[[#This Row],[Cell_ID]],Registre_Maintenance[],5,FALSE),"")</f>
        <v/>
      </c>
      <c r="K1062" t="str">
        <f>IFERROR(VLOOKUP(Logs_Registre[[#This Row],[Cell_ID]],Registre_Maintenance[],6,FALSE),"")</f>
        <v/>
      </c>
    </row>
    <row r="1063" spans="1:11" x14ac:dyDescent="0.25">
      <c r="A1063" s="1" t="s">
        <v>1308</v>
      </c>
      <c r="B1063" s="1" t="s">
        <v>1014</v>
      </c>
      <c r="C1063" s="2">
        <v>45200.342361111107</v>
      </c>
      <c r="D1063" s="3">
        <v>45200.342361111107</v>
      </c>
      <c r="E1063">
        <v>86</v>
      </c>
      <c r="F1063" s="1" t="s">
        <v>735</v>
      </c>
      <c r="G1063" t="str">
        <f>IFERROR(VLOOKUP(Logs_Registre[[#This Row],[Cell_ID]],Registre_Maintenance[],2,FALSE),"")</f>
        <v>Haut-Lomami</v>
      </c>
      <c r="H1063">
        <f>IFERROR(VLOOKUP(Logs_Registre[[#This Row],[Cell_ID]],Registre_Maintenance[],3,FALSE),"")</f>
        <v>2.628638</v>
      </c>
      <c r="I1063">
        <f>IFERROR(VLOOKUP(Logs_Registre[[#This Row],[Cell_ID]],Registre_Maintenance[],4,FALSE),"")</f>
        <v>28.420582</v>
      </c>
      <c r="J1063" t="str">
        <f>IFERROR(VLOOKUP(Logs_Registre[[#This Row],[Cell_ID]],Registre_Maintenance[],5,FALSE),"")</f>
        <v>4G</v>
      </c>
      <c r="K1063" t="str">
        <f>IFERROR(VLOOKUP(Logs_Registre[[#This Row],[Cell_ID]],Registre_Maintenance[],6,FALSE),"")</f>
        <v>Huawei</v>
      </c>
    </row>
    <row r="1064" spans="1:11" x14ac:dyDescent="0.25">
      <c r="A1064" s="1" t="s">
        <v>1330</v>
      </c>
      <c r="B1064" s="1" t="s">
        <v>750</v>
      </c>
      <c r="C1064" s="2">
        <v>45200.307638888888</v>
      </c>
      <c r="D1064" s="3">
        <v>45200.307638888888</v>
      </c>
      <c r="E1064">
        <v>114</v>
      </c>
      <c r="F1064" s="1" t="s">
        <v>735</v>
      </c>
      <c r="G1064" t="str">
        <f>IFERROR(VLOOKUP(Logs_Registre[[#This Row],[Cell_ID]],Registre_Maintenance[],2,FALSE),"")</f>
        <v/>
      </c>
      <c r="H1064" t="str">
        <f>IFERROR(VLOOKUP(Logs_Registre[[#This Row],[Cell_ID]],Registre_Maintenance[],3,FALSE),"")</f>
        <v/>
      </c>
      <c r="I1064" t="str">
        <f>IFERROR(VLOOKUP(Logs_Registre[[#This Row],[Cell_ID]],Registre_Maintenance[],4,FALSE),"")</f>
        <v/>
      </c>
      <c r="J1064" t="str">
        <f>IFERROR(VLOOKUP(Logs_Registre[[#This Row],[Cell_ID]],Registre_Maintenance[],5,FALSE),"")</f>
        <v/>
      </c>
      <c r="K1064" t="str">
        <f>IFERROR(VLOOKUP(Logs_Registre[[#This Row],[Cell_ID]],Registre_Maintenance[],6,FALSE),"")</f>
        <v/>
      </c>
    </row>
    <row r="1065" spans="1:11" x14ac:dyDescent="0.25">
      <c r="A1065" s="1" t="s">
        <v>999</v>
      </c>
      <c r="B1065" s="1" t="s">
        <v>1008</v>
      </c>
      <c r="C1065" s="2">
        <v>45200.220138888893</v>
      </c>
      <c r="D1065" s="3">
        <v>45200.220138888893</v>
      </c>
      <c r="E1065">
        <v>53</v>
      </c>
      <c r="F1065" s="1" t="s">
        <v>735</v>
      </c>
      <c r="G1065" t="str">
        <f>IFERROR(VLOOKUP(Logs_Registre[[#This Row],[Cell_ID]],Registre_Maintenance[],2,FALSE),"")</f>
        <v/>
      </c>
      <c r="H1065" t="str">
        <f>IFERROR(VLOOKUP(Logs_Registre[[#This Row],[Cell_ID]],Registre_Maintenance[],3,FALSE),"")</f>
        <v/>
      </c>
      <c r="I1065" t="str">
        <f>IFERROR(VLOOKUP(Logs_Registre[[#This Row],[Cell_ID]],Registre_Maintenance[],4,FALSE),"")</f>
        <v/>
      </c>
      <c r="J1065" t="str">
        <f>IFERROR(VLOOKUP(Logs_Registre[[#This Row],[Cell_ID]],Registre_Maintenance[],5,FALSE),"")</f>
        <v/>
      </c>
      <c r="K1065" t="str">
        <f>IFERROR(VLOOKUP(Logs_Registre[[#This Row],[Cell_ID]],Registre_Maintenance[],6,FALSE),"")</f>
        <v/>
      </c>
    </row>
    <row r="1066" spans="1:11" x14ac:dyDescent="0.25">
      <c r="A1066" s="1" t="s">
        <v>999</v>
      </c>
      <c r="B1066" s="1" t="s">
        <v>747</v>
      </c>
      <c r="C1066" s="2">
        <v>45200.115972222222</v>
      </c>
      <c r="D1066" s="3">
        <v>45200.115972222222</v>
      </c>
      <c r="E1066">
        <v>111</v>
      </c>
      <c r="F1066" s="1" t="s">
        <v>737</v>
      </c>
      <c r="G1066" t="str">
        <f>IFERROR(VLOOKUP(Logs_Registre[[#This Row],[Cell_ID]],Registre_Maintenance[],2,FALSE),"")</f>
        <v/>
      </c>
      <c r="H1066" t="str">
        <f>IFERROR(VLOOKUP(Logs_Registre[[#This Row],[Cell_ID]],Registre_Maintenance[],3,FALSE),"")</f>
        <v/>
      </c>
      <c r="I1066" t="str">
        <f>IFERROR(VLOOKUP(Logs_Registre[[#This Row],[Cell_ID]],Registre_Maintenance[],4,FALSE),"")</f>
        <v/>
      </c>
      <c r="J1066" t="str">
        <f>IFERROR(VLOOKUP(Logs_Registre[[#This Row],[Cell_ID]],Registre_Maintenance[],5,FALSE),"")</f>
        <v/>
      </c>
      <c r="K1066" t="str">
        <f>IFERROR(VLOOKUP(Logs_Registre[[#This Row],[Cell_ID]],Registre_Maintenance[],6,FALSE),"")</f>
        <v/>
      </c>
    </row>
    <row r="1067" spans="1:11" x14ac:dyDescent="0.25">
      <c r="A1067" s="1" t="s">
        <v>902</v>
      </c>
      <c r="B1067" s="1" t="s">
        <v>774</v>
      </c>
      <c r="C1067" s="2">
        <v>45200.093055555553</v>
      </c>
      <c r="D1067" s="3">
        <v>45200.093055555553</v>
      </c>
      <c r="E1067">
        <v>63</v>
      </c>
      <c r="F1067" s="1" t="s">
        <v>735</v>
      </c>
      <c r="G1067" t="str">
        <f>IFERROR(VLOOKUP(Logs_Registre[[#This Row],[Cell_ID]],Registre_Maintenance[],2,FALSE),"")</f>
        <v/>
      </c>
      <c r="H1067" t="str">
        <f>IFERROR(VLOOKUP(Logs_Registre[[#This Row],[Cell_ID]],Registre_Maintenance[],3,FALSE),"")</f>
        <v/>
      </c>
      <c r="I1067" t="str">
        <f>IFERROR(VLOOKUP(Logs_Registre[[#This Row],[Cell_ID]],Registre_Maintenance[],4,FALSE),"")</f>
        <v/>
      </c>
      <c r="J1067" t="str">
        <f>IFERROR(VLOOKUP(Logs_Registre[[#This Row],[Cell_ID]],Registre_Maintenance[],5,FALSE),"")</f>
        <v/>
      </c>
      <c r="K1067" t="str">
        <f>IFERROR(VLOOKUP(Logs_Registre[[#This Row],[Cell_ID]],Registre_Maintenance[],6,FALSE),"")</f>
        <v/>
      </c>
    </row>
    <row r="1068" spans="1:11" x14ac:dyDescent="0.25">
      <c r="A1068" s="1" t="s">
        <v>1288</v>
      </c>
      <c r="B1068" s="1" t="s">
        <v>970</v>
      </c>
      <c r="C1068" s="2">
        <v>45200.078472222223</v>
      </c>
      <c r="D1068" s="3">
        <v>45200.078472222223</v>
      </c>
      <c r="E1068">
        <v>40</v>
      </c>
      <c r="F1068" s="1" t="s">
        <v>732</v>
      </c>
      <c r="G1068" t="str">
        <f>IFERROR(VLOOKUP(Logs_Registre[[#This Row],[Cell_ID]],Registre_Maintenance[],2,FALSE),"")</f>
        <v>Kasai</v>
      </c>
      <c r="H1068">
        <f>IFERROR(VLOOKUP(Logs_Registre[[#This Row],[Cell_ID]],Registre_Maintenance[],3,FALSE),"")</f>
        <v>-10.165072</v>
      </c>
      <c r="I1068">
        <f>IFERROR(VLOOKUP(Logs_Registre[[#This Row],[Cell_ID]],Registre_Maintenance[],4,FALSE),"")</f>
        <v>29.428024000000001</v>
      </c>
      <c r="J1068" t="str">
        <f>IFERROR(VLOOKUP(Logs_Registre[[#This Row],[Cell_ID]],Registre_Maintenance[],5,FALSE),"")</f>
        <v>5G</v>
      </c>
      <c r="K1068" t="str">
        <f>IFERROR(VLOOKUP(Logs_Registre[[#This Row],[Cell_ID]],Registre_Maintenance[],6,FALSE),"")</f>
        <v>Huawei</v>
      </c>
    </row>
    <row r="1069" spans="1:11" x14ac:dyDescent="0.25">
      <c r="A1069" s="1" t="s">
        <v>1345</v>
      </c>
      <c r="B1069" s="1" t="s">
        <v>921</v>
      </c>
      <c r="C1069" s="2">
        <v>45200.06527777778</v>
      </c>
      <c r="D1069" s="3">
        <v>45200.06527777778</v>
      </c>
      <c r="E1069">
        <v>9</v>
      </c>
      <c r="F1069" s="1" t="s">
        <v>732</v>
      </c>
      <c r="G1069" t="str">
        <f>IFERROR(VLOOKUP(Logs_Registre[[#This Row],[Cell_ID]],Registre_Maintenance[],2,FALSE),"")</f>
        <v/>
      </c>
      <c r="H1069" t="str">
        <f>IFERROR(VLOOKUP(Logs_Registre[[#This Row],[Cell_ID]],Registre_Maintenance[],3,FALSE),"")</f>
        <v/>
      </c>
      <c r="I1069" t="str">
        <f>IFERROR(VLOOKUP(Logs_Registre[[#This Row],[Cell_ID]],Registre_Maintenance[],4,FALSE),"")</f>
        <v/>
      </c>
      <c r="J1069" t="str">
        <f>IFERROR(VLOOKUP(Logs_Registre[[#This Row],[Cell_ID]],Registre_Maintenance[],5,FALSE),"")</f>
        <v/>
      </c>
      <c r="K1069" t="str">
        <f>IFERROR(VLOOKUP(Logs_Registre[[#This Row],[Cell_ID]],Registre_Maintenance[],6,FALSE),"")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2290-6545-41D3-99D3-D175813EE416}">
  <dimension ref="A1:X480"/>
  <sheetViews>
    <sheetView topLeftCell="C1" workbookViewId="0">
      <selection activeCell="F3" sqref="F3"/>
    </sheetView>
  </sheetViews>
  <sheetFormatPr baseColWidth="10" defaultRowHeight="15" x14ac:dyDescent="0.25"/>
  <cols>
    <col min="1" max="1" width="24.140625" bestFit="1" customWidth="1"/>
    <col min="2" max="2" width="21.7109375" customWidth="1"/>
    <col min="3" max="3" width="14.85546875" customWidth="1"/>
    <col min="4" max="4" width="24.140625" customWidth="1"/>
    <col min="5" max="5" width="22" customWidth="1"/>
    <col min="6" max="6" width="20" bestFit="1" customWidth="1"/>
    <col min="7" max="7" width="20" customWidth="1"/>
    <col min="8" max="8" width="26.140625" customWidth="1"/>
    <col min="14" max="14" width="19.140625" bestFit="1" customWidth="1"/>
    <col min="15" max="15" width="17.85546875" bestFit="1" customWidth="1"/>
    <col min="16" max="16" width="28" bestFit="1" customWidth="1"/>
    <col min="17" max="17" width="20.5703125" bestFit="1" customWidth="1"/>
    <col min="18" max="18" width="23.5703125" bestFit="1" customWidth="1"/>
    <col min="19" max="19" width="13.85546875" bestFit="1" customWidth="1"/>
    <col min="20" max="20" width="19.42578125" bestFit="1" customWidth="1"/>
    <col min="21" max="21" width="30" bestFit="1" customWidth="1"/>
    <col min="22" max="22" width="13" style="7" bestFit="1" customWidth="1"/>
    <col min="23" max="23" width="11.5703125" customWidth="1"/>
    <col min="24" max="24" width="18.7109375" style="6" bestFit="1" customWidth="1"/>
  </cols>
  <sheetData>
    <row r="1" spans="1:24" x14ac:dyDescent="0.25">
      <c r="A1" t="s">
        <v>0</v>
      </c>
      <c r="B1" t="s">
        <v>1417</v>
      </c>
      <c r="C1" t="s">
        <v>727</v>
      </c>
      <c r="D1" t="s">
        <v>1415</v>
      </c>
      <c r="E1" t="s">
        <v>1589</v>
      </c>
      <c r="F1" t="s">
        <v>728</v>
      </c>
      <c r="G1" t="s">
        <v>1577</v>
      </c>
      <c r="H1" t="s">
        <v>729</v>
      </c>
      <c r="I1" t="s">
        <v>1418</v>
      </c>
      <c r="J1" t="s">
        <v>1419</v>
      </c>
      <c r="K1" t="s">
        <v>1420</v>
      </c>
      <c r="L1" t="s">
        <v>1575</v>
      </c>
      <c r="M1" t="s">
        <v>1576</v>
      </c>
      <c r="N1" t="s">
        <v>3</v>
      </c>
      <c r="O1" t="s">
        <v>4</v>
      </c>
      <c r="P1" t="s">
        <v>1573</v>
      </c>
      <c r="Q1" t="s">
        <v>6</v>
      </c>
      <c r="R1" t="s">
        <v>1574</v>
      </c>
      <c r="S1" t="s">
        <v>1583</v>
      </c>
      <c r="T1" t="s">
        <v>1588</v>
      </c>
      <c r="U1" t="s">
        <v>1585</v>
      </c>
      <c r="V1" s="7" t="s">
        <v>1586</v>
      </c>
      <c r="W1" t="s">
        <v>1584</v>
      </c>
      <c r="X1" s="6" t="s">
        <v>1587</v>
      </c>
    </row>
    <row r="2" spans="1:24" x14ac:dyDescent="0.25">
      <c r="A2" s="1" t="s">
        <v>1404</v>
      </c>
      <c r="B2" t="str">
        <f>IFERROR(VLOOKUP(Master[[#This Row],[Cell_ID]],Registre_Maintenance[],2,FALSE),"")</f>
        <v>Sud-Kivu</v>
      </c>
      <c r="C2" s="1" t="s">
        <v>1045</v>
      </c>
      <c r="D2" s="2">
        <v>45217.02847222222</v>
      </c>
      <c r="E2" s="3">
        <v>45217.02847222222</v>
      </c>
      <c r="F2">
        <v>120</v>
      </c>
      <c r="G2">
        <f>Master[[#This Row],[Duree_Panne_Min]]/60</f>
        <v>2</v>
      </c>
      <c r="H2" s="1" t="s">
        <v>737</v>
      </c>
      <c r="I2">
        <f>IFERROR(VLOOKUP(Master[[#This Row],[Cell_ID]],Registre_Maintenance[],3,FALSE),"")</f>
        <v>-4.1694589999999998</v>
      </c>
      <c r="J2">
        <f>IFERROR(VLOOKUP(Master[[#This Row],[Cell_ID]],Registre_Maintenance[],4,FALSE),"")</f>
        <v>23.376487000000001</v>
      </c>
      <c r="K2" t="str">
        <f>IFERROR(VLOOKUP(Master[[#This Row],[Cell_ID]],Registre_Maintenance[],5,FALSE),"")</f>
        <v>3G</v>
      </c>
      <c r="L2" t="str">
        <f>IFERROR(VLOOKUP(Master[[#This Row],[Cell_ID]],Registre_Maintenance[],6,FALSE),"")</f>
        <v>Nokia</v>
      </c>
      <c r="M2" s="1" t="str">
        <f>VLOOKUP(Master[[#This Row],[Province_RDC]],Client[],2,FALSE)</f>
        <v>CLI-01855</v>
      </c>
      <c r="N2" s="1">
        <f>VLOOKUP(Master[[#This Row],[Province_RDC]],Client[],3,FALSE)</f>
        <v>101</v>
      </c>
      <c r="O2" s="1" t="str">
        <f>VLOOKUP(Master[[#This Row],[Province_RDC]],Client[],4,FALSE)</f>
        <v>Illimité 50Go</v>
      </c>
      <c r="P2" s="1">
        <f>VLOOKUP(Master[[#This Row],[Province_RDC]],Client[],5,FALSE)</f>
        <v>358</v>
      </c>
      <c r="Q2" s="1">
        <f>VLOOKUP(Master[[#This Row],[Province_RDC]],Client[],6,FALSE)</f>
        <v>29.24</v>
      </c>
      <c r="R2" s="1">
        <f>VLOOKUP(Master[[#This Row],[Province_RDC]],Client[],7,FALSE)</f>
        <v>3</v>
      </c>
      <c r="S2" s="1" t="str">
        <f>IF(Master[[#This Row],[Type_Forfait]]="Pro Monde","B2B","B2C")</f>
        <v>B2C</v>
      </c>
      <c r="T2" s="1">
        <f>Master[[#This Row],[Anciennete_Mois]]/12</f>
        <v>8.4166666666666661</v>
      </c>
      <c r="U2" s="1">
        <f>Master[[#This Row],[Duree_Cumule_Panne_Min]]/60</f>
        <v>5.9666666666666668</v>
      </c>
      <c r="V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" s="6">
        <f>Master[[#This Row],[Facture_Mensuelle]]*Master[[#This Row],[Remise]]</f>
        <v>13.157999999999999</v>
      </c>
    </row>
    <row r="3" spans="1:24" x14ac:dyDescent="0.25">
      <c r="A3" s="1" t="s">
        <v>939</v>
      </c>
      <c r="B3" t="str">
        <f>IFERROR(VLOOKUP(Master[[#This Row],[Cell_ID]],Registre_Maintenance[],2,FALSE),"")</f>
        <v>Sankuru</v>
      </c>
      <c r="C3" s="1" t="s">
        <v>967</v>
      </c>
      <c r="D3" s="2">
        <v>45213.779861111107</v>
      </c>
      <c r="E3" s="3">
        <v>45213.779861111107</v>
      </c>
      <c r="F3">
        <v>120</v>
      </c>
      <c r="G3">
        <f>Master[[#This Row],[Duree_Panne_Min]]/60</f>
        <v>2</v>
      </c>
      <c r="H3" s="1" t="s">
        <v>732</v>
      </c>
      <c r="I3">
        <f>IFERROR(VLOOKUP(Master[[#This Row],[Cell_ID]],Registre_Maintenance[],3,FALSE),"")</f>
        <v>-7.5969509999999998</v>
      </c>
      <c r="J3">
        <f>IFERROR(VLOOKUP(Master[[#This Row],[Cell_ID]],Registre_Maintenance[],4,FALSE),"")</f>
        <v>22.153986</v>
      </c>
      <c r="K3" t="str">
        <f>IFERROR(VLOOKUP(Master[[#This Row],[Cell_ID]],Registre_Maintenance[],5,FALSE),"")</f>
        <v>3G</v>
      </c>
      <c r="L3" t="str">
        <f>IFERROR(VLOOKUP(Master[[#This Row],[Cell_ID]],Registre_Maintenance[],6,FALSE),"")</f>
        <v>Ericsson</v>
      </c>
      <c r="M3" s="1" t="str">
        <f>VLOOKUP(Master[[#This Row],[Province_RDC]],Client[],2,FALSE)</f>
        <v>CLI-00530</v>
      </c>
      <c r="N3" s="1">
        <f>VLOOKUP(Master[[#This Row],[Province_RDC]],Client[],3,FALSE)</f>
        <v>35</v>
      </c>
      <c r="O3" s="1" t="str">
        <f>VLOOKUP(Master[[#This Row],[Province_RDC]],Client[],4,FALSE)</f>
        <v>Pro Monde</v>
      </c>
      <c r="P3" s="1">
        <f>VLOOKUP(Master[[#This Row],[Province_RDC]],Client[],5,FALSE)</f>
        <v>465</v>
      </c>
      <c r="Q3" s="1">
        <f>VLOOKUP(Master[[#This Row],[Province_RDC]],Client[],6,FALSE)</f>
        <v>58.59</v>
      </c>
      <c r="R3" s="1">
        <f>VLOOKUP(Master[[#This Row],[Province_RDC]],Client[],7,FALSE)</f>
        <v>5</v>
      </c>
      <c r="S3" s="1" t="str">
        <f>IF(Master[[#This Row],[Type_Forfait]]="Pro Monde","B2B","B2C")</f>
        <v>B2B</v>
      </c>
      <c r="T3" s="1">
        <f>Master[[#This Row],[Anciennete_Mois]]/12</f>
        <v>2.9166666666666665</v>
      </c>
      <c r="U3" s="1">
        <f>Master[[#This Row],[Duree_Cumule_Panne_Min]]/60</f>
        <v>7.75</v>
      </c>
      <c r="V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" s="6">
        <f>Master[[#This Row],[Facture_Mensuelle]]*Master[[#This Row],[Remise]]</f>
        <v>26.365500000000001</v>
      </c>
    </row>
    <row r="4" spans="1:24" x14ac:dyDescent="0.25">
      <c r="A4" s="1" t="s">
        <v>1024</v>
      </c>
      <c r="B4" t="str">
        <f>IFERROR(VLOOKUP(Master[[#This Row],[Cell_ID]],Registre_Maintenance[],2,FALSE),"")</f>
        <v>Sankuru</v>
      </c>
      <c r="C4" s="1" t="s">
        <v>1042</v>
      </c>
      <c r="D4" s="2">
        <v>45209.365277777782</v>
      </c>
      <c r="E4" s="3">
        <v>45209.365277777782</v>
      </c>
      <c r="F4">
        <v>120</v>
      </c>
      <c r="G4">
        <f>Master[[#This Row],[Duree_Panne_Min]]/60</f>
        <v>2</v>
      </c>
      <c r="H4" s="1" t="s">
        <v>732</v>
      </c>
      <c r="I4">
        <f>IFERROR(VLOOKUP(Master[[#This Row],[Cell_ID]],Registre_Maintenance[],3,FALSE),"")</f>
        <v>-1.4110389999999999</v>
      </c>
      <c r="J4">
        <f>IFERROR(VLOOKUP(Master[[#This Row],[Cell_ID]],Registre_Maintenance[],4,FALSE),"")</f>
        <v>21.261644</v>
      </c>
      <c r="K4" t="str">
        <f>IFERROR(VLOOKUP(Master[[#This Row],[Cell_ID]],Registre_Maintenance[],5,FALSE),"")</f>
        <v>4G</v>
      </c>
      <c r="L4" t="str">
        <f>IFERROR(VLOOKUP(Master[[#This Row],[Cell_ID]],Registre_Maintenance[],6,FALSE),"")</f>
        <v>ZTE</v>
      </c>
      <c r="M4" s="1" t="str">
        <f>VLOOKUP(Master[[#This Row],[Province_RDC]],Client[],2,FALSE)</f>
        <v>CLI-00530</v>
      </c>
      <c r="N4" s="1">
        <f>VLOOKUP(Master[[#This Row],[Province_RDC]],Client[],3,FALSE)</f>
        <v>35</v>
      </c>
      <c r="O4" s="1" t="str">
        <f>VLOOKUP(Master[[#This Row],[Province_RDC]],Client[],4,FALSE)</f>
        <v>Pro Monde</v>
      </c>
      <c r="P4" s="1">
        <f>VLOOKUP(Master[[#This Row],[Province_RDC]],Client[],5,FALSE)</f>
        <v>465</v>
      </c>
      <c r="Q4" s="1">
        <f>VLOOKUP(Master[[#This Row],[Province_RDC]],Client[],6,FALSE)</f>
        <v>58.59</v>
      </c>
      <c r="R4" s="1">
        <f>VLOOKUP(Master[[#This Row],[Province_RDC]],Client[],7,FALSE)</f>
        <v>5</v>
      </c>
      <c r="S4" s="1" t="str">
        <f>IF(Master[[#This Row],[Type_Forfait]]="Pro Monde","B2B","B2C")</f>
        <v>B2B</v>
      </c>
      <c r="T4" s="1">
        <f>Master[[#This Row],[Anciennete_Mois]]/12</f>
        <v>2.9166666666666665</v>
      </c>
      <c r="U4" s="1">
        <f>Master[[#This Row],[Duree_Cumule_Panne_Min]]/60</f>
        <v>7.75</v>
      </c>
      <c r="V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" s="6">
        <f>Master[[#This Row],[Facture_Mensuelle]]*Master[[#This Row],[Remise]]</f>
        <v>26.365500000000001</v>
      </c>
    </row>
    <row r="5" spans="1:24" x14ac:dyDescent="0.25">
      <c r="A5" s="1" t="s">
        <v>1404</v>
      </c>
      <c r="B5" t="str">
        <f>IFERROR(VLOOKUP(Master[[#This Row],[Cell_ID]],Registre_Maintenance[],2,FALSE),"")</f>
        <v>Mongala</v>
      </c>
      <c r="C5" s="1" t="s">
        <v>1410</v>
      </c>
      <c r="D5" s="2">
        <v>45216.137499999997</v>
      </c>
      <c r="E5" s="3">
        <v>45216.137499999997</v>
      </c>
      <c r="F5">
        <v>120</v>
      </c>
      <c r="G5">
        <f>Master[[#This Row],[Duree_Panne_Min]]/60</f>
        <v>2</v>
      </c>
      <c r="H5" s="1" t="s">
        <v>735</v>
      </c>
      <c r="I5">
        <f>IFERROR(VLOOKUP(Master[[#This Row],[Cell_ID]],Registre_Maintenance[],3,FALSE),"")</f>
        <v>-7.2267089999999996</v>
      </c>
      <c r="J5">
        <f>IFERROR(VLOOKUP(Master[[#This Row],[Cell_ID]],Registre_Maintenance[],4,FALSE),"")</f>
        <v>28.421362999999999</v>
      </c>
      <c r="K5" t="str">
        <f>IFERROR(VLOOKUP(Master[[#This Row],[Cell_ID]],Registre_Maintenance[],5,FALSE),"")</f>
        <v>5G</v>
      </c>
      <c r="L5" t="str">
        <f>IFERROR(VLOOKUP(Master[[#This Row],[Cell_ID]],Registre_Maintenance[],6,FALSE),"")</f>
        <v>Ericsson</v>
      </c>
      <c r="M5" s="1" t="str">
        <f>VLOOKUP(Master[[#This Row],[Province_RDC]],Client[],2,FALSE)</f>
        <v>CLI-00865</v>
      </c>
      <c r="N5" s="1">
        <f>VLOOKUP(Master[[#This Row],[Province_RDC]],Client[],3,FALSE)</f>
        <v>34</v>
      </c>
      <c r="O5" s="1" t="str">
        <f>VLOOKUP(Master[[#This Row],[Province_RDC]],Client[],4,FALSE)</f>
        <v>Pro Monde</v>
      </c>
      <c r="P5" s="1">
        <f>VLOOKUP(Master[[#This Row],[Province_RDC]],Client[],5,FALSE)</f>
        <v>453</v>
      </c>
      <c r="Q5" s="1">
        <f>VLOOKUP(Master[[#This Row],[Province_RDC]],Client[],6,FALSE)</f>
        <v>56.84</v>
      </c>
      <c r="R5" s="1">
        <f>VLOOKUP(Master[[#This Row],[Province_RDC]],Client[],7,FALSE)</f>
        <v>0</v>
      </c>
      <c r="S5" s="1" t="str">
        <f>IF(Master[[#This Row],[Type_Forfait]]="Pro Monde","B2B","B2C")</f>
        <v>B2B</v>
      </c>
      <c r="T5" s="1">
        <f>Master[[#This Row],[Anciennete_Mois]]/12</f>
        <v>2.8333333333333335</v>
      </c>
      <c r="U5" s="1">
        <f>Master[[#This Row],[Duree_Cumule_Panne_Min]]/60</f>
        <v>7.55</v>
      </c>
      <c r="V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" s="6">
        <f>Master[[#This Row],[Facture_Mensuelle]]*Master[[#This Row],[Remise]]</f>
        <v>25.578000000000003</v>
      </c>
    </row>
    <row r="6" spans="1:24" x14ac:dyDescent="0.25">
      <c r="A6" s="1" t="s">
        <v>1138</v>
      </c>
      <c r="B6" t="str">
        <f>IFERROR(VLOOKUP(Master[[#This Row],[Cell_ID]],Registre_Maintenance[],2,FALSE),"")</f>
        <v>Sud-Kivu</v>
      </c>
      <c r="C6" s="1" t="s">
        <v>1156</v>
      </c>
      <c r="D6" s="2">
        <v>45216.275000000001</v>
      </c>
      <c r="E6" s="3">
        <v>45216.275000000001</v>
      </c>
      <c r="F6">
        <v>119</v>
      </c>
      <c r="G6">
        <f>Master[[#This Row],[Duree_Panne_Min]]/60</f>
        <v>1.9833333333333334</v>
      </c>
      <c r="H6" s="1" t="s">
        <v>737</v>
      </c>
      <c r="I6">
        <f>IFERROR(VLOOKUP(Master[[#This Row],[Cell_ID]],Registre_Maintenance[],3,FALSE),"")</f>
        <v>2.4414509999999998</v>
      </c>
      <c r="J6">
        <f>IFERROR(VLOOKUP(Master[[#This Row],[Cell_ID]],Registre_Maintenance[],4,FALSE),"")</f>
        <v>30.167489</v>
      </c>
      <c r="K6" t="str">
        <f>IFERROR(VLOOKUP(Master[[#This Row],[Cell_ID]],Registre_Maintenance[],5,FALSE),"")</f>
        <v>5G</v>
      </c>
      <c r="L6" t="str">
        <f>IFERROR(VLOOKUP(Master[[#This Row],[Cell_ID]],Registre_Maintenance[],6,FALSE),"")</f>
        <v>Nokia</v>
      </c>
      <c r="M6" s="1" t="str">
        <f>VLOOKUP(Master[[#This Row],[Province_RDC]],Client[],2,FALSE)</f>
        <v>CLI-01855</v>
      </c>
      <c r="N6" s="1">
        <f>VLOOKUP(Master[[#This Row],[Province_RDC]],Client[],3,FALSE)</f>
        <v>101</v>
      </c>
      <c r="O6" s="1" t="str">
        <f>VLOOKUP(Master[[#This Row],[Province_RDC]],Client[],4,FALSE)</f>
        <v>Illimité 50Go</v>
      </c>
      <c r="P6" s="1">
        <f>VLOOKUP(Master[[#This Row],[Province_RDC]],Client[],5,FALSE)</f>
        <v>358</v>
      </c>
      <c r="Q6" s="1">
        <f>VLOOKUP(Master[[#This Row],[Province_RDC]],Client[],6,FALSE)</f>
        <v>29.24</v>
      </c>
      <c r="R6" s="1">
        <f>VLOOKUP(Master[[#This Row],[Province_RDC]],Client[],7,FALSE)</f>
        <v>3</v>
      </c>
      <c r="S6" s="1" t="str">
        <f>IF(Master[[#This Row],[Type_Forfait]]="Pro Monde","B2B","B2C")</f>
        <v>B2C</v>
      </c>
      <c r="T6" s="1">
        <f>Master[[#This Row],[Anciennete_Mois]]/12</f>
        <v>8.4166666666666661</v>
      </c>
      <c r="U6" s="1">
        <f>Master[[#This Row],[Duree_Cumule_Panne_Min]]/60</f>
        <v>5.9666666666666668</v>
      </c>
      <c r="V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" s="6">
        <f>Master[[#This Row],[Facture_Mensuelle]]*Master[[#This Row],[Remise]]</f>
        <v>13.157999999999999</v>
      </c>
    </row>
    <row r="7" spans="1:24" x14ac:dyDescent="0.25">
      <c r="A7" s="1" t="s">
        <v>1330</v>
      </c>
      <c r="B7" t="str">
        <f>IFERROR(VLOOKUP(Master[[#This Row],[Cell_ID]],Registre_Maintenance[],2,FALSE),"")</f>
        <v>Lomami</v>
      </c>
      <c r="C7" s="1" t="s">
        <v>833</v>
      </c>
      <c r="D7" s="2">
        <v>45214.684027777781</v>
      </c>
      <c r="E7" s="3">
        <v>45214.684027777781</v>
      </c>
      <c r="F7">
        <v>119</v>
      </c>
      <c r="G7">
        <f>Master[[#This Row],[Duree_Panne_Min]]/60</f>
        <v>1.9833333333333334</v>
      </c>
      <c r="H7" s="1" t="s">
        <v>737</v>
      </c>
      <c r="I7">
        <f>IFERROR(VLOOKUP(Master[[#This Row],[Cell_ID]],Registre_Maintenance[],3,FALSE),"")</f>
        <v>-11.218453999999999</v>
      </c>
      <c r="J7">
        <f>IFERROR(VLOOKUP(Master[[#This Row],[Cell_ID]],Registre_Maintenance[],4,FALSE),"")</f>
        <v>28.230025000000001</v>
      </c>
      <c r="K7" t="str">
        <f>IFERROR(VLOOKUP(Master[[#This Row],[Cell_ID]],Registre_Maintenance[],5,FALSE),"")</f>
        <v>5G</v>
      </c>
      <c r="L7" t="str">
        <f>IFERROR(VLOOKUP(Master[[#This Row],[Cell_ID]],Registre_Maintenance[],6,FALSE),"")</f>
        <v>ZTE</v>
      </c>
      <c r="M7" s="1" t="str">
        <f>VLOOKUP(Master[[#This Row],[Province_RDC]],Client[],2,FALSE)</f>
        <v>CLI-00505</v>
      </c>
      <c r="N7" s="1">
        <f>VLOOKUP(Master[[#This Row],[Province_RDC]],Client[],3,FALSE)</f>
        <v>59</v>
      </c>
      <c r="O7" s="1" t="str">
        <f>VLOOKUP(Master[[#This Row],[Province_RDC]],Client[],4,FALSE)</f>
        <v>Bloqué 5Go</v>
      </c>
      <c r="P7" s="1">
        <f>VLOOKUP(Master[[#This Row],[Province_RDC]],Client[],5,FALSE)</f>
        <v>196</v>
      </c>
      <c r="Q7" s="1">
        <f>VLOOKUP(Master[[#This Row],[Province_RDC]],Client[],6,FALSE)</f>
        <v>62.53</v>
      </c>
      <c r="R7" s="1">
        <f>VLOOKUP(Master[[#This Row],[Province_RDC]],Client[],7,FALSE)</f>
        <v>0</v>
      </c>
      <c r="S7" s="1" t="str">
        <f>IF(Master[[#This Row],[Type_Forfait]]="Pro Monde","B2B","B2C")</f>
        <v>B2C</v>
      </c>
      <c r="T7" s="1">
        <f>Master[[#This Row],[Anciennete_Mois]]/12</f>
        <v>4.916666666666667</v>
      </c>
      <c r="U7" s="1">
        <f>Master[[#This Row],[Duree_Cumule_Panne_Min]]/60</f>
        <v>3.2666666666666666</v>
      </c>
      <c r="V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7" s="6">
        <f>Master[[#This Row],[Facture_Mensuelle]]*Master[[#This Row],[Remise]]</f>
        <v>0</v>
      </c>
    </row>
    <row r="8" spans="1:24" x14ac:dyDescent="0.25">
      <c r="A8" s="1" t="s">
        <v>730</v>
      </c>
      <c r="B8" t="str">
        <f>IFERROR(VLOOKUP(Master[[#This Row],[Cell_ID]],Registre_Maintenance[],2,FALSE),"")</f>
        <v>Kongo-Central</v>
      </c>
      <c r="C8" s="1" t="s">
        <v>739</v>
      </c>
      <c r="D8" s="2">
        <v>45213.042361111111</v>
      </c>
      <c r="E8" s="3">
        <v>45213.042361111111</v>
      </c>
      <c r="F8">
        <v>119</v>
      </c>
      <c r="G8">
        <f>Master[[#This Row],[Duree_Panne_Min]]/60</f>
        <v>1.9833333333333334</v>
      </c>
      <c r="H8" s="1" t="s">
        <v>735</v>
      </c>
      <c r="I8">
        <f>IFERROR(VLOOKUP(Master[[#This Row],[Cell_ID]],Registre_Maintenance[],3,FALSE),"")</f>
        <v>-2.8211520000000001</v>
      </c>
      <c r="J8">
        <f>IFERROR(VLOOKUP(Master[[#This Row],[Cell_ID]],Registre_Maintenance[],4,FALSE),"")</f>
        <v>20.651419000000001</v>
      </c>
      <c r="K8" t="str">
        <f>IFERROR(VLOOKUP(Master[[#This Row],[Cell_ID]],Registre_Maintenance[],5,FALSE),"")</f>
        <v>5G</v>
      </c>
      <c r="L8" t="str">
        <f>IFERROR(VLOOKUP(Master[[#This Row],[Cell_ID]],Registre_Maintenance[],6,FALSE),"")</f>
        <v>Ericsson</v>
      </c>
      <c r="M8" s="1" t="str">
        <f>VLOOKUP(Master[[#This Row],[Province_RDC]],Client[],2,FALSE)</f>
        <v>CLI-01233</v>
      </c>
      <c r="N8" s="1">
        <f>VLOOKUP(Master[[#This Row],[Province_RDC]],Client[],3,FALSE)</f>
        <v>101</v>
      </c>
      <c r="O8" s="1" t="str">
        <f>VLOOKUP(Master[[#This Row],[Province_RDC]],Client[],4,FALSE)</f>
        <v>Pro Monde</v>
      </c>
      <c r="P8" s="1">
        <f>VLOOKUP(Master[[#This Row],[Province_RDC]],Client[],5,FALSE)</f>
        <v>333</v>
      </c>
      <c r="Q8" s="1">
        <f>VLOOKUP(Master[[#This Row],[Province_RDC]],Client[],6,FALSE)</f>
        <v>74.319999999999993</v>
      </c>
      <c r="R8" s="1">
        <f>VLOOKUP(Master[[#This Row],[Province_RDC]],Client[],7,FALSE)</f>
        <v>1</v>
      </c>
      <c r="S8" s="1" t="str">
        <f>IF(Master[[#This Row],[Type_Forfait]]="Pro Monde","B2B","B2C")</f>
        <v>B2B</v>
      </c>
      <c r="T8" s="1">
        <f>Master[[#This Row],[Anciennete_Mois]]/12</f>
        <v>8.4166666666666661</v>
      </c>
      <c r="U8" s="1">
        <f>Master[[#This Row],[Duree_Cumule_Panne_Min]]/60</f>
        <v>5.55</v>
      </c>
      <c r="V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" s="6">
        <f>Master[[#This Row],[Facture_Mensuelle]]*Master[[#This Row],[Remise]]</f>
        <v>33.443999999999996</v>
      </c>
    </row>
    <row r="9" spans="1:24" x14ac:dyDescent="0.25">
      <c r="A9" s="1" t="s">
        <v>1114</v>
      </c>
      <c r="B9" t="str">
        <f>IFERROR(VLOOKUP(Master[[#This Row],[Cell_ID]],Registre_Maintenance[],2,FALSE),"")</f>
        <v>Equateur</v>
      </c>
      <c r="C9" s="1" t="s">
        <v>1120</v>
      </c>
      <c r="D9" s="2">
        <v>45213.763194444437</v>
      </c>
      <c r="E9" s="3">
        <v>45213.763194444437</v>
      </c>
      <c r="F9">
        <v>119</v>
      </c>
      <c r="G9">
        <f>Master[[#This Row],[Duree_Panne_Min]]/60</f>
        <v>1.9833333333333334</v>
      </c>
      <c r="H9" s="1" t="s">
        <v>737</v>
      </c>
      <c r="I9">
        <f>IFERROR(VLOOKUP(Master[[#This Row],[Cell_ID]],Registre_Maintenance[],3,FALSE),"")</f>
        <v>-0.79459900000000006</v>
      </c>
      <c r="J9">
        <f>IFERROR(VLOOKUP(Master[[#This Row],[Cell_ID]],Registre_Maintenance[],4,FALSE),"")</f>
        <v>26.775570999999999</v>
      </c>
      <c r="K9" t="str">
        <f>IFERROR(VLOOKUP(Master[[#This Row],[Cell_ID]],Registre_Maintenance[],5,FALSE),"")</f>
        <v>5G</v>
      </c>
      <c r="L9" t="str">
        <f>IFERROR(VLOOKUP(Master[[#This Row],[Cell_ID]],Registre_Maintenance[],6,FALSE),"")</f>
        <v>Huawei</v>
      </c>
      <c r="M9" s="1" t="str">
        <f>VLOOKUP(Master[[#This Row],[Province_RDC]],Client[],2,FALSE)</f>
        <v>CLI-00643</v>
      </c>
      <c r="N9" s="1">
        <f>VLOOKUP(Master[[#This Row],[Province_RDC]],Client[],3,FALSE)</f>
        <v>14</v>
      </c>
      <c r="O9" s="1" t="str">
        <f>VLOOKUP(Master[[#This Row],[Province_RDC]],Client[],4,FALSE)</f>
        <v>Pro Monde</v>
      </c>
      <c r="P9" s="1">
        <f>VLOOKUP(Master[[#This Row],[Province_RDC]],Client[],5,FALSE)</f>
        <v>316</v>
      </c>
      <c r="Q9" s="1">
        <f>VLOOKUP(Master[[#This Row],[Province_RDC]],Client[],6,FALSE)</f>
        <v>62.34</v>
      </c>
      <c r="R9" s="1">
        <f>VLOOKUP(Master[[#This Row],[Province_RDC]],Client[],7,FALSE)</f>
        <v>4</v>
      </c>
      <c r="S9" s="1" t="str">
        <f>IF(Master[[#This Row],[Type_Forfait]]="Pro Monde","B2B","B2C")</f>
        <v>B2B</v>
      </c>
      <c r="T9" s="1">
        <f>Master[[#This Row],[Anciennete_Mois]]/12</f>
        <v>1.1666666666666667</v>
      </c>
      <c r="U9" s="1">
        <f>Master[[#This Row],[Duree_Cumule_Panne_Min]]/60</f>
        <v>5.2666666666666666</v>
      </c>
      <c r="V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" s="6">
        <f>Master[[#This Row],[Facture_Mensuelle]]*Master[[#This Row],[Remise]]</f>
        <v>28.053000000000001</v>
      </c>
    </row>
    <row r="10" spans="1:24" x14ac:dyDescent="0.25">
      <c r="A10" s="1" t="s">
        <v>1138</v>
      </c>
      <c r="B10" t="str">
        <f>IFERROR(VLOOKUP(Master[[#This Row],[Cell_ID]],Registre_Maintenance[],2,FALSE),"")</f>
        <v>Bas-Uele</v>
      </c>
      <c r="C10" s="1" t="s">
        <v>922</v>
      </c>
      <c r="D10" s="2">
        <v>45209.921527777777</v>
      </c>
      <c r="E10" s="3">
        <v>45209.921527777777</v>
      </c>
      <c r="F10">
        <v>119</v>
      </c>
      <c r="G10">
        <f>Master[[#This Row],[Duree_Panne_Min]]/60</f>
        <v>1.9833333333333334</v>
      </c>
      <c r="H10" s="1" t="s">
        <v>732</v>
      </c>
      <c r="I10">
        <f>IFERROR(VLOOKUP(Master[[#This Row],[Cell_ID]],Registre_Maintenance[],3,FALSE),"")</f>
        <v>1.5278670000000001</v>
      </c>
      <c r="J10">
        <f>IFERROR(VLOOKUP(Master[[#This Row],[Cell_ID]],Registre_Maintenance[],4,FALSE),"")</f>
        <v>13.899388999999999</v>
      </c>
      <c r="K10" t="str">
        <f>IFERROR(VLOOKUP(Master[[#This Row],[Cell_ID]],Registre_Maintenance[],5,FALSE),"")</f>
        <v>3G</v>
      </c>
      <c r="L10" t="str">
        <f>IFERROR(VLOOKUP(Master[[#This Row],[Cell_ID]],Registre_Maintenance[],6,FALSE),"")</f>
        <v>Huawei</v>
      </c>
      <c r="M10" s="1" t="str">
        <f>VLOOKUP(Master[[#This Row],[Province_RDC]],Client[],2,FALSE)</f>
        <v>CLI-01128</v>
      </c>
      <c r="N10" s="1">
        <f>VLOOKUP(Master[[#This Row],[Province_RDC]],Client[],3,FALSE)</f>
        <v>112</v>
      </c>
      <c r="O10" s="1" t="str">
        <f>VLOOKUP(Master[[#This Row],[Province_RDC]],Client[],4,FALSE)</f>
        <v>Premium 5G 150Go</v>
      </c>
      <c r="P10" s="1">
        <f>VLOOKUP(Master[[#This Row],[Province_RDC]],Client[],5,FALSE)</f>
        <v>460</v>
      </c>
      <c r="Q10" s="1">
        <f>VLOOKUP(Master[[#This Row],[Province_RDC]],Client[],6,FALSE)</f>
        <v>55.47</v>
      </c>
      <c r="R10" s="1">
        <f>VLOOKUP(Master[[#This Row],[Province_RDC]],Client[],7,FALSE)</f>
        <v>4</v>
      </c>
      <c r="S10" s="1" t="str">
        <f>IF(Master[[#This Row],[Type_Forfait]]="Pro Monde","B2B","B2C")</f>
        <v>B2C</v>
      </c>
      <c r="T10" s="1">
        <f>Master[[#This Row],[Anciennete_Mois]]/12</f>
        <v>9.3333333333333339</v>
      </c>
      <c r="U10" s="1">
        <f>Master[[#This Row],[Duree_Cumule_Panne_Min]]/60</f>
        <v>7.666666666666667</v>
      </c>
      <c r="V1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" s="6">
        <f>Master[[#This Row],[Facture_Mensuelle]]*Master[[#This Row],[Remise]]</f>
        <v>24.961500000000001</v>
      </c>
    </row>
    <row r="11" spans="1:24" x14ac:dyDescent="0.25">
      <c r="A11" s="1" t="s">
        <v>1308</v>
      </c>
      <c r="B11" t="str">
        <f>IFERROR(VLOOKUP(Master[[#This Row],[Cell_ID]],Registre_Maintenance[],2,FALSE),"")</f>
        <v>Tshuapa</v>
      </c>
      <c r="C11" s="1" t="s">
        <v>1017</v>
      </c>
      <c r="D11" s="2">
        <v>45219.65625</v>
      </c>
      <c r="E11" s="3">
        <v>45219.65625</v>
      </c>
      <c r="F11">
        <v>118</v>
      </c>
      <c r="G11">
        <f>Master[[#This Row],[Duree_Panne_Min]]/60</f>
        <v>1.9666666666666666</v>
      </c>
      <c r="H11" s="1" t="s">
        <v>735</v>
      </c>
      <c r="I11">
        <f>IFERROR(VLOOKUP(Master[[#This Row],[Cell_ID]],Registre_Maintenance[],3,FALSE),"")</f>
        <v>-10.577049000000001</v>
      </c>
      <c r="J11">
        <f>IFERROR(VLOOKUP(Master[[#This Row],[Cell_ID]],Registre_Maintenance[],4,FALSE),"")</f>
        <v>23.721854</v>
      </c>
      <c r="K11" t="str">
        <f>IFERROR(VLOOKUP(Master[[#This Row],[Cell_ID]],Registre_Maintenance[],5,FALSE),"")</f>
        <v>4G</v>
      </c>
      <c r="L11" t="str">
        <f>IFERROR(VLOOKUP(Master[[#This Row],[Cell_ID]],Registre_Maintenance[],6,FALSE),"")</f>
        <v>ZTE</v>
      </c>
      <c r="M11" s="1" t="str">
        <f>VLOOKUP(Master[[#This Row],[Province_RDC]],Client[],2,FALSE)</f>
        <v>CLI-00894</v>
      </c>
      <c r="N11" s="1">
        <f>VLOOKUP(Master[[#This Row],[Province_RDC]],Client[],3,FALSE)</f>
        <v>63</v>
      </c>
      <c r="O11" s="1" t="str">
        <f>VLOOKUP(Master[[#This Row],[Province_RDC]],Client[],4,FALSE)</f>
        <v>Pro Monde</v>
      </c>
      <c r="P11" s="1">
        <f>VLOOKUP(Master[[#This Row],[Province_RDC]],Client[],5,FALSE)</f>
        <v>205</v>
      </c>
      <c r="Q11" s="1">
        <f>VLOOKUP(Master[[#This Row],[Province_RDC]],Client[],6,FALSE)</f>
        <v>89.19</v>
      </c>
      <c r="R11" s="1">
        <f>VLOOKUP(Master[[#This Row],[Province_RDC]],Client[],7,FALSE)</f>
        <v>0</v>
      </c>
      <c r="S11" s="1" t="str">
        <f>IF(Master[[#This Row],[Type_Forfait]]="Pro Monde","B2B","B2C")</f>
        <v>B2B</v>
      </c>
      <c r="T11" s="1">
        <f>Master[[#This Row],[Anciennete_Mois]]/12</f>
        <v>5.25</v>
      </c>
      <c r="U11" s="1">
        <f>Master[[#This Row],[Duree_Cumule_Panne_Min]]/60</f>
        <v>3.4166666666666665</v>
      </c>
      <c r="V1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1" s="6">
        <f>Master[[#This Row],[Facture_Mensuelle]]*Master[[#This Row],[Remise]]</f>
        <v>8.9190000000000005</v>
      </c>
    </row>
    <row r="12" spans="1:24" x14ac:dyDescent="0.25">
      <c r="A12" s="1" t="s">
        <v>779</v>
      </c>
      <c r="B12" t="str">
        <f>IFERROR(VLOOKUP(Master[[#This Row],[Cell_ID]],Registre_Maintenance[],2,FALSE),"")</f>
        <v>Sud-Ubangi</v>
      </c>
      <c r="C12" s="1" t="s">
        <v>810</v>
      </c>
      <c r="D12" s="2">
        <v>45227.309027777781</v>
      </c>
      <c r="E12" s="3">
        <v>45227.309027777781</v>
      </c>
      <c r="F12">
        <v>118</v>
      </c>
      <c r="G12">
        <f>Master[[#This Row],[Duree_Panne_Min]]/60</f>
        <v>1.9666666666666666</v>
      </c>
      <c r="H12" s="1" t="s">
        <v>737</v>
      </c>
      <c r="I12">
        <f>IFERROR(VLOOKUP(Master[[#This Row],[Cell_ID]],Registre_Maintenance[],3,FALSE),"")</f>
        <v>-10.914952</v>
      </c>
      <c r="J12">
        <f>IFERROR(VLOOKUP(Master[[#This Row],[Cell_ID]],Registre_Maintenance[],4,FALSE),"")</f>
        <v>26.409648000000001</v>
      </c>
      <c r="K12" t="str">
        <f>IFERROR(VLOOKUP(Master[[#This Row],[Cell_ID]],Registre_Maintenance[],5,FALSE),"")</f>
        <v>4G</v>
      </c>
      <c r="L12" t="str">
        <f>IFERROR(VLOOKUP(Master[[#This Row],[Cell_ID]],Registre_Maintenance[],6,FALSE),"")</f>
        <v>Huawei</v>
      </c>
      <c r="M12" s="1" t="str">
        <f>VLOOKUP(Master[[#This Row],[Province_RDC]],Client[],2,FALSE)</f>
        <v>CLI-00280</v>
      </c>
      <c r="N12" s="1">
        <f>VLOOKUP(Master[[#This Row],[Province_RDC]],Client[],3,FALSE)</f>
        <v>113</v>
      </c>
      <c r="O12" s="1" t="str">
        <f>VLOOKUP(Master[[#This Row],[Province_RDC]],Client[],4,FALSE)</f>
        <v>Illimité 50Go</v>
      </c>
      <c r="P12" s="1">
        <f>VLOOKUP(Master[[#This Row],[Province_RDC]],Client[],5,FALSE)</f>
        <v>380</v>
      </c>
      <c r="Q12" s="1">
        <f>VLOOKUP(Master[[#This Row],[Province_RDC]],Client[],6,FALSE)</f>
        <v>12.11</v>
      </c>
      <c r="R12" s="1">
        <f>VLOOKUP(Master[[#This Row],[Province_RDC]],Client[],7,FALSE)</f>
        <v>0</v>
      </c>
      <c r="S12" s="1" t="str">
        <f>IF(Master[[#This Row],[Type_Forfait]]="Pro Monde","B2B","B2C")</f>
        <v>B2C</v>
      </c>
      <c r="T12" s="1">
        <f>Master[[#This Row],[Anciennete_Mois]]/12</f>
        <v>9.4166666666666661</v>
      </c>
      <c r="U12" s="1">
        <f>Master[[#This Row],[Duree_Cumule_Panne_Min]]/60</f>
        <v>6.333333333333333</v>
      </c>
      <c r="V1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" s="6">
        <f>Master[[#This Row],[Facture_Mensuelle]]*Master[[#This Row],[Remise]]</f>
        <v>5.4494999999999996</v>
      </c>
    </row>
    <row r="13" spans="1:24" x14ac:dyDescent="0.25">
      <c r="A13" s="1" t="s">
        <v>1024</v>
      </c>
      <c r="B13" t="str">
        <f>IFERROR(VLOOKUP(Master[[#This Row],[Cell_ID]],Registre_Maintenance[],2,FALSE),"")</f>
        <v>Sud-Ubangi</v>
      </c>
      <c r="C13" s="1" t="s">
        <v>810</v>
      </c>
      <c r="D13" s="2">
        <v>45214.774305555547</v>
      </c>
      <c r="E13" s="3">
        <v>45214.774305555547</v>
      </c>
      <c r="F13">
        <v>118</v>
      </c>
      <c r="G13">
        <f>Master[[#This Row],[Duree_Panne_Min]]/60</f>
        <v>1.9666666666666666</v>
      </c>
      <c r="H13" s="1" t="s">
        <v>732</v>
      </c>
      <c r="I13">
        <f>IFERROR(VLOOKUP(Master[[#This Row],[Cell_ID]],Registre_Maintenance[],3,FALSE),"")</f>
        <v>-10.914952</v>
      </c>
      <c r="J13">
        <f>IFERROR(VLOOKUP(Master[[#This Row],[Cell_ID]],Registre_Maintenance[],4,FALSE),"")</f>
        <v>26.409648000000001</v>
      </c>
      <c r="K13" t="str">
        <f>IFERROR(VLOOKUP(Master[[#This Row],[Cell_ID]],Registre_Maintenance[],5,FALSE),"")</f>
        <v>4G</v>
      </c>
      <c r="L13" t="str">
        <f>IFERROR(VLOOKUP(Master[[#This Row],[Cell_ID]],Registre_Maintenance[],6,FALSE),"")</f>
        <v>Huawei</v>
      </c>
      <c r="M13" s="1" t="str">
        <f>VLOOKUP(Master[[#This Row],[Province_RDC]],Client[],2,FALSE)</f>
        <v>CLI-00280</v>
      </c>
      <c r="N13" s="1">
        <f>VLOOKUP(Master[[#This Row],[Province_RDC]],Client[],3,FALSE)</f>
        <v>113</v>
      </c>
      <c r="O13" s="1" t="str">
        <f>VLOOKUP(Master[[#This Row],[Province_RDC]],Client[],4,FALSE)</f>
        <v>Illimité 50Go</v>
      </c>
      <c r="P13" s="1">
        <f>VLOOKUP(Master[[#This Row],[Province_RDC]],Client[],5,FALSE)</f>
        <v>380</v>
      </c>
      <c r="Q13" s="1">
        <f>VLOOKUP(Master[[#This Row],[Province_RDC]],Client[],6,FALSE)</f>
        <v>12.11</v>
      </c>
      <c r="R13" s="1">
        <f>VLOOKUP(Master[[#This Row],[Province_RDC]],Client[],7,FALSE)</f>
        <v>0</v>
      </c>
      <c r="S13" s="1" t="str">
        <f>IF(Master[[#This Row],[Type_Forfait]]="Pro Monde","B2B","B2C")</f>
        <v>B2C</v>
      </c>
      <c r="T13" s="1">
        <f>Master[[#This Row],[Anciennete_Mois]]/12</f>
        <v>9.4166666666666661</v>
      </c>
      <c r="U13" s="1">
        <f>Master[[#This Row],[Duree_Cumule_Panne_Min]]/60</f>
        <v>6.333333333333333</v>
      </c>
      <c r="V1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" s="6">
        <f>Master[[#This Row],[Facture_Mensuelle]]*Master[[#This Row],[Remise]]</f>
        <v>5.4494999999999996</v>
      </c>
    </row>
    <row r="14" spans="1:24" x14ac:dyDescent="0.25">
      <c r="A14" s="1" t="s">
        <v>1165</v>
      </c>
      <c r="B14" t="str">
        <f>IFERROR(VLOOKUP(Master[[#This Row],[Cell_ID]],Registre_Maintenance[],2,FALSE),"")</f>
        <v>Mongala</v>
      </c>
      <c r="C14" s="1" t="s">
        <v>1173</v>
      </c>
      <c r="D14" s="2">
        <v>45210.836805555547</v>
      </c>
      <c r="E14" s="3">
        <v>45210.836805555547</v>
      </c>
      <c r="F14">
        <v>118</v>
      </c>
      <c r="G14">
        <f>Master[[#This Row],[Duree_Panne_Min]]/60</f>
        <v>1.9666666666666666</v>
      </c>
      <c r="H14" s="1" t="s">
        <v>732</v>
      </c>
      <c r="I14">
        <f>IFERROR(VLOOKUP(Master[[#This Row],[Cell_ID]],Registre_Maintenance[],3,FALSE),"")</f>
        <v>-11.407966</v>
      </c>
      <c r="J14">
        <f>IFERROR(VLOOKUP(Master[[#This Row],[Cell_ID]],Registre_Maintenance[],4,FALSE),"")</f>
        <v>28.378274000000001</v>
      </c>
      <c r="K14" t="str">
        <f>IFERROR(VLOOKUP(Master[[#This Row],[Cell_ID]],Registre_Maintenance[],5,FALSE),"")</f>
        <v>4G</v>
      </c>
      <c r="L14" t="str">
        <f>IFERROR(VLOOKUP(Master[[#This Row],[Cell_ID]],Registre_Maintenance[],6,FALSE),"")</f>
        <v>ZTE</v>
      </c>
      <c r="M14" s="1" t="str">
        <f>VLOOKUP(Master[[#This Row],[Province_RDC]],Client[],2,FALSE)</f>
        <v>CLI-00865</v>
      </c>
      <c r="N14" s="1">
        <f>VLOOKUP(Master[[#This Row],[Province_RDC]],Client[],3,FALSE)</f>
        <v>34</v>
      </c>
      <c r="O14" s="1" t="str">
        <f>VLOOKUP(Master[[#This Row],[Province_RDC]],Client[],4,FALSE)</f>
        <v>Pro Monde</v>
      </c>
      <c r="P14" s="1">
        <f>VLOOKUP(Master[[#This Row],[Province_RDC]],Client[],5,FALSE)</f>
        <v>453</v>
      </c>
      <c r="Q14" s="1">
        <f>VLOOKUP(Master[[#This Row],[Province_RDC]],Client[],6,FALSE)</f>
        <v>56.84</v>
      </c>
      <c r="R14" s="1">
        <f>VLOOKUP(Master[[#This Row],[Province_RDC]],Client[],7,FALSE)</f>
        <v>0</v>
      </c>
      <c r="S14" s="1" t="str">
        <f>IF(Master[[#This Row],[Type_Forfait]]="Pro Monde","B2B","B2C")</f>
        <v>B2B</v>
      </c>
      <c r="T14" s="1">
        <f>Master[[#This Row],[Anciennete_Mois]]/12</f>
        <v>2.8333333333333335</v>
      </c>
      <c r="U14" s="1">
        <f>Master[[#This Row],[Duree_Cumule_Panne_Min]]/60</f>
        <v>7.55</v>
      </c>
      <c r="V1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4" s="6">
        <f>Master[[#This Row],[Facture_Mensuelle]]*Master[[#This Row],[Remise]]</f>
        <v>25.578000000000003</v>
      </c>
    </row>
    <row r="15" spans="1:24" x14ac:dyDescent="0.25">
      <c r="A15" s="1" t="s">
        <v>779</v>
      </c>
      <c r="B15" t="str">
        <f>IFERROR(VLOOKUP(Master[[#This Row],[Cell_ID]],Registre_Maintenance[],2,FALSE),"")</f>
        <v>Sud-Ubangi</v>
      </c>
      <c r="C15" s="1" t="s">
        <v>806</v>
      </c>
      <c r="D15" s="2">
        <v>45216.673611111109</v>
      </c>
      <c r="E15" s="3">
        <v>45216.673611111109</v>
      </c>
      <c r="F15">
        <v>117</v>
      </c>
      <c r="G15">
        <f>Master[[#This Row],[Duree_Panne_Min]]/60</f>
        <v>1.95</v>
      </c>
      <c r="H15" s="1" t="s">
        <v>732</v>
      </c>
      <c r="I15">
        <f>IFERROR(VLOOKUP(Master[[#This Row],[Cell_ID]],Registre_Maintenance[],3,FALSE),"")</f>
        <v>-12.141233</v>
      </c>
      <c r="J15">
        <f>IFERROR(VLOOKUP(Master[[#This Row],[Cell_ID]],Registre_Maintenance[],4,FALSE),"")</f>
        <v>15.179043999999999</v>
      </c>
      <c r="K15" t="str">
        <f>IFERROR(VLOOKUP(Master[[#This Row],[Cell_ID]],Registre_Maintenance[],5,FALSE),"")</f>
        <v>5G</v>
      </c>
      <c r="L15" t="str">
        <f>IFERROR(VLOOKUP(Master[[#This Row],[Cell_ID]],Registre_Maintenance[],6,FALSE),"")</f>
        <v>Ericsson</v>
      </c>
      <c r="M15" s="1" t="str">
        <f>VLOOKUP(Master[[#This Row],[Province_RDC]],Client[],2,FALSE)</f>
        <v>CLI-00280</v>
      </c>
      <c r="N15" s="1">
        <f>VLOOKUP(Master[[#This Row],[Province_RDC]],Client[],3,FALSE)</f>
        <v>113</v>
      </c>
      <c r="O15" s="1" t="str">
        <f>VLOOKUP(Master[[#This Row],[Province_RDC]],Client[],4,FALSE)</f>
        <v>Illimité 50Go</v>
      </c>
      <c r="P15" s="1">
        <f>VLOOKUP(Master[[#This Row],[Province_RDC]],Client[],5,FALSE)</f>
        <v>380</v>
      </c>
      <c r="Q15" s="1">
        <f>VLOOKUP(Master[[#This Row],[Province_RDC]],Client[],6,FALSE)</f>
        <v>12.11</v>
      </c>
      <c r="R15" s="1">
        <f>VLOOKUP(Master[[#This Row],[Province_RDC]],Client[],7,FALSE)</f>
        <v>0</v>
      </c>
      <c r="S15" s="1" t="str">
        <f>IF(Master[[#This Row],[Type_Forfait]]="Pro Monde","B2B","B2C")</f>
        <v>B2C</v>
      </c>
      <c r="T15" s="1">
        <f>Master[[#This Row],[Anciennete_Mois]]/12</f>
        <v>9.4166666666666661</v>
      </c>
      <c r="U15" s="1">
        <f>Master[[#This Row],[Duree_Cumule_Panne_Min]]/60</f>
        <v>6.333333333333333</v>
      </c>
      <c r="V1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" s="6">
        <f>Master[[#This Row],[Facture_Mensuelle]]*Master[[#This Row],[Remise]]</f>
        <v>5.4494999999999996</v>
      </c>
    </row>
    <row r="16" spans="1:24" x14ac:dyDescent="0.25">
      <c r="A16" s="1" t="s">
        <v>1024</v>
      </c>
      <c r="B16" t="str">
        <f>IFERROR(VLOOKUP(Master[[#This Row],[Cell_ID]],Registre_Maintenance[],2,FALSE),"")</f>
        <v>Nord-Kivu</v>
      </c>
      <c r="C16" s="1" t="s">
        <v>778</v>
      </c>
      <c r="D16" s="2">
        <v>45215.67291666667</v>
      </c>
      <c r="E16" s="3">
        <v>45215.67291666667</v>
      </c>
      <c r="F16">
        <v>117</v>
      </c>
      <c r="G16">
        <f>Master[[#This Row],[Duree_Panne_Min]]/60</f>
        <v>1.95</v>
      </c>
      <c r="H16" s="1" t="s">
        <v>737</v>
      </c>
      <c r="I16">
        <f>IFERROR(VLOOKUP(Master[[#This Row],[Cell_ID]],Registre_Maintenance[],3,FALSE),"")</f>
        <v>-11.866133</v>
      </c>
      <c r="J16">
        <f>IFERROR(VLOOKUP(Master[[#This Row],[Cell_ID]],Registre_Maintenance[],4,FALSE),"")</f>
        <v>27.068932</v>
      </c>
      <c r="K16" t="str">
        <f>IFERROR(VLOOKUP(Master[[#This Row],[Cell_ID]],Registre_Maintenance[],5,FALSE),"")</f>
        <v>3G</v>
      </c>
      <c r="L16" t="str">
        <f>IFERROR(VLOOKUP(Master[[#This Row],[Cell_ID]],Registre_Maintenance[],6,FALSE),"")</f>
        <v>Huawei</v>
      </c>
      <c r="M16" s="1" t="str">
        <f>VLOOKUP(Master[[#This Row],[Province_RDC]],Client[],2,FALSE)</f>
        <v>CLI-00837</v>
      </c>
      <c r="N16" s="1">
        <f>VLOOKUP(Master[[#This Row],[Province_RDC]],Client[],3,FALSE)</f>
        <v>16</v>
      </c>
      <c r="O16" s="1" t="str">
        <f>VLOOKUP(Master[[#This Row],[Province_RDC]],Client[],4,FALSE)</f>
        <v>Bloqué 5Go</v>
      </c>
      <c r="P16" s="1">
        <f>VLOOKUP(Master[[#This Row],[Province_RDC]],Client[],5,FALSE)</f>
        <v>390</v>
      </c>
      <c r="Q16" s="1">
        <f>VLOOKUP(Master[[#This Row],[Province_RDC]],Client[],6,FALSE)</f>
        <v>98.17</v>
      </c>
      <c r="R16" s="1">
        <f>VLOOKUP(Master[[#This Row],[Province_RDC]],Client[],7,FALSE)</f>
        <v>5</v>
      </c>
      <c r="S16" s="1" t="str">
        <f>IF(Master[[#This Row],[Type_Forfait]]="Pro Monde","B2B","B2C")</f>
        <v>B2C</v>
      </c>
      <c r="T16" s="1">
        <f>Master[[#This Row],[Anciennete_Mois]]/12</f>
        <v>1.3333333333333333</v>
      </c>
      <c r="U16" s="1">
        <f>Master[[#This Row],[Duree_Cumule_Panne_Min]]/60</f>
        <v>6.5</v>
      </c>
      <c r="V1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" s="6">
        <f>Master[[#This Row],[Facture_Mensuelle]]*Master[[#This Row],[Remise]]</f>
        <v>44.176500000000004</v>
      </c>
    </row>
    <row r="17" spans="1:24" x14ac:dyDescent="0.25">
      <c r="A17" s="1" t="s">
        <v>1345</v>
      </c>
      <c r="B17" t="str">
        <f>IFERROR(VLOOKUP(Master[[#This Row],[Cell_ID]],Registre_Maintenance[],2,FALSE),"")</f>
        <v>Kongo-Central</v>
      </c>
      <c r="C17" s="1" t="s">
        <v>1272</v>
      </c>
      <c r="D17" s="2">
        <v>45230.039583333331</v>
      </c>
      <c r="E17" s="3">
        <v>45230.039583333331</v>
      </c>
      <c r="F17">
        <v>117</v>
      </c>
      <c r="G17">
        <f>Master[[#This Row],[Duree_Panne_Min]]/60</f>
        <v>1.95</v>
      </c>
      <c r="H17" s="1" t="s">
        <v>735</v>
      </c>
      <c r="I17">
        <f>IFERROR(VLOOKUP(Master[[#This Row],[Cell_ID]],Registre_Maintenance[],3,FALSE),"")</f>
        <v>1.981107</v>
      </c>
      <c r="J17">
        <f>IFERROR(VLOOKUP(Master[[#This Row],[Cell_ID]],Registre_Maintenance[],4,FALSE),"")</f>
        <v>23.932569000000001</v>
      </c>
      <c r="K17" t="str">
        <f>IFERROR(VLOOKUP(Master[[#This Row],[Cell_ID]],Registre_Maintenance[],5,FALSE),"")</f>
        <v>3G</v>
      </c>
      <c r="L17" t="str">
        <f>IFERROR(VLOOKUP(Master[[#This Row],[Cell_ID]],Registre_Maintenance[],6,FALSE),"")</f>
        <v>Nokia</v>
      </c>
      <c r="M17" s="1" t="str">
        <f>VLOOKUP(Master[[#This Row],[Province_RDC]],Client[],2,FALSE)</f>
        <v>CLI-01233</v>
      </c>
      <c r="N17" s="1">
        <f>VLOOKUP(Master[[#This Row],[Province_RDC]],Client[],3,FALSE)</f>
        <v>101</v>
      </c>
      <c r="O17" s="1" t="str">
        <f>VLOOKUP(Master[[#This Row],[Province_RDC]],Client[],4,FALSE)</f>
        <v>Pro Monde</v>
      </c>
      <c r="P17" s="1">
        <f>VLOOKUP(Master[[#This Row],[Province_RDC]],Client[],5,FALSE)</f>
        <v>333</v>
      </c>
      <c r="Q17" s="1">
        <f>VLOOKUP(Master[[#This Row],[Province_RDC]],Client[],6,FALSE)</f>
        <v>74.319999999999993</v>
      </c>
      <c r="R17" s="1">
        <f>VLOOKUP(Master[[#This Row],[Province_RDC]],Client[],7,FALSE)</f>
        <v>1</v>
      </c>
      <c r="S17" s="1" t="str">
        <f>IF(Master[[#This Row],[Type_Forfait]]="Pro Monde","B2B","B2C")</f>
        <v>B2B</v>
      </c>
      <c r="T17" s="1">
        <f>Master[[#This Row],[Anciennete_Mois]]/12</f>
        <v>8.4166666666666661</v>
      </c>
      <c r="U17" s="1">
        <f>Master[[#This Row],[Duree_Cumule_Panne_Min]]/60</f>
        <v>5.55</v>
      </c>
      <c r="V1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" s="6">
        <f>Master[[#This Row],[Facture_Mensuelle]]*Master[[#This Row],[Remise]]</f>
        <v>33.443999999999996</v>
      </c>
    </row>
    <row r="18" spans="1:24" x14ac:dyDescent="0.25">
      <c r="A18" s="1" t="s">
        <v>1361</v>
      </c>
      <c r="B18" t="str">
        <f>IFERROR(VLOOKUP(Master[[#This Row],[Cell_ID]],Registre_Maintenance[],2,FALSE),"")</f>
        <v>Nord-Kivu</v>
      </c>
      <c r="C18" s="1" t="s">
        <v>927</v>
      </c>
      <c r="D18" s="2">
        <v>45211.424305555563</v>
      </c>
      <c r="E18" s="3">
        <v>45211.424305555563</v>
      </c>
      <c r="F18">
        <v>116</v>
      </c>
      <c r="G18">
        <f>Master[[#This Row],[Duree_Panne_Min]]/60</f>
        <v>1.9333333333333333</v>
      </c>
      <c r="H18" s="1" t="s">
        <v>735</v>
      </c>
      <c r="I18">
        <f>IFERROR(VLOOKUP(Master[[#This Row],[Cell_ID]],Registre_Maintenance[],3,FALSE),"")</f>
        <v>-1.8555980000000001</v>
      </c>
      <c r="J18">
        <f>IFERROR(VLOOKUP(Master[[#This Row],[Cell_ID]],Registre_Maintenance[],4,FALSE),"")</f>
        <v>30.421918000000002</v>
      </c>
      <c r="K18" t="str">
        <f>IFERROR(VLOOKUP(Master[[#This Row],[Cell_ID]],Registre_Maintenance[],5,FALSE),"")</f>
        <v>3G</v>
      </c>
      <c r="L18" t="str">
        <f>IFERROR(VLOOKUP(Master[[#This Row],[Cell_ID]],Registre_Maintenance[],6,FALSE),"")</f>
        <v>ZTE</v>
      </c>
      <c r="M18" s="1" t="str">
        <f>VLOOKUP(Master[[#This Row],[Province_RDC]],Client[],2,FALSE)</f>
        <v>CLI-00837</v>
      </c>
      <c r="N18" s="1">
        <f>VLOOKUP(Master[[#This Row],[Province_RDC]],Client[],3,FALSE)</f>
        <v>16</v>
      </c>
      <c r="O18" s="1" t="str">
        <f>VLOOKUP(Master[[#This Row],[Province_RDC]],Client[],4,FALSE)</f>
        <v>Bloqué 5Go</v>
      </c>
      <c r="P18" s="1">
        <f>VLOOKUP(Master[[#This Row],[Province_RDC]],Client[],5,FALSE)</f>
        <v>390</v>
      </c>
      <c r="Q18" s="1">
        <f>VLOOKUP(Master[[#This Row],[Province_RDC]],Client[],6,FALSE)</f>
        <v>98.17</v>
      </c>
      <c r="R18" s="1">
        <f>VLOOKUP(Master[[#This Row],[Province_RDC]],Client[],7,FALSE)</f>
        <v>5</v>
      </c>
      <c r="S18" s="1" t="str">
        <f>IF(Master[[#This Row],[Type_Forfait]]="Pro Monde","B2B","B2C")</f>
        <v>B2C</v>
      </c>
      <c r="T18" s="1">
        <f>Master[[#This Row],[Anciennete_Mois]]/12</f>
        <v>1.3333333333333333</v>
      </c>
      <c r="U18" s="1">
        <f>Master[[#This Row],[Duree_Cumule_Panne_Min]]/60</f>
        <v>6.5</v>
      </c>
      <c r="V1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" s="6">
        <f>Master[[#This Row],[Facture_Mensuelle]]*Master[[#This Row],[Remise]]</f>
        <v>44.176500000000004</v>
      </c>
    </row>
    <row r="19" spans="1:24" x14ac:dyDescent="0.25">
      <c r="A19" s="1" t="s">
        <v>1382</v>
      </c>
      <c r="B19" t="str">
        <f>IFERROR(VLOOKUP(Master[[#This Row],[Cell_ID]],Registre_Maintenance[],2,FALSE),"")</f>
        <v>Haut-Katanga</v>
      </c>
      <c r="C19" s="1" t="s">
        <v>948</v>
      </c>
      <c r="D19" s="2">
        <v>45223.736111111109</v>
      </c>
      <c r="E19" s="3">
        <v>45223.736111111109</v>
      </c>
      <c r="F19">
        <v>116</v>
      </c>
      <c r="G19">
        <f>Master[[#This Row],[Duree_Panne_Min]]/60</f>
        <v>1.9333333333333333</v>
      </c>
      <c r="H19" s="1" t="s">
        <v>735</v>
      </c>
      <c r="I19">
        <f>IFERROR(VLOOKUP(Master[[#This Row],[Cell_ID]],Registre_Maintenance[],3,FALSE),"")</f>
        <v>0.16841400000000001</v>
      </c>
      <c r="J19">
        <f>IFERROR(VLOOKUP(Master[[#This Row],[Cell_ID]],Registre_Maintenance[],4,FALSE),"")</f>
        <v>30.029876999999999</v>
      </c>
      <c r="K19" t="str">
        <f>IFERROR(VLOOKUP(Master[[#This Row],[Cell_ID]],Registre_Maintenance[],5,FALSE),"")</f>
        <v>5G</v>
      </c>
      <c r="L19" t="str">
        <f>IFERROR(VLOOKUP(Master[[#This Row],[Cell_ID]],Registre_Maintenance[],6,FALSE),"")</f>
        <v>Huawei</v>
      </c>
      <c r="M19" s="1" t="str">
        <f>VLOOKUP(Master[[#This Row],[Province_RDC]],Client[],2,FALSE)</f>
        <v>CLI-00076</v>
      </c>
      <c r="N19" s="1">
        <f>VLOOKUP(Master[[#This Row],[Province_RDC]],Client[],3,FALSE)</f>
        <v>46</v>
      </c>
      <c r="O19" s="1" t="str">
        <f>VLOOKUP(Master[[#This Row],[Province_RDC]],Client[],4,FALSE)</f>
        <v>Premium 5G 150Go</v>
      </c>
      <c r="P19" s="1">
        <f>VLOOKUP(Master[[#This Row],[Province_RDC]],Client[],5,FALSE)</f>
        <v>283</v>
      </c>
      <c r="Q19" s="1">
        <f>VLOOKUP(Master[[#This Row],[Province_RDC]],Client[],6,FALSE)</f>
        <v>56.05</v>
      </c>
      <c r="R19" s="1">
        <f>VLOOKUP(Master[[#This Row],[Province_RDC]],Client[],7,FALSE)</f>
        <v>1</v>
      </c>
      <c r="S19" s="1" t="str">
        <f>IF(Master[[#This Row],[Type_Forfait]]="Pro Monde","B2B","B2C")</f>
        <v>B2C</v>
      </c>
      <c r="T19" s="1">
        <f>Master[[#This Row],[Anciennete_Mois]]/12</f>
        <v>3.8333333333333335</v>
      </c>
      <c r="U19" s="1">
        <f>Master[[#This Row],[Duree_Cumule_Panne_Min]]/60</f>
        <v>4.7166666666666668</v>
      </c>
      <c r="V1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" s="6">
        <f>Master[[#This Row],[Facture_Mensuelle]]*Master[[#This Row],[Remise]]</f>
        <v>25.2225</v>
      </c>
    </row>
    <row r="20" spans="1:24" x14ac:dyDescent="0.25">
      <c r="A20" s="1" t="s">
        <v>999</v>
      </c>
      <c r="B20" t="str">
        <f>IFERROR(VLOOKUP(Master[[#This Row],[Cell_ID]],Registre_Maintenance[],2,FALSE),"")</f>
        <v>Tshuapa</v>
      </c>
      <c r="C20" s="1" t="s">
        <v>1017</v>
      </c>
      <c r="D20" s="2">
        <v>45202.04791666667</v>
      </c>
      <c r="E20" s="3">
        <v>45202.04791666667</v>
      </c>
      <c r="F20">
        <v>115</v>
      </c>
      <c r="G20">
        <f>Master[[#This Row],[Duree_Panne_Min]]/60</f>
        <v>1.9166666666666667</v>
      </c>
      <c r="H20" s="1" t="s">
        <v>735</v>
      </c>
      <c r="I20">
        <f>IFERROR(VLOOKUP(Master[[#This Row],[Cell_ID]],Registre_Maintenance[],3,FALSE),"")</f>
        <v>-10.577049000000001</v>
      </c>
      <c r="J20">
        <f>IFERROR(VLOOKUP(Master[[#This Row],[Cell_ID]],Registre_Maintenance[],4,FALSE),"")</f>
        <v>23.721854</v>
      </c>
      <c r="K20" t="str">
        <f>IFERROR(VLOOKUP(Master[[#This Row],[Cell_ID]],Registre_Maintenance[],5,FALSE),"")</f>
        <v>4G</v>
      </c>
      <c r="L20" t="str">
        <f>IFERROR(VLOOKUP(Master[[#This Row],[Cell_ID]],Registre_Maintenance[],6,FALSE),"")</f>
        <v>ZTE</v>
      </c>
      <c r="M20" s="1" t="str">
        <f>VLOOKUP(Master[[#This Row],[Province_RDC]],Client[],2,FALSE)</f>
        <v>CLI-00894</v>
      </c>
      <c r="N20" s="1">
        <f>VLOOKUP(Master[[#This Row],[Province_RDC]],Client[],3,FALSE)</f>
        <v>63</v>
      </c>
      <c r="O20" s="1" t="str">
        <f>VLOOKUP(Master[[#This Row],[Province_RDC]],Client[],4,FALSE)</f>
        <v>Pro Monde</v>
      </c>
      <c r="P20" s="1">
        <f>VLOOKUP(Master[[#This Row],[Province_RDC]],Client[],5,FALSE)</f>
        <v>205</v>
      </c>
      <c r="Q20" s="1">
        <f>VLOOKUP(Master[[#This Row],[Province_RDC]],Client[],6,FALSE)</f>
        <v>89.19</v>
      </c>
      <c r="R20" s="1">
        <f>VLOOKUP(Master[[#This Row],[Province_RDC]],Client[],7,FALSE)</f>
        <v>0</v>
      </c>
      <c r="S20" s="1" t="str">
        <f>IF(Master[[#This Row],[Type_Forfait]]="Pro Monde","B2B","B2C")</f>
        <v>B2B</v>
      </c>
      <c r="T20" s="1">
        <f>Master[[#This Row],[Anciennete_Mois]]/12</f>
        <v>5.25</v>
      </c>
      <c r="U20" s="1">
        <f>Master[[#This Row],[Duree_Cumule_Panne_Min]]/60</f>
        <v>3.4166666666666665</v>
      </c>
      <c r="V2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0" s="6">
        <f>Master[[#This Row],[Facture_Mensuelle]]*Master[[#This Row],[Remise]]</f>
        <v>8.9190000000000005</v>
      </c>
    </row>
    <row r="21" spans="1:24" x14ac:dyDescent="0.25">
      <c r="A21" s="1" t="s">
        <v>730</v>
      </c>
      <c r="B21" t="str">
        <f>IFERROR(VLOOKUP(Master[[#This Row],[Cell_ID]],Registre_Maintenance[],2,FALSE),"")</f>
        <v>Tshopo</v>
      </c>
      <c r="C21" s="1" t="s">
        <v>764</v>
      </c>
      <c r="D21" s="2">
        <v>45208.957638888889</v>
      </c>
      <c r="E21" s="3">
        <v>45208.957638888889</v>
      </c>
      <c r="F21">
        <v>115</v>
      </c>
      <c r="G21">
        <f>Master[[#This Row],[Duree_Panne_Min]]/60</f>
        <v>1.9166666666666667</v>
      </c>
      <c r="H21" s="1" t="s">
        <v>732</v>
      </c>
      <c r="I21">
        <f>IFERROR(VLOOKUP(Master[[#This Row],[Cell_ID]],Registre_Maintenance[],3,FALSE),"")</f>
        <v>-6.1837850000000003</v>
      </c>
      <c r="J21">
        <f>IFERROR(VLOOKUP(Master[[#This Row],[Cell_ID]],Registre_Maintenance[],4,FALSE),"")</f>
        <v>25.138759</v>
      </c>
      <c r="K21" t="str">
        <f>IFERROR(VLOOKUP(Master[[#This Row],[Cell_ID]],Registre_Maintenance[],5,FALSE),"")</f>
        <v>3G</v>
      </c>
      <c r="L21" t="str">
        <f>IFERROR(VLOOKUP(Master[[#This Row],[Cell_ID]],Registre_Maintenance[],6,FALSE),"")</f>
        <v>Ericsson</v>
      </c>
      <c r="M21" s="1" t="str">
        <f>VLOOKUP(Master[[#This Row],[Province_RDC]],Client[],2,FALSE)</f>
        <v>CLI-00745</v>
      </c>
      <c r="N21" s="1">
        <f>VLOOKUP(Master[[#This Row],[Province_RDC]],Client[],3,FALSE)</f>
        <v>6</v>
      </c>
      <c r="O21" s="1" t="str">
        <f>VLOOKUP(Master[[#This Row],[Province_RDC]],Client[],4,FALSE)</f>
        <v>Premium 5G 150Go</v>
      </c>
      <c r="P21" s="1">
        <f>VLOOKUP(Master[[#This Row],[Province_RDC]],Client[],5,FALSE)</f>
        <v>207</v>
      </c>
      <c r="Q21" s="1">
        <f>VLOOKUP(Master[[#This Row],[Province_RDC]],Client[],6,FALSE)</f>
        <v>61.55</v>
      </c>
      <c r="R21" s="1">
        <f>VLOOKUP(Master[[#This Row],[Province_RDC]],Client[],7,FALSE)</f>
        <v>0</v>
      </c>
      <c r="S21" s="1" t="str">
        <f>IF(Master[[#This Row],[Type_Forfait]]="Pro Monde","B2B","B2C")</f>
        <v>B2C</v>
      </c>
      <c r="T21" s="1">
        <f>Master[[#This Row],[Anciennete_Mois]]/12</f>
        <v>0.5</v>
      </c>
      <c r="U21" s="1">
        <f>Master[[#This Row],[Duree_Cumule_Panne_Min]]/60</f>
        <v>3.45</v>
      </c>
      <c r="V2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1" s="6">
        <f>Master[[#This Row],[Facture_Mensuelle]]*Master[[#This Row],[Remise]]</f>
        <v>0</v>
      </c>
    </row>
    <row r="22" spans="1:24" x14ac:dyDescent="0.25">
      <c r="A22" s="1" t="s">
        <v>978</v>
      </c>
      <c r="B22" t="str">
        <f>IFERROR(VLOOKUP(Master[[#This Row],[Cell_ID]],Registre_Maintenance[],2,FALSE),"")</f>
        <v>Tanganyika</v>
      </c>
      <c r="C22" s="1" t="s">
        <v>993</v>
      </c>
      <c r="D22" s="2">
        <v>45202.717361111107</v>
      </c>
      <c r="E22" s="3">
        <v>45202.717361111107</v>
      </c>
      <c r="F22">
        <v>115</v>
      </c>
      <c r="G22">
        <f>Master[[#This Row],[Duree_Panne_Min]]/60</f>
        <v>1.9166666666666667</v>
      </c>
      <c r="H22" s="1" t="s">
        <v>737</v>
      </c>
      <c r="I22">
        <f>IFERROR(VLOOKUP(Master[[#This Row],[Cell_ID]],Registre_Maintenance[],3,FALSE),"")</f>
        <v>-1.5936220000000001</v>
      </c>
      <c r="J22">
        <f>IFERROR(VLOOKUP(Master[[#This Row],[Cell_ID]],Registre_Maintenance[],4,FALSE),"")</f>
        <v>14.928856</v>
      </c>
      <c r="K22" t="str">
        <f>IFERROR(VLOOKUP(Master[[#This Row],[Cell_ID]],Registre_Maintenance[],5,FALSE),"")</f>
        <v>5G</v>
      </c>
      <c r="L22" t="str">
        <f>IFERROR(VLOOKUP(Master[[#This Row],[Cell_ID]],Registre_Maintenance[],6,FALSE),"")</f>
        <v>Ericsson</v>
      </c>
      <c r="M22" s="1" t="str">
        <f>VLOOKUP(Master[[#This Row],[Province_RDC]],Client[],2,FALSE)</f>
        <v>CLI-01618</v>
      </c>
      <c r="N22" s="1">
        <f>VLOOKUP(Master[[#This Row],[Province_RDC]],Client[],3,FALSE)</f>
        <v>115</v>
      </c>
      <c r="O22" s="1" t="str">
        <f>VLOOKUP(Master[[#This Row],[Province_RDC]],Client[],4,FALSE)</f>
        <v>Bloqué 5Go</v>
      </c>
      <c r="P22" s="1">
        <f>VLOOKUP(Master[[#This Row],[Province_RDC]],Client[],5,FALSE)</f>
        <v>176</v>
      </c>
      <c r="Q22" s="1">
        <f>VLOOKUP(Master[[#This Row],[Province_RDC]],Client[],6,FALSE)</f>
        <v>33.28</v>
      </c>
      <c r="R22" s="1">
        <f>VLOOKUP(Master[[#This Row],[Province_RDC]],Client[],7,FALSE)</f>
        <v>4</v>
      </c>
      <c r="S22" s="1" t="str">
        <f>IF(Master[[#This Row],[Type_Forfait]]="Pro Monde","B2B","B2C")</f>
        <v>B2C</v>
      </c>
      <c r="T22" s="1">
        <f>Master[[#This Row],[Anciennete_Mois]]/12</f>
        <v>9.5833333333333339</v>
      </c>
      <c r="U22" s="1">
        <f>Master[[#This Row],[Duree_Cumule_Panne_Min]]/60</f>
        <v>2.9333333333333331</v>
      </c>
      <c r="V2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2" s="6">
        <f>Master[[#This Row],[Facture_Mensuelle]]*Master[[#This Row],[Remise]]</f>
        <v>0</v>
      </c>
    </row>
    <row r="23" spans="1:24" x14ac:dyDescent="0.25">
      <c r="A23" s="1" t="s">
        <v>1219</v>
      </c>
      <c r="B23" t="str">
        <f>IFERROR(VLOOKUP(Master[[#This Row],[Cell_ID]],Registre_Maintenance[],2,FALSE),"")</f>
        <v>Sud-Kivu</v>
      </c>
      <c r="C23" s="1" t="s">
        <v>1230</v>
      </c>
      <c r="D23" s="2">
        <v>45205.440972222219</v>
      </c>
      <c r="E23" s="3">
        <v>45205.440972222219</v>
      </c>
      <c r="F23">
        <v>115</v>
      </c>
      <c r="G23">
        <f>Master[[#This Row],[Duree_Panne_Min]]/60</f>
        <v>1.9166666666666667</v>
      </c>
      <c r="H23" s="1" t="s">
        <v>735</v>
      </c>
      <c r="I23">
        <f>IFERROR(VLOOKUP(Master[[#This Row],[Cell_ID]],Registre_Maintenance[],3,FALSE),"")</f>
        <v>-1.3024210000000001</v>
      </c>
      <c r="J23">
        <f>IFERROR(VLOOKUP(Master[[#This Row],[Cell_ID]],Registre_Maintenance[],4,FALSE),"")</f>
        <v>13.601914000000001</v>
      </c>
      <c r="K23" t="str">
        <f>IFERROR(VLOOKUP(Master[[#This Row],[Cell_ID]],Registre_Maintenance[],5,FALSE),"")</f>
        <v>3G</v>
      </c>
      <c r="L23" t="str">
        <f>IFERROR(VLOOKUP(Master[[#This Row],[Cell_ID]],Registre_Maintenance[],6,FALSE),"")</f>
        <v>Huawei</v>
      </c>
      <c r="M23" s="1" t="str">
        <f>VLOOKUP(Master[[#This Row],[Province_RDC]],Client[],2,FALSE)</f>
        <v>CLI-01855</v>
      </c>
      <c r="N23" s="1">
        <f>VLOOKUP(Master[[#This Row],[Province_RDC]],Client[],3,FALSE)</f>
        <v>101</v>
      </c>
      <c r="O23" s="1" t="str">
        <f>VLOOKUP(Master[[#This Row],[Province_RDC]],Client[],4,FALSE)</f>
        <v>Illimité 50Go</v>
      </c>
      <c r="P23" s="1">
        <f>VLOOKUP(Master[[#This Row],[Province_RDC]],Client[],5,FALSE)</f>
        <v>358</v>
      </c>
      <c r="Q23" s="1">
        <f>VLOOKUP(Master[[#This Row],[Province_RDC]],Client[],6,FALSE)</f>
        <v>29.24</v>
      </c>
      <c r="R23" s="1">
        <f>VLOOKUP(Master[[#This Row],[Province_RDC]],Client[],7,FALSE)</f>
        <v>3</v>
      </c>
      <c r="S23" s="1" t="str">
        <f>IF(Master[[#This Row],[Type_Forfait]]="Pro Monde","B2B","B2C")</f>
        <v>B2C</v>
      </c>
      <c r="T23" s="1">
        <f>Master[[#This Row],[Anciennete_Mois]]/12</f>
        <v>8.4166666666666661</v>
      </c>
      <c r="U23" s="1">
        <f>Master[[#This Row],[Duree_Cumule_Panne_Min]]/60</f>
        <v>5.9666666666666668</v>
      </c>
      <c r="V2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" s="6">
        <f>Master[[#This Row],[Facture_Mensuelle]]*Master[[#This Row],[Remise]]</f>
        <v>13.157999999999999</v>
      </c>
    </row>
    <row r="24" spans="1:24" x14ac:dyDescent="0.25">
      <c r="A24" s="1" t="s">
        <v>1241</v>
      </c>
      <c r="B24" t="str">
        <f>IFERROR(VLOOKUP(Master[[#This Row],[Cell_ID]],Registre_Maintenance[],2,FALSE),"")</f>
        <v>Nord-Ubangi</v>
      </c>
      <c r="C24" s="1" t="s">
        <v>879</v>
      </c>
      <c r="D24" s="2">
        <v>45214.018750000003</v>
      </c>
      <c r="E24" s="3">
        <v>45214.018750000003</v>
      </c>
      <c r="F24">
        <v>115</v>
      </c>
      <c r="G24">
        <f>Master[[#This Row],[Duree_Panne_Min]]/60</f>
        <v>1.9166666666666667</v>
      </c>
      <c r="H24" s="1" t="s">
        <v>735</v>
      </c>
      <c r="I24">
        <f>IFERROR(VLOOKUP(Master[[#This Row],[Cell_ID]],Registre_Maintenance[],3,FALSE),"")</f>
        <v>-1.342476</v>
      </c>
      <c r="J24">
        <f>IFERROR(VLOOKUP(Master[[#This Row],[Cell_ID]],Registre_Maintenance[],4,FALSE),"")</f>
        <v>15.986086</v>
      </c>
      <c r="K24" t="str">
        <f>IFERROR(VLOOKUP(Master[[#This Row],[Cell_ID]],Registre_Maintenance[],5,FALSE),"")</f>
        <v>4G</v>
      </c>
      <c r="L24" t="str">
        <f>IFERROR(VLOOKUP(Master[[#This Row],[Cell_ID]],Registre_Maintenance[],6,FALSE),"")</f>
        <v>Ericsson</v>
      </c>
      <c r="M24" s="1" t="str">
        <f>VLOOKUP(Master[[#This Row],[Province_RDC]],Client[],2,FALSE)</f>
        <v>CLI-01170</v>
      </c>
      <c r="N24" s="1">
        <f>VLOOKUP(Master[[#This Row],[Province_RDC]],Client[],3,FALSE)</f>
        <v>98</v>
      </c>
      <c r="O24" s="1" t="str">
        <f>VLOOKUP(Master[[#This Row],[Province_RDC]],Client[],4,FALSE)</f>
        <v>Pro Monde</v>
      </c>
      <c r="P24" s="1">
        <f>VLOOKUP(Master[[#This Row],[Province_RDC]],Client[],5,FALSE)</f>
        <v>482</v>
      </c>
      <c r="Q24" s="1">
        <f>VLOOKUP(Master[[#This Row],[Province_RDC]],Client[],6,FALSE)</f>
        <v>55.04</v>
      </c>
      <c r="R24" s="1">
        <f>VLOOKUP(Master[[#This Row],[Province_RDC]],Client[],7,FALSE)</f>
        <v>5</v>
      </c>
      <c r="S24" s="1" t="str">
        <f>IF(Master[[#This Row],[Type_Forfait]]="Pro Monde","B2B","B2C")</f>
        <v>B2B</v>
      </c>
      <c r="T24" s="1">
        <f>Master[[#This Row],[Anciennete_Mois]]/12</f>
        <v>8.1666666666666661</v>
      </c>
      <c r="U24" s="1">
        <f>Master[[#This Row],[Duree_Cumule_Panne_Min]]/60</f>
        <v>8.0333333333333332</v>
      </c>
      <c r="V2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" s="6">
        <f>Master[[#This Row],[Facture_Mensuelle]]*Master[[#This Row],[Remise]]</f>
        <v>24.768000000000001</v>
      </c>
    </row>
    <row r="25" spans="1:24" x14ac:dyDescent="0.25">
      <c r="A25" s="1" t="s">
        <v>1193</v>
      </c>
      <c r="B25" t="str">
        <f>IFERROR(VLOOKUP(Master[[#This Row],[Cell_ID]],Registre_Maintenance[],2,FALSE),"")</f>
        <v>Haut-Uele</v>
      </c>
      <c r="C25" s="1" t="s">
        <v>1202</v>
      </c>
      <c r="D25" s="2">
        <v>45202.804166666669</v>
      </c>
      <c r="E25" s="3">
        <v>45202.804166666669</v>
      </c>
      <c r="F25">
        <v>115</v>
      </c>
      <c r="G25">
        <f>Master[[#This Row],[Duree_Panne_Min]]/60</f>
        <v>1.9166666666666667</v>
      </c>
      <c r="H25" s="1" t="s">
        <v>735</v>
      </c>
      <c r="I25">
        <f>IFERROR(VLOOKUP(Master[[#This Row],[Cell_ID]],Registre_Maintenance[],3,FALSE),"")</f>
        <v>1.2391989999999999</v>
      </c>
      <c r="J25">
        <f>IFERROR(VLOOKUP(Master[[#This Row],[Cell_ID]],Registre_Maintenance[],4,FALSE),"")</f>
        <v>15.386718999999999</v>
      </c>
      <c r="K25" t="str">
        <f>IFERROR(VLOOKUP(Master[[#This Row],[Cell_ID]],Registre_Maintenance[],5,FALSE),"")</f>
        <v>5G</v>
      </c>
      <c r="L25" t="str">
        <f>IFERROR(VLOOKUP(Master[[#This Row],[Cell_ID]],Registre_Maintenance[],6,FALSE),"")</f>
        <v>ZTE</v>
      </c>
      <c r="M25" s="1" t="str">
        <f>VLOOKUP(Master[[#This Row],[Province_RDC]],Client[],2,FALSE)</f>
        <v>CLI-00439</v>
      </c>
      <c r="N25" s="1">
        <f>VLOOKUP(Master[[#This Row],[Province_RDC]],Client[],3,FALSE)</f>
        <v>40</v>
      </c>
      <c r="O25" s="1" t="str">
        <f>VLOOKUP(Master[[#This Row],[Province_RDC]],Client[],4,FALSE)</f>
        <v>Premium 5G 150Go</v>
      </c>
      <c r="P25" s="1">
        <f>VLOOKUP(Master[[#This Row],[Province_RDC]],Client[],5,FALSE)</f>
        <v>345</v>
      </c>
      <c r="Q25" s="1">
        <f>VLOOKUP(Master[[#This Row],[Province_RDC]],Client[],6,FALSE)</f>
        <v>89.55</v>
      </c>
      <c r="R25" s="1">
        <f>VLOOKUP(Master[[#This Row],[Province_RDC]],Client[],7,FALSE)</f>
        <v>3</v>
      </c>
      <c r="S25" s="1" t="str">
        <f>IF(Master[[#This Row],[Type_Forfait]]="Pro Monde","B2B","B2C")</f>
        <v>B2C</v>
      </c>
      <c r="T25" s="1">
        <f>Master[[#This Row],[Anciennete_Mois]]/12</f>
        <v>3.3333333333333335</v>
      </c>
      <c r="U25" s="1">
        <f>Master[[#This Row],[Duree_Cumule_Panne_Min]]/60</f>
        <v>5.75</v>
      </c>
      <c r="V2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" s="6">
        <f>Master[[#This Row],[Facture_Mensuelle]]*Master[[#This Row],[Remise]]</f>
        <v>40.297499999999999</v>
      </c>
    </row>
    <row r="26" spans="1:24" x14ac:dyDescent="0.25">
      <c r="A26" s="1" t="s">
        <v>861</v>
      </c>
      <c r="B26" t="str">
        <f>IFERROR(VLOOKUP(Master[[#This Row],[Cell_ID]],Registre_Maintenance[],2,FALSE),"")</f>
        <v>Kwango</v>
      </c>
      <c r="C26" s="1" t="s">
        <v>809</v>
      </c>
      <c r="D26" s="2">
        <v>45224.010416666657</v>
      </c>
      <c r="E26" s="3">
        <v>45224.010416666657</v>
      </c>
      <c r="F26">
        <v>114</v>
      </c>
      <c r="G26">
        <f>Master[[#This Row],[Duree_Panne_Min]]/60</f>
        <v>1.9</v>
      </c>
      <c r="H26" s="1" t="s">
        <v>737</v>
      </c>
      <c r="I26">
        <f>IFERROR(VLOOKUP(Master[[#This Row],[Cell_ID]],Registre_Maintenance[],3,FALSE),"")</f>
        <v>-9.7712979999999998</v>
      </c>
      <c r="J26">
        <f>IFERROR(VLOOKUP(Master[[#This Row],[Cell_ID]],Registre_Maintenance[],4,FALSE),"")</f>
        <v>19.827895999999999</v>
      </c>
      <c r="K26" t="str">
        <f>IFERROR(VLOOKUP(Master[[#This Row],[Cell_ID]],Registre_Maintenance[],5,FALSE),"")</f>
        <v>3G</v>
      </c>
      <c r="L26" t="str">
        <f>IFERROR(VLOOKUP(Master[[#This Row],[Cell_ID]],Registre_Maintenance[],6,FALSE),"")</f>
        <v>ZTE</v>
      </c>
      <c r="M26" s="1" t="str">
        <f>VLOOKUP(Master[[#This Row],[Province_RDC]],Client[],2,FALSE)</f>
        <v>CLI-00569</v>
      </c>
      <c r="N26" s="1">
        <f>VLOOKUP(Master[[#This Row],[Province_RDC]],Client[],3,FALSE)</f>
        <v>110</v>
      </c>
      <c r="O26" s="1" t="str">
        <f>VLOOKUP(Master[[#This Row],[Province_RDC]],Client[],4,FALSE)</f>
        <v>Pro Monde</v>
      </c>
      <c r="P26" s="1">
        <f>VLOOKUP(Master[[#This Row],[Province_RDC]],Client[],5,FALSE)</f>
        <v>423</v>
      </c>
      <c r="Q26" s="1">
        <f>VLOOKUP(Master[[#This Row],[Province_RDC]],Client[],6,FALSE)</f>
        <v>37.35</v>
      </c>
      <c r="R26" s="1">
        <f>VLOOKUP(Master[[#This Row],[Province_RDC]],Client[],7,FALSE)</f>
        <v>4</v>
      </c>
      <c r="S26" s="1" t="str">
        <f>IF(Master[[#This Row],[Type_Forfait]]="Pro Monde","B2B","B2C")</f>
        <v>B2B</v>
      </c>
      <c r="T26" s="1">
        <f>Master[[#This Row],[Anciennete_Mois]]/12</f>
        <v>9.1666666666666661</v>
      </c>
      <c r="U26" s="1">
        <f>Master[[#This Row],[Duree_Cumule_Panne_Min]]/60</f>
        <v>7.05</v>
      </c>
      <c r="V2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6" s="6">
        <f>Master[[#This Row],[Facture_Mensuelle]]*Master[[#This Row],[Remise]]</f>
        <v>16.807500000000001</v>
      </c>
    </row>
    <row r="27" spans="1:24" x14ac:dyDescent="0.25">
      <c r="A27" s="1" t="s">
        <v>1361</v>
      </c>
      <c r="B27" t="str">
        <f>IFERROR(VLOOKUP(Master[[#This Row],[Cell_ID]],Registre_Maintenance[],2,FALSE),"")</f>
        <v>Haut-Lomami</v>
      </c>
      <c r="C27" s="1" t="s">
        <v>1378</v>
      </c>
      <c r="D27" s="2">
        <v>45222.943749999999</v>
      </c>
      <c r="E27" s="3">
        <v>45222.943749999999</v>
      </c>
      <c r="F27">
        <v>114</v>
      </c>
      <c r="G27">
        <f>Master[[#This Row],[Duree_Panne_Min]]/60</f>
        <v>1.9</v>
      </c>
      <c r="H27" s="1" t="s">
        <v>732</v>
      </c>
      <c r="I27">
        <f>IFERROR(VLOOKUP(Master[[#This Row],[Cell_ID]],Registre_Maintenance[],3,FALSE),"")</f>
        <v>-9.6407190000000007</v>
      </c>
      <c r="J27">
        <f>IFERROR(VLOOKUP(Master[[#This Row],[Cell_ID]],Registre_Maintenance[],4,FALSE),"")</f>
        <v>21.336704999999998</v>
      </c>
      <c r="K27" t="str">
        <f>IFERROR(VLOOKUP(Master[[#This Row],[Cell_ID]],Registre_Maintenance[],5,FALSE),"")</f>
        <v>4G</v>
      </c>
      <c r="L27" t="str">
        <f>IFERROR(VLOOKUP(Master[[#This Row],[Cell_ID]],Registre_Maintenance[],6,FALSE),"")</f>
        <v>ZTE</v>
      </c>
      <c r="M27" s="1" t="str">
        <f>VLOOKUP(Master[[#This Row],[Province_RDC]],Client[],2,FALSE)</f>
        <v>CLI-01325</v>
      </c>
      <c r="N27" s="1">
        <f>VLOOKUP(Master[[#This Row],[Province_RDC]],Client[],3,FALSE)</f>
        <v>44</v>
      </c>
      <c r="O27" s="1" t="str">
        <f>VLOOKUP(Master[[#This Row],[Province_RDC]],Client[],4,FALSE)</f>
        <v>Bloqué 5Go</v>
      </c>
      <c r="P27" s="1">
        <f>VLOOKUP(Master[[#This Row],[Province_RDC]],Client[],5,FALSE)</f>
        <v>348</v>
      </c>
      <c r="Q27" s="1">
        <f>VLOOKUP(Master[[#This Row],[Province_RDC]],Client[],6,FALSE)</f>
        <v>58.67</v>
      </c>
      <c r="R27" s="1">
        <f>VLOOKUP(Master[[#This Row],[Province_RDC]],Client[],7,FALSE)</f>
        <v>0</v>
      </c>
      <c r="S27" s="1" t="str">
        <f>IF(Master[[#This Row],[Type_Forfait]]="Pro Monde","B2B","B2C")</f>
        <v>B2C</v>
      </c>
      <c r="T27" s="1">
        <f>Master[[#This Row],[Anciennete_Mois]]/12</f>
        <v>3.6666666666666665</v>
      </c>
      <c r="U27" s="1">
        <f>Master[[#This Row],[Duree_Cumule_Panne_Min]]/60</f>
        <v>5.8</v>
      </c>
      <c r="V2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" s="6">
        <f>Master[[#This Row],[Facture_Mensuelle]]*Master[[#This Row],[Remise]]</f>
        <v>26.401500000000002</v>
      </c>
    </row>
    <row r="28" spans="1:24" x14ac:dyDescent="0.25">
      <c r="A28" s="1" t="s">
        <v>1165</v>
      </c>
      <c r="B28" t="str">
        <f>IFERROR(VLOOKUP(Master[[#This Row],[Cell_ID]],Registre_Maintenance[],2,FALSE),"")</f>
        <v>Tanganyika</v>
      </c>
      <c r="C28" s="1" t="s">
        <v>1177</v>
      </c>
      <c r="D28" s="2">
        <v>45225.781944444447</v>
      </c>
      <c r="E28" s="3">
        <v>45225.781944444447</v>
      </c>
      <c r="F28">
        <v>113</v>
      </c>
      <c r="G28">
        <f>Master[[#This Row],[Duree_Panne_Min]]/60</f>
        <v>1.8833333333333333</v>
      </c>
      <c r="H28" s="1" t="s">
        <v>735</v>
      </c>
      <c r="I28">
        <f>IFERROR(VLOOKUP(Master[[#This Row],[Cell_ID]],Registre_Maintenance[],3,FALSE),"")</f>
        <v>-7.9425049999999997</v>
      </c>
      <c r="J28">
        <f>IFERROR(VLOOKUP(Master[[#This Row],[Cell_ID]],Registre_Maintenance[],4,FALSE),"")</f>
        <v>24.111059000000001</v>
      </c>
      <c r="K28" t="str">
        <f>IFERROR(VLOOKUP(Master[[#This Row],[Cell_ID]],Registre_Maintenance[],5,FALSE),"")</f>
        <v>3G</v>
      </c>
      <c r="L28" t="str">
        <f>IFERROR(VLOOKUP(Master[[#This Row],[Cell_ID]],Registre_Maintenance[],6,FALSE),"")</f>
        <v>ZTE</v>
      </c>
      <c r="M28" s="1" t="str">
        <f>VLOOKUP(Master[[#This Row],[Province_RDC]],Client[],2,FALSE)</f>
        <v>CLI-01618</v>
      </c>
      <c r="N28" s="1">
        <f>VLOOKUP(Master[[#This Row],[Province_RDC]],Client[],3,FALSE)</f>
        <v>115</v>
      </c>
      <c r="O28" s="1" t="str">
        <f>VLOOKUP(Master[[#This Row],[Province_RDC]],Client[],4,FALSE)</f>
        <v>Bloqué 5Go</v>
      </c>
      <c r="P28" s="1">
        <f>VLOOKUP(Master[[#This Row],[Province_RDC]],Client[],5,FALSE)</f>
        <v>176</v>
      </c>
      <c r="Q28" s="1">
        <f>VLOOKUP(Master[[#This Row],[Province_RDC]],Client[],6,FALSE)</f>
        <v>33.28</v>
      </c>
      <c r="R28" s="1">
        <f>VLOOKUP(Master[[#This Row],[Province_RDC]],Client[],7,FALSE)</f>
        <v>4</v>
      </c>
      <c r="S28" s="1" t="str">
        <f>IF(Master[[#This Row],[Type_Forfait]]="Pro Monde","B2B","B2C")</f>
        <v>B2C</v>
      </c>
      <c r="T28" s="1">
        <f>Master[[#This Row],[Anciennete_Mois]]/12</f>
        <v>9.5833333333333339</v>
      </c>
      <c r="U28" s="1">
        <f>Master[[#This Row],[Duree_Cumule_Panne_Min]]/60</f>
        <v>2.9333333333333331</v>
      </c>
      <c r="V2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8" s="6">
        <f>Master[[#This Row],[Facture_Mensuelle]]*Master[[#This Row],[Remise]]</f>
        <v>0</v>
      </c>
    </row>
    <row r="29" spans="1:24" x14ac:dyDescent="0.25">
      <c r="A29" s="1" t="s">
        <v>978</v>
      </c>
      <c r="B29" t="str">
        <f>IFERROR(VLOOKUP(Master[[#This Row],[Cell_ID]],Registre_Maintenance[],2,FALSE),"")</f>
        <v>Sud-Kivu</v>
      </c>
      <c r="C29" s="1" t="s">
        <v>997</v>
      </c>
      <c r="D29" s="2">
        <v>45200.493055555547</v>
      </c>
      <c r="E29" s="3">
        <v>45200.493055555547</v>
      </c>
      <c r="F29">
        <v>113</v>
      </c>
      <c r="G29">
        <f>Master[[#This Row],[Duree_Panne_Min]]/60</f>
        <v>1.8833333333333333</v>
      </c>
      <c r="H29" s="1" t="s">
        <v>732</v>
      </c>
      <c r="I29">
        <f>IFERROR(VLOOKUP(Master[[#This Row],[Cell_ID]],Registre_Maintenance[],3,FALSE),"")</f>
        <v>-1.5419050000000001</v>
      </c>
      <c r="J29">
        <f>IFERROR(VLOOKUP(Master[[#This Row],[Cell_ID]],Registre_Maintenance[],4,FALSE),"")</f>
        <v>14.730632999999999</v>
      </c>
      <c r="K29" t="str">
        <f>IFERROR(VLOOKUP(Master[[#This Row],[Cell_ID]],Registre_Maintenance[],5,FALSE),"")</f>
        <v>3G</v>
      </c>
      <c r="L29" t="str">
        <f>IFERROR(VLOOKUP(Master[[#This Row],[Cell_ID]],Registre_Maintenance[],6,FALSE),"")</f>
        <v>ZTE</v>
      </c>
      <c r="M29" s="1" t="str">
        <f>VLOOKUP(Master[[#This Row],[Province_RDC]],Client[],2,FALSE)</f>
        <v>CLI-01855</v>
      </c>
      <c r="N29" s="1">
        <f>VLOOKUP(Master[[#This Row],[Province_RDC]],Client[],3,FALSE)</f>
        <v>101</v>
      </c>
      <c r="O29" s="1" t="str">
        <f>VLOOKUP(Master[[#This Row],[Province_RDC]],Client[],4,FALSE)</f>
        <v>Illimité 50Go</v>
      </c>
      <c r="P29" s="1">
        <f>VLOOKUP(Master[[#This Row],[Province_RDC]],Client[],5,FALSE)</f>
        <v>358</v>
      </c>
      <c r="Q29" s="1">
        <f>VLOOKUP(Master[[#This Row],[Province_RDC]],Client[],6,FALSE)</f>
        <v>29.24</v>
      </c>
      <c r="R29" s="1">
        <f>VLOOKUP(Master[[#This Row],[Province_RDC]],Client[],7,FALSE)</f>
        <v>3</v>
      </c>
      <c r="S29" s="1" t="str">
        <f>IF(Master[[#This Row],[Type_Forfait]]="Pro Monde","B2B","B2C")</f>
        <v>B2C</v>
      </c>
      <c r="T29" s="1">
        <f>Master[[#This Row],[Anciennete_Mois]]/12</f>
        <v>8.4166666666666661</v>
      </c>
      <c r="U29" s="1">
        <f>Master[[#This Row],[Duree_Cumule_Panne_Min]]/60</f>
        <v>5.9666666666666668</v>
      </c>
      <c r="V2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" s="6">
        <f>Master[[#This Row],[Facture_Mensuelle]]*Master[[#This Row],[Remise]]</f>
        <v>13.157999999999999</v>
      </c>
    </row>
    <row r="30" spans="1:24" x14ac:dyDescent="0.25">
      <c r="A30" s="1" t="s">
        <v>1261</v>
      </c>
      <c r="B30" t="str">
        <f>IFERROR(VLOOKUP(Master[[#This Row],[Cell_ID]],Registre_Maintenance[],2,FALSE),"")</f>
        <v>Kongo-Central</v>
      </c>
      <c r="C30" s="1" t="s">
        <v>1285</v>
      </c>
      <c r="D30" s="2">
        <v>45207.668055555558</v>
      </c>
      <c r="E30" s="3">
        <v>45207.668055555558</v>
      </c>
      <c r="F30">
        <v>113</v>
      </c>
      <c r="G30">
        <f>Master[[#This Row],[Duree_Panne_Min]]/60</f>
        <v>1.8833333333333333</v>
      </c>
      <c r="H30" s="1" t="s">
        <v>732</v>
      </c>
      <c r="I30">
        <f>IFERROR(VLOOKUP(Master[[#This Row],[Cell_ID]],Registre_Maintenance[],3,FALSE),"")</f>
        <v>-7.1587569999999996</v>
      </c>
      <c r="J30">
        <f>IFERROR(VLOOKUP(Master[[#This Row],[Cell_ID]],Registre_Maintenance[],4,FALSE),"")</f>
        <v>18.975141000000001</v>
      </c>
      <c r="K30" t="str">
        <f>IFERROR(VLOOKUP(Master[[#This Row],[Cell_ID]],Registre_Maintenance[],5,FALSE),"")</f>
        <v>5G</v>
      </c>
      <c r="L30" t="str">
        <f>IFERROR(VLOOKUP(Master[[#This Row],[Cell_ID]],Registre_Maintenance[],6,FALSE),"")</f>
        <v>Ericsson</v>
      </c>
      <c r="M30" s="1" t="str">
        <f>VLOOKUP(Master[[#This Row],[Province_RDC]],Client[],2,FALSE)</f>
        <v>CLI-01233</v>
      </c>
      <c r="N30" s="1">
        <f>VLOOKUP(Master[[#This Row],[Province_RDC]],Client[],3,FALSE)</f>
        <v>101</v>
      </c>
      <c r="O30" s="1" t="str">
        <f>VLOOKUP(Master[[#This Row],[Province_RDC]],Client[],4,FALSE)</f>
        <v>Pro Monde</v>
      </c>
      <c r="P30" s="1">
        <f>VLOOKUP(Master[[#This Row],[Province_RDC]],Client[],5,FALSE)</f>
        <v>333</v>
      </c>
      <c r="Q30" s="1">
        <f>VLOOKUP(Master[[#This Row],[Province_RDC]],Client[],6,FALSE)</f>
        <v>74.319999999999993</v>
      </c>
      <c r="R30" s="1">
        <f>VLOOKUP(Master[[#This Row],[Province_RDC]],Client[],7,FALSE)</f>
        <v>1</v>
      </c>
      <c r="S30" s="1" t="str">
        <f>IF(Master[[#This Row],[Type_Forfait]]="Pro Monde","B2B","B2C")</f>
        <v>B2B</v>
      </c>
      <c r="T30" s="1">
        <f>Master[[#This Row],[Anciennete_Mois]]/12</f>
        <v>8.4166666666666661</v>
      </c>
      <c r="U30" s="1">
        <f>Master[[#This Row],[Duree_Cumule_Panne_Min]]/60</f>
        <v>5.55</v>
      </c>
      <c r="V3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" s="6">
        <f>Master[[#This Row],[Facture_Mensuelle]]*Master[[#This Row],[Remise]]</f>
        <v>33.443999999999996</v>
      </c>
    </row>
    <row r="31" spans="1:24" x14ac:dyDescent="0.25">
      <c r="A31" s="1" t="s">
        <v>1288</v>
      </c>
      <c r="B31" t="str">
        <f>IFERROR(VLOOKUP(Master[[#This Row],[Cell_ID]],Registre_Maintenance[],2,FALSE),"")</f>
        <v>Kongo-Central</v>
      </c>
      <c r="C31" s="1" t="s">
        <v>956</v>
      </c>
      <c r="D31" s="2">
        <v>45204.55</v>
      </c>
      <c r="E31" s="3">
        <v>45204.55</v>
      </c>
      <c r="F31">
        <v>113</v>
      </c>
      <c r="G31">
        <f>Master[[#This Row],[Duree_Panne_Min]]/60</f>
        <v>1.8833333333333333</v>
      </c>
      <c r="H31" s="1" t="s">
        <v>735</v>
      </c>
      <c r="I31">
        <f>IFERROR(VLOOKUP(Master[[#This Row],[Cell_ID]],Registre_Maintenance[],3,FALSE),"")</f>
        <v>2.975352</v>
      </c>
      <c r="J31">
        <f>IFERROR(VLOOKUP(Master[[#This Row],[Cell_ID]],Registre_Maintenance[],4,FALSE),"")</f>
        <v>22.535886000000001</v>
      </c>
      <c r="K31" t="str">
        <f>IFERROR(VLOOKUP(Master[[#This Row],[Cell_ID]],Registre_Maintenance[],5,FALSE),"")</f>
        <v>4G</v>
      </c>
      <c r="L31" t="str">
        <f>IFERROR(VLOOKUP(Master[[#This Row],[Cell_ID]],Registre_Maintenance[],6,FALSE),"")</f>
        <v>Huawei</v>
      </c>
      <c r="M31" s="1" t="str">
        <f>VLOOKUP(Master[[#This Row],[Province_RDC]],Client[],2,FALSE)</f>
        <v>CLI-01233</v>
      </c>
      <c r="N31" s="1">
        <f>VLOOKUP(Master[[#This Row],[Province_RDC]],Client[],3,FALSE)</f>
        <v>101</v>
      </c>
      <c r="O31" s="1" t="str">
        <f>VLOOKUP(Master[[#This Row],[Province_RDC]],Client[],4,FALSE)</f>
        <v>Pro Monde</v>
      </c>
      <c r="P31" s="1">
        <f>VLOOKUP(Master[[#This Row],[Province_RDC]],Client[],5,FALSE)</f>
        <v>333</v>
      </c>
      <c r="Q31" s="1">
        <f>VLOOKUP(Master[[#This Row],[Province_RDC]],Client[],6,FALSE)</f>
        <v>74.319999999999993</v>
      </c>
      <c r="R31" s="1">
        <f>VLOOKUP(Master[[#This Row],[Province_RDC]],Client[],7,FALSE)</f>
        <v>1</v>
      </c>
      <c r="S31" s="1" t="str">
        <f>IF(Master[[#This Row],[Type_Forfait]]="Pro Monde","B2B","B2C")</f>
        <v>B2B</v>
      </c>
      <c r="T31" s="1">
        <f>Master[[#This Row],[Anciennete_Mois]]/12</f>
        <v>8.4166666666666661</v>
      </c>
      <c r="U31" s="1">
        <f>Master[[#This Row],[Duree_Cumule_Panne_Min]]/60</f>
        <v>5.55</v>
      </c>
      <c r="V3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" s="6">
        <f>Master[[#This Row],[Facture_Mensuelle]]*Master[[#This Row],[Remise]]</f>
        <v>33.443999999999996</v>
      </c>
    </row>
    <row r="32" spans="1:24" x14ac:dyDescent="0.25">
      <c r="A32" s="1" t="s">
        <v>1404</v>
      </c>
      <c r="B32" t="str">
        <f>IFERROR(VLOOKUP(Master[[#This Row],[Cell_ID]],Registre_Maintenance[],2,FALSE),"")</f>
        <v>Bas-Uele</v>
      </c>
      <c r="C32" s="1" t="s">
        <v>901</v>
      </c>
      <c r="D32" s="2">
        <v>45219.095833333333</v>
      </c>
      <c r="E32" s="3">
        <v>45219.095833333333</v>
      </c>
      <c r="F32">
        <v>113</v>
      </c>
      <c r="G32">
        <f>Master[[#This Row],[Duree_Panne_Min]]/60</f>
        <v>1.8833333333333333</v>
      </c>
      <c r="H32" s="1" t="s">
        <v>737</v>
      </c>
      <c r="I32">
        <f>IFERROR(VLOOKUP(Master[[#This Row],[Cell_ID]],Registre_Maintenance[],3,FALSE),"")</f>
        <v>-3.6945459999999999</v>
      </c>
      <c r="J32">
        <f>IFERROR(VLOOKUP(Master[[#This Row],[Cell_ID]],Registre_Maintenance[],4,FALSE),"")</f>
        <v>16.809108999999999</v>
      </c>
      <c r="K32" t="str">
        <f>IFERROR(VLOOKUP(Master[[#This Row],[Cell_ID]],Registre_Maintenance[],5,FALSE),"")</f>
        <v>5G</v>
      </c>
      <c r="L32" t="str">
        <f>IFERROR(VLOOKUP(Master[[#This Row],[Cell_ID]],Registre_Maintenance[],6,FALSE),"")</f>
        <v>ZTE</v>
      </c>
      <c r="M32" s="1" t="str">
        <f>VLOOKUP(Master[[#This Row],[Province_RDC]],Client[],2,FALSE)</f>
        <v>CLI-01128</v>
      </c>
      <c r="N32" s="1">
        <f>VLOOKUP(Master[[#This Row],[Province_RDC]],Client[],3,FALSE)</f>
        <v>112</v>
      </c>
      <c r="O32" s="1" t="str">
        <f>VLOOKUP(Master[[#This Row],[Province_RDC]],Client[],4,FALSE)</f>
        <v>Premium 5G 150Go</v>
      </c>
      <c r="P32" s="1">
        <f>VLOOKUP(Master[[#This Row],[Province_RDC]],Client[],5,FALSE)</f>
        <v>460</v>
      </c>
      <c r="Q32" s="1">
        <f>VLOOKUP(Master[[#This Row],[Province_RDC]],Client[],6,FALSE)</f>
        <v>55.47</v>
      </c>
      <c r="R32" s="1">
        <f>VLOOKUP(Master[[#This Row],[Province_RDC]],Client[],7,FALSE)</f>
        <v>4</v>
      </c>
      <c r="S32" s="1" t="str">
        <f>IF(Master[[#This Row],[Type_Forfait]]="Pro Monde","B2B","B2C")</f>
        <v>B2C</v>
      </c>
      <c r="T32" s="1">
        <f>Master[[#This Row],[Anciennete_Mois]]/12</f>
        <v>9.3333333333333339</v>
      </c>
      <c r="U32" s="1">
        <f>Master[[#This Row],[Duree_Cumule_Panne_Min]]/60</f>
        <v>7.666666666666667</v>
      </c>
      <c r="V3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" s="6">
        <f>Master[[#This Row],[Facture_Mensuelle]]*Master[[#This Row],[Remise]]</f>
        <v>24.961500000000001</v>
      </c>
    </row>
    <row r="33" spans="1:24" x14ac:dyDescent="0.25">
      <c r="A33" s="1" t="s">
        <v>1165</v>
      </c>
      <c r="B33" t="str">
        <f>IFERROR(VLOOKUP(Master[[#This Row],[Cell_ID]],Registre_Maintenance[],2,FALSE),"")</f>
        <v>Kwilu</v>
      </c>
      <c r="C33" s="1" t="s">
        <v>1176</v>
      </c>
      <c r="D33" s="2">
        <v>45227.091666666667</v>
      </c>
      <c r="E33" s="3">
        <v>45227.091666666667</v>
      </c>
      <c r="F33">
        <v>112</v>
      </c>
      <c r="G33">
        <f>Master[[#This Row],[Duree_Panne_Min]]/60</f>
        <v>1.8666666666666667</v>
      </c>
      <c r="H33" s="1" t="s">
        <v>732</v>
      </c>
      <c r="I33">
        <f>IFERROR(VLOOKUP(Master[[#This Row],[Cell_ID]],Registre_Maintenance[],3,FALSE),"")</f>
        <v>-10.161428000000001</v>
      </c>
      <c r="J33">
        <f>IFERROR(VLOOKUP(Master[[#This Row],[Cell_ID]],Registre_Maintenance[],4,FALSE),"")</f>
        <v>19.362325999999999</v>
      </c>
      <c r="K33" t="str">
        <f>IFERROR(VLOOKUP(Master[[#This Row],[Cell_ID]],Registre_Maintenance[],5,FALSE),"")</f>
        <v>3G</v>
      </c>
      <c r="L33" t="str">
        <f>IFERROR(VLOOKUP(Master[[#This Row],[Cell_ID]],Registre_Maintenance[],6,FALSE),"")</f>
        <v>Nokia</v>
      </c>
      <c r="M33" s="1" t="str">
        <f>VLOOKUP(Master[[#This Row],[Province_RDC]],Client[],2,FALSE)</f>
        <v>CLI-00996</v>
      </c>
      <c r="N33" s="1">
        <f>VLOOKUP(Master[[#This Row],[Province_RDC]],Client[],3,FALSE)</f>
        <v>119</v>
      </c>
      <c r="O33" s="1" t="str">
        <f>VLOOKUP(Master[[#This Row],[Province_RDC]],Client[],4,FALSE)</f>
        <v>Illimité 50Go</v>
      </c>
      <c r="P33" s="1">
        <f>VLOOKUP(Master[[#This Row],[Province_RDC]],Client[],5,FALSE)</f>
        <v>228</v>
      </c>
      <c r="Q33" s="1">
        <f>VLOOKUP(Master[[#This Row],[Province_RDC]],Client[],6,FALSE)</f>
        <v>94.72</v>
      </c>
      <c r="R33" s="1">
        <f>VLOOKUP(Master[[#This Row],[Province_RDC]],Client[],7,FALSE)</f>
        <v>3</v>
      </c>
      <c r="S33" s="1" t="str">
        <f>IF(Master[[#This Row],[Type_Forfait]]="Pro Monde","B2B","B2C")</f>
        <v>B2C</v>
      </c>
      <c r="T33" s="1">
        <f>Master[[#This Row],[Anciennete_Mois]]/12</f>
        <v>9.9166666666666661</v>
      </c>
      <c r="U33" s="1">
        <f>Master[[#This Row],[Duree_Cumule_Panne_Min]]/60</f>
        <v>3.8</v>
      </c>
      <c r="V3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3" s="6">
        <f>Master[[#This Row],[Facture_Mensuelle]]*Master[[#This Row],[Remise]]</f>
        <v>0</v>
      </c>
    </row>
    <row r="34" spans="1:24" x14ac:dyDescent="0.25">
      <c r="A34" s="1" t="s">
        <v>1219</v>
      </c>
      <c r="B34" t="str">
        <f>IFERROR(VLOOKUP(Master[[#This Row],[Cell_ID]],Registre_Maintenance[],2,FALSE),"")</f>
        <v>Kwilu</v>
      </c>
      <c r="C34" s="1" t="s">
        <v>847</v>
      </c>
      <c r="D34" s="2">
        <v>45212.754861111112</v>
      </c>
      <c r="E34" s="3">
        <v>45212.754861111112</v>
      </c>
      <c r="F34">
        <v>112</v>
      </c>
      <c r="G34">
        <f>Master[[#This Row],[Duree_Panne_Min]]/60</f>
        <v>1.8666666666666667</v>
      </c>
      <c r="H34" s="1" t="s">
        <v>737</v>
      </c>
      <c r="I34">
        <f>IFERROR(VLOOKUP(Master[[#This Row],[Cell_ID]],Registre_Maintenance[],3,FALSE),"")</f>
        <v>2.4741019999999998</v>
      </c>
      <c r="J34">
        <f>IFERROR(VLOOKUP(Master[[#This Row],[Cell_ID]],Registre_Maintenance[],4,FALSE),"")</f>
        <v>29.297391000000001</v>
      </c>
      <c r="K34" t="str">
        <f>IFERROR(VLOOKUP(Master[[#This Row],[Cell_ID]],Registre_Maintenance[],5,FALSE),"")</f>
        <v>4G</v>
      </c>
      <c r="L34" t="str">
        <f>IFERROR(VLOOKUP(Master[[#This Row],[Cell_ID]],Registre_Maintenance[],6,FALSE),"")</f>
        <v>Ericsson</v>
      </c>
      <c r="M34" s="1" t="str">
        <f>VLOOKUP(Master[[#This Row],[Province_RDC]],Client[],2,FALSE)</f>
        <v>CLI-00996</v>
      </c>
      <c r="N34" s="1">
        <f>VLOOKUP(Master[[#This Row],[Province_RDC]],Client[],3,FALSE)</f>
        <v>119</v>
      </c>
      <c r="O34" s="1" t="str">
        <f>VLOOKUP(Master[[#This Row],[Province_RDC]],Client[],4,FALSE)</f>
        <v>Illimité 50Go</v>
      </c>
      <c r="P34" s="1">
        <f>VLOOKUP(Master[[#This Row],[Province_RDC]],Client[],5,FALSE)</f>
        <v>228</v>
      </c>
      <c r="Q34" s="1">
        <f>VLOOKUP(Master[[#This Row],[Province_RDC]],Client[],6,FALSE)</f>
        <v>94.72</v>
      </c>
      <c r="R34" s="1">
        <f>VLOOKUP(Master[[#This Row],[Province_RDC]],Client[],7,FALSE)</f>
        <v>3</v>
      </c>
      <c r="S34" s="1" t="str">
        <f>IF(Master[[#This Row],[Type_Forfait]]="Pro Monde","B2B","B2C")</f>
        <v>B2C</v>
      </c>
      <c r="T34" s="1">
        <f>Master[[#This Row],[Anciennete_Mois]]/12</f>
        <v>9.9166666666666661</v>
      </c>
      <c r="U34" s="1">
        <f>Master[[#This Row],[Duree_Cumule_Panne_Min]]/60</f>
        <v>3.8</v>
      </c>
      <c r="V3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" s="6">
        <f>Master[[#This Row],[Facture_Mensuelle]]*Master[[#This Row],[Remise]]</f>
        <v>0</v>
      </c>
    </row>
    <row r="35" spans="1:24" x14ac:dyDescent="0.25">
      <c r="A35" s="1" t="s">
        <v>1345</v>
      </c>
      <c r="B35" t="str">
        <f>IFERROR(VLOOKUP(Master[[#This Row],[Cell_ID]],Registre_Maintenance[],2,FALSE),"")</f>
        <v>Ituri</v>
      </c>
      <c r="C35" s="1" t="s">
        <v>1027</v>
      </c>
      <c r="D35" s="2">
        <v>45228.880555555559</v>
      </c>
      <c r="E35" s="3">
        <v>45228.880555555559</v>
      </c>
      <c r="F35">
        <v>112</v>
      </c>
      <c r="G35">
        <f>Master[[#This Row],[Duree_Panne_Min]]/60</f>
        <v>1.8666666666666667</v>
      </c>
      <c r="H35" s="1" t="s">
        <v>737</v>
      </c>
      <c r="I35">
        <f>IFERROR(VLOOKUP(Master[[#This Row],[Cell_ID]],Registre_Maintenance[],3,FALSE),"")</f>
        <v>-4.1250960000000001</v>
      </c>
      <c r="J35">
        <f>IFERROR(VLOOKUP(Master[[#This Row],[Cell_ID]],Registre_Maintenance[],4,FALSE),"")</f>
        <v>27.799897999999999</v>
      </c>
      <c r="K35" t="str">
        <f>IFERROR(VLOOKUP(Master[[#This Row],[Cell_ID]],Registre_Maintenance[],5,FALSE),"")</f>
        <v>3G</v>
      </c>
      <c r="L35" t="str">
        <f>IFERROR(VLOOKUP(Master[[#This Row],[Cell_ID]],Registre_Maintenance[],6,FALSE),"")</f>
        <v>Nokia</v>
      </c>
      <c r="M35" s="1" t="str">
        <f>VLOOKUP(Master[[#This Row],[Province_RDC]],Client[],2,FALSE)</f>
        <v>CLI-00041</v>
      </c>
      <c r="N35" s="1">
        <f>VLOOKUP(Master[[#This Row],[Province_RDC]],Client[],3,FALSE)</f>
        <v>103</v>
      </c>
      <c r="O35" s="1" t="str">
        <f>VLOOKUP(Master[[#This Row],[Province_RDC]],Client[],4,FALSE)</f>
        <v>Pro Monde</v>
      </c>
      <c r="P35" s="1">
        <f>VLOOKUP(Master[[#This Row],[Province_RDC]],Client[],5,FALSE)</f>
        <v>105</v>
      </c>
      <c r="Q35" s="1">
        <f>VLOOKUP(Master[[#This Row],[Province_RDC]],Client[],6,FALSE)</f>
        <v>61.52</v>
      </c>
      <c r="R35" s="1">
        <f>VLOOKUP(Master[[#This Row],[Province_RDC]],Client[],7,FALSE)</f>
        <v>3</v>
      </c>
      <c r="S35" s="1" t="str">
        <f>IF(Master[[#This Row],[Type_Forfait]]="Pro Monde","B2B","B2C")</f>
        <v>B2B</v>
      </c>
      <c r="T35" s="1">
        <f>Master[[#This Row],[Anciennete_Mois]]/12</f>
        <v>8.5833333333333339</v>
      </c>
      <c r="U35" s="1">
        <f>Master[[#This Row],[Duree_Cumule_Panne_Min]]/60</f>
        <v>1.75</v>
      </c>
      <c r="V3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5" s="6">
        <f>Master[[#This Row],[Facture_Mensuelle]]*Master[[#This Row],[Remise]]</f>
        <v>6.152000000000001</v>
      </c>
    </row>
    <row r="36" spans="1:24" x14ac:dyDescent="0.25">
      <c r="A36" s="1" t="s">
        <v>1288</v>
      </c>
      <c r="B36" t="str">
        <f>IFERROR(VLOOKUP(Master[[#This Row],[Cell_ID]],Registre_Maintenance[],2,FALSE),"")</f>
        <v>Haut-Uele</v>
      </c>
      <c r="C36" s="1" t="s">
        <v>1305</v>
      </c>
      <c r="D36" s="2">
        <v>45222.479166666657</v>
      </c>
      <c r="E36" s="3">
        <v>45222.479166666657</v>
      </c>
      <c r="F36">
        <v>112</v>
      </c>
      <c r="G36">
        <f>Master[[#This Row],[Duree_Panne_Min]]/60</f>
        <v>1.8666666666666667</v>
      </c>
      <c r="H36" s="1" t="s">
        <v>735</v>
      </c>
      <c r="I36">
        <f>IFERROR(VLOOKUP(Master[[#This Row],[Cell_ID]],Registre_Maintenance[],3,FALSE),"")</f>
        <v>-8.8118569999999998</v>
      </c>
      <c r="J36">
        <f>IFERROR(VLOOKUP(Master[[#This Row],[Cell_ID]],Registre_Maintenance[],4,FALSE),"")</f>
        <v>14.465711000000001</v>
      </c>
      <c r="K36" t="str">
        <f>IFERROR(VLOOKUP(Master[[#This Row],[Cell_ID]],Registre_Maintenance[],5,FALSE),"")</f>
        <v>5G</v>
      </c>
      <c r="L36" t="str">
        <f>IFERROR(VLOOKUP(Master[[#This Row],[Cell_ID]],Registre_Maintenance[],6,FALSE),"")</f>
        <v>Nokia</v>
      </c>
      <c r="M36" s="1" t="str">
        <f>VLOOKUP(Master[[#This Row],[Province_RDC]],Client[],2,FALSE)</f>
        <v>CLI-00439</v>
      </c>
      <c r="N36" s="1">
        <f>VLOOKUP(Master[[#This Row],[Province_RDC]],Client[],3,FALSE)</f>
        <v>40</v>
      </c>
      <c r="O36" s="1" t="str">
        <f>VLOOKUP(Master[[#This Row],[Province_RDC]],Client[],4,FALSE)</f>
        <v>Premium 5G 150Go</v>
      </c>
      <c r="P36" s="1">
        <f>VLOOKUP(Master[[#This Row],[Province_RDC]],Client[],5,FALSE)</f>
        <v>345</v>
      </c>
      <c r="Q36" s="1">
        <f>VLOOKUP(Master[[#This Row],[Province_RDC]],Client[],6,FALSE)</f>
        <v>89.55</v>
      </c>
      <c r="R36" s="1">
        <f>VLOOKUP(Master[[#This Row],[Province_RDC]],Client[],7,FALSE)</f>
        <v>3</v>
      </c>
      <c r="S36" s="1" t="str">
        <f>IF(Master[[#This Row],[Type_Forfait]]="Pro Monde","B2B","B2C")</f>
        <v>B2C</v>
      </c>
      <c r="T36" s="1">
        <f>Master[[#This Row],[Anciennete_Mois]]/12</f>
        <v>3.3333333333333335</v>
      </c>
      <c r="U36" s="1">
        <f>Master[[#This Row],[Duree_Cumule_Panne_Min]]/60</f>
        <v>5.75</v>
      </c>
      <c r="V3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" s="6">
        <f>Master[[#This Row],[Facture_Mensuelle]]*Master[[#This Row],[Remise]]</f>
        <v>40.297499999999999</v>
      </c>
    </row>
    <row r="37" spans="1:24" x14ac:dyDescent="0.25">
      <c r="A37" s="1" t="s">
        <v>1219</v>
      </c>
      <c r="B37" t="str">
        <f>IFERROR(VLOOKUP(Master[[#This Row],[Cell_ID]],Registre_Maintenance[],2,FALSE),"")</f>
        <v>Haut-Katanga</v>
      </c>
      <c r="C37" s="1" t="s">
        <v>1227</v>
      </c>
      <c r="D37" s="2">
        <v>45200.445138888892</v>
      </c>
      <c r="E37" s="3">
        <v>45200.445138888892</v>
      </c>
      <c r="F37">
        <v>112</v>
      </c>
      <c r="G37">
        <f>Master[[#This Row],[Duree_Panne_Min]]/60</f>
        <v>1.8666666666666667</v>
      </c>
      <c r="H37" s="1" t="s">
        <v>732</v>
      </c>
      <c r="I37">
        <f>IFERROR(VLOOKUP(Master[[#This Row],[Cell_ID]],Registre_Maintenance[],3,FALSE),"")</f>
        <v>-10.945031</v>
      </c>
      <c r="J37">
        <f>IFERROR(VLOOKUP(Master[[#This Row],[Cell_ID]],Registre_Maintenance[],4,FALSE),"")</f>
        <v>27.922274000000002</v>
      </c>
      <c r="K37" t="str">
        <f>IFERROR(VLOOKUP(Master[[#This Row],[Cell_ID]],Registre_Maintenance[],5,FALSE),"")</f>
        <v>4G</v>
      </c>
      <c r="L37" t="str">
        <f>IFERROR(VLOOKUP(Master[[#This Row],[Cell_ID]],Registre_Maintenance[],6,FALSE),"")</f>
        <v>Ericsson</v>
      </c>
      <c r="M37" s="1" t="str">
        <f>VLOOKUP(Master[[#This Row],[Province_RDC]],Client[],2,FALSE)</f>
        <v>CLI-00076</v>
      </c>
      <c r="N37" s="1">
        <f>VLOOKUP(Master[[#This Row],[Province_RDC]],Client[],3,FALSE)</f>
        <v>46</v>
      </c>
      <c r="O37" s="1" t="str">
        <f>VLOOKUP(Master[[#This Row],[Province_RDC]],Client[],4,FALSE)</f>
        <v>Premium 5G 150Go</v>
      </c>
      <c r="P37" s="1">
        <f>VLOOKUP(Master[[#This Row],[Province_RDC]],Client[],5,FALSE)</f>
        <v>283</v>
      </c>
      <c r="Q37" s="1">
        <f>VLOOKUP(Master[[#This Row],[Province_RDC]],Client[],6,FALSE)</f>
        <v>56.05</v>
      </c>
      <c r="R37" s="1">
        <f>VLOOKUP(Master[[#This Row],[Province_RDC]],Client[],7,FALSE)</f>
        <v>1</v>
      </c>
      <c r="S37" s="1" t="str">
        <f>IF(Master[[#This Row],[Type_Forfait]]="Pro Monde","B2B","B2C")</f>
        <v>B2C</v>
      </c>
      <c r="T37" s="1">
        <f>Master[[#This Row],[Anciennete_Mois]]/12</f>
        <v>3.8333333333333335</v>
      </c>
      <c r="U37" s="1">
        <f>Master[[#This Row],[Duree_Cumule_Panne_Min]]/60</f>
        <v>4.7166666666666668</v>
      </c>
      <c r="V3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" s="6">
        <f>Master[[#This Row],[Facture_Mensuelle]]*Master[[#This Row],[Remise]]</f>
        <v>25.2225</v>
      </c>
    </row>
    <row r="38" spans="1:24" x14ac:dyDescent="0.25">
      <c r="A38" s="1" t="s">
        <v>1193</v>
      </c>
      <c r="B38" t="str">
        <f>IFERROR(VLOOKUP(Master[[#This Row],[Cell_ID]],Registre_Maintenance[],2,FALSE),"")</f>
        <v>Equateur</v>
      </c>
      <c r="C38" s="1" t="s">
        <v>1200</v>
      </c>
      <c r="D38" s="2">
        <v>45214.634722222218</v>
      </c>
      <c r="E38" s="3">
        <v>45214.634722222218</v>
      </c>
      <c r="F38">
        <v>112</v>
      </c>
      <c r="G38">
        <f>Master[[#This Row],[Duree_Panne_Min]]/60</f>
        <v>1.8666666666666667</v>
      </c>
      <c r="H38" s="1" t="s">
        <v>735</v>
      </c>
      <c r="I38">
        <f>IFERROR(VLOOKUP(Master[[#This Row],[Cell_ID]],Registre_Maintenance[],3,FALSE),"")</f>
        <v>-6.1490739999999997</v>
      </c>
      <c r="J38">
        <f>IFERROR(VLOOKUP(Master[[#This Row],[Cell_ID]],Registre_Maintenance[],4,FALSE),"")</f>
        <v>23.304411000000002</v>
      </c>
      <c r="K38" t="str">
        <f>IFERROR(VLOOKUP(Master[[#This Row],[Cell_ID]],Registre_Maintenance[],5,FALSE),"")</f>
        <v>5G</v>
      </c>
      <c r="L38" t="str">
        <f>IFERROR(VLOOKUP(Master[[#This Row],[Cell_ID]],Registre_Maintenance[],6,FALSE),"")</f>
        <v>ZTE</v>
      </c>
      <c r="M38" s="1" t="str">
        <f>VLOOKUP(Master[[#This Row],[Province_RDC]],Client[],2,FALSE)</f>
        <v>CLI-00643</v>
      </c>
      <c r="N38" s="1">
        <f>VLOOKUP(Master[[#This Row],[Province_RDC]],Client[],3,FALSE)</f>
        <v>14</v>
      </c>
      <c r="O38" s="1" t="str">
        <f>VLOOKUP(Master[[#This Row],[Province_RDC]],Client[],4,FALSE)</f>
        <v>Pro Monde</v>
      </c>
      <c r="P38" s="1">
        <f>VLOOKUP(Master[[#This Row],[Province_RDC]],Client[],5,FALSE)</f>
        <v>316</v>
      </c>
      <c r="Q38" s="1">
        <f>VLOOKUP(Master[[#This Row],[Province_RDC]],Client[],6,FALSE)</f>
        <v>62.34</v>
      </c>
      <c r="R38" s="1">
        <f>VLOOKUP(Master[[#This Row],[Province_RDC]],Client[],7,FALSE)</f>
        <v>4</v>
      </c>
      <c r="S38" s="1" t="str">
        <f>IF(Master[[#This Row],[Type_Forfait]]="Pro Monde","B2B","B2C")</f>
        <v>B2B</v>
      </c>
      <c r="T38" s="1">
        <f>Master[[#This Row],[Anciennete_Mois]]/12</f>
        <v>1.1666666666666667</v>
      </c>
      <c r="U38" s="1">
        <f>Master[[#This Row],[Duree_Cumule_Panne_Min]]/60</f>
        <v>5.2666666666666666</v>
      </c>
      <c r="V3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8" s="6">
        <f>Master[[#This Row],[Facture_Mensuelle]]*Master[[#This Row],[Remise]]</f>
        <v>28.053000000000001</v>
      </c>
    </row>
    <row r="39" spans="1:24" x14ac:dyDescent="0.25">
      <c r="A39" s="1" t="s">
        <v>861</v>
      </c>
      <c r="B39" t="str">
        <f>IFERROR(VLOOKUP(Master[[#This Row],[Cell_ID]],Registre_Maintenance[],2,FALSE),"")</f>
        <v>Nord-Ubangi</v>
      </c>
      <c r="C39" s="1" t="s">
        <v>879</v>
      </c>
      <c r="D39" s="2">
        <v>45204.297222222223</v>
      </c>
      <c r="E39" s="3">
        <v>45204.297222222223</v>
      </c>
      <c r="F39">
        <v>111</v>
      </c>
      <c r="G39">
        <f>Master[[#This Row],[Duree_Panne_Min]]/60</f>
        <v>1.85</v>
      </c>
      <c r="H39" s="1" t="s">
        <v>735</v>
      </c>
      <c r="I39">
        <f>IFERROR(VLOOKUP(Master[[#This Row],[Cell_ID]],Registre_Maintenance[],3,FALSE),"")</f>
        <v>-1.342476</v>
      </c>
      <c r="J39">
        <f>IFERROR(VLOOKUP(Master[[#This Row],[Cell_ID]],Registre_Maintenance[],4,FALSE),"")</f>
        <v>15.986086</v>
      </c>
      <c r="K39" t="str">
        <f>IFERROR(VLOOKUP(Master[[#This Row],[Cell_ID]],Registre_Maintenance[],5,FALSE),"")</f>
        <v>4G</v>
      </c>
      <c r="L39" t="str">
        <f>IFERROR(VLOOKUP(Master[[#This Row],[Cell_ID]],Registre_Maintenance[],6,FALSE),"")</f>
        <v>Ericsson</v>
      </c>
      <c r="M39" s="1" t="str">
        <f>VLOOKUP(Master[[#This Row],[Province_RDC]],Client[],2,FALSE)</f>
        <v>CLI-01170</v>
      </c>
      <c r="N39" s="1">
        <f>VLOOKUP(Master[[#This Row],[Province_RDC]],Client[],3,FALSE)</f>
        <v>98</v>
      </c>
      <c r="O39" s="1" t="str">
        <f>VLOOKUP(Master[[#This Row],[Province_RDC]],Client[],4,FALSE)</f>
        <v>Pro Monde</v>
      </c>
      <c r="P39" s="1">
        <f>VLOOKUP(Master[[#This Row],[Province_RDC]],Client[],5,FALSE)</f>
        <v>482</v>
      </c>
      <c r="Q39" s="1">
        <f>VLOOKUP(Master[[#This Row],[Province_RDC]],Client[],6,FALSE)</f>
        <v>55.04</v>
      </c>
      <c r="R39" s="1">
        <f>VLOOKUP(Master[[#This Row],[Province_RDC]],Client[],7,FALSE)</f>
        <v>5</v>
      </c>
      <c r="S39" s="1" t="str">
        <f>IF(Master[[#This Row],[Type_Forfait]]="Pro Monde","B2B","B2C")</f>
        <v>B2B</v>
      </c>
      <c r="T39" s="1">
        <f>Master[[#This Row],[Anciennete_Mois]]/12</f>
        <v>8.1666666666666661</v>
      </c>
      <c r="U39" s="1">
        <f>Master[[#This Row],[Duree_Cumule_Panne_Min]]/60</f>
        <v>8.0333333333333332</v>
      </c>
      <c r="V3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" s="6">
        <f>Master[[#This Row],[Facture_Mensuelle]]*Master[[#This Row],[Remise]]</f>
        <v>24.768000000000001</v>
      </c>
    </row>
    <row r="40" spans="1:24" x14ac:dyDescent="0.25">
      <c r="A40" s="1" t="s">
        <v>939</v>
      </c>
      <c r="B40" t="str">
        <f>IFERROR(VLOOKUP(Master[[#This Row],[Cell_ID]],Registre_Maintenance[],2,FALSE),"")</f>
        <v>Nord-Kivu</v>
      </c>
      <c r="C40" s="1" t="s">
        <v>758</v>
      </c>
      <c r="D40" s="2">
        <v>45211.477083333331</v>
      </c>
      <c r="E40" s="3">
        <v>45211.477083333331</v>
      </c>
      <c r="F40">
        <v>111</v>
      </c>
      <c r="G40">
        <f>Master[[#This Row],[Duree_Panne_Min]]/60</f>
        <v>1.85</v>
      </c>
      <c r="H40" s="1" t="s">
        <v>732</v>
      </c>
      <c r="I40">
        <f>IFERROR(VLOOKUP(Master[[#This Row],[Cell_ID]],Registre_Maintenance[],3,FALSE),"")</f>
        <v>4.6287159999999998</v>
      </c>
      <c r="J40">
        <f>IFERROR(VLOOKUP(Master[[#This Row],[Cell_ID]],Registre_Maintenance[],4,FALSE),"")</f>
        <v>19.407077999999998</v>
      </c>
      <c r="K40" t="str">
        <f>IFERROR(VLOOKUP(Master[[#This Row],[Cell_ID]],Registre_Maintenance[],5,FALSE),"")</f>
        <v>4G</v>
      </c>
      <c r="L40" t="str">
        <f>IFERROR(VLOOKUP(Master[[#This Row],[Cell_ID]],Registre_Maintenance[],6,FALSE),"")</f>
        <v>Ericsson</v>
      </c>
      <c r="M40" s="1" t="str">
        <f>VLOOKUP(Master[[#This Row],[Province_RDC]],Client[],2,FALSE)</f>
        <v>CLI-00837</v>
      </c>
      <c r="N40" s="1">
        <f>VLOOKUP(Master[[#This Row],[Province_RDC]],Client[],3,FALSE)</f>
        <v>16</v>
      </c>
      <c r="O40" s="1" t="str">
        <f>VLOOKUP(Master[[#This Row],[Province_RDC]],Client[],4,FALSE)</f>
        <v>Bloqué 5Go</v>
      </c>
      <c r="P40" s="1">
        <f>VLOOKUP(Master[[#This Row],[Province_RDC]],Client[],5,FALSE)</f>
        <v>390</v>
      </c>
      <c r="Q40" s="1">
        <f>VLOOKUP(Master[[#This Row],[Province_RDC]],Client[],6,FALSE)</f>
        <v>98.17</v>
      </c>
      <c r="R40" s="1">
        <f>VLOOKUP(Master[[#This Row],[Province_RDC]],Client[],7,FALSE)</f>
        <v>5</v>
      </c>
      <c r="S40" s="1" t="str">
        <f>IF(Master[[#This Row],[Type_Forfait]]="Pro Monde","B2B","B2C")</f>
        <v>B2C</v>
      </c>
      <c r="T40" s="1">
        <f>Master[[#This Row],[Anciennete_Mois]]/12</f>
        <v>1.3333333333333333</v>
      </c>
      <c r="U40" s="1">
        <f>Master[[#This Row],[Duree_Cumule_Panne_Min]]/60</f>
        <v>6.5</v>
      </c>
      <c r="V4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" s="6">
        <f>Master[[#This Row],[Facture_Mensuelle]]*Master[[#This Row],[Remise]]</f>
        <v>44.176500000000004</v>
      </c>
    </row>
    <row r="41" spans="1:24" x14ac:dyDescent="0.25">
      <c r="A41" s="1" t="s">
        <v>1024</v>
      </c>
      <c r="B41" t="str">
        <f>IFERROR(VLOOKUP(Master[[#This Row],[Cell_ID]],Registre_Maintenance[],2,FALSE),"")</f>
        <v>Ituri</v>
      </c>
      <c r="C41" s="1" t="s">
        <v>1027</v>
      </c>
      <c r="D41" s="2">
        <v>45220.11041666667</v>
      </c>
      <c r="E41" s="3">
        <v>45220.11041666667</v>
      </c>
      <c r="F41">
        <v>111</v>
      </c>
      <c r="G41">
        <f>Master[[#This Row],[Duree_Panne_Min]]/60</f>
        <v>1.85</v>
      </c>
      <c r="H41" s="1" t="s">
        <v>737</v>
      </c>
      <c r="I41">
        <f>IFERROR(VLOOKUP(Master[[#This Row],[Cell_ID]],Registre_Maintenance[],3,FALSE),"")</f>
        <v>-4.1250960000000001</v>
      </c>
      <c r="J41">
        <f>IFERROR(VLOOKUP(Master[[#This Row],[Cell_ID]],Registre_Maintenance[],4,FALSE),"")</f>
        <v>27.799897999999999</v>
      </c>
      <c r="K41" t="str">
        <f>IFERROR(VLOOKUP(Master[[#This Row],[Cell_ID]],Registre_Maintenance[],5,FALSE),"")</f>
        <v>3G</v>
      </c>
      <c r="L41" t="str">
        <f>IFERROR(VLOOKUP(Master[[#This Row],[Cell_ID]],Registre_Maintenance[],6,FALSE),"")</f>
        <v>Nokia</v>
      </c>
      <c r="M41" s="1" t="str">
        <f>VLOOKUP(Master[[#This Row],[Province_RDC]],Client[],2,FALSE)</f>
        <v>CLI-00041</v>
      </c>
      <c r="N41" s="1">
        <f>VLOOKUP(Master[[#This Row],[Province_RDC]],Client[],3,FALSE)</f>
        <v>103</v>
      </c>
      <c r="O41" s="1" t="str">
        <f>VLOOKUP(Master[[#This Row],[Province_RDC]],Client[],4,FALSE)</f>
        <v>Pro Monde</v>
      </c>
      <c r="P41" s="1">
        <f>VLOOKUP(Master[[#This Row],[Province_RDC]],Client[],5,FALSE)</f>
        <v>105</v>
      </c>
      <c r="Q41" s="1">
        <f>VLOOKUP(Master[[#This Row],[Province_RDC]],Client[],6,FALSE)</f>
        <v>61.52</v>
      </c>
      <c r="R41" s="1">
        <f>VLOOKUP(Master[[#This Row],[Province_RDC]],Client[],7,FALSE)</f>
        <v>3</v>
      </c>
      <c r="S41" s="1" t="str">
        <f>IF(Master[[#This Row],[Type_Forfait]]="Pro Monde","B2B","B2C")</f>
        <v>B2B</v>
      </c>
      <c r="T41" s="1">
        <f>Master[[#This Row],[Anciennete_Mois]]/12</f>
        <v>8.5833333333333339</v>
      </c>
      <c r="U41" s="1">
        <f>Master[[#This Row],[Duree_Cumule_Panne_Min]]/60</f>
        <v>1.75</v>
      </c>
      <c r="V4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1" s="6">
        <f>Master[[#This Row],[Facture_Mensuelle]]*Master[[#This Row],[Remise]]</f>
        <v>6.152000000000001</v>
      </c>
    </row>
    <row r="42" spans="1:24" x14ac:dyDescent="0.25">
      <c r="A42" s="1" t="s">
        <v>1404</v>
      </c>
      <c r="B42" t="str">
        <f>IFERROR(VLOOKUP(Master[[#This Row],[Cell_ID]],Registre_Maintenance[],2,FALSE),"")</f>
        <v>Bas-Uele</v>
      </c>
      <c r="C42" s="1" t="s">
        <v>1057</v>
      </c>
      <c r="D42" s="2">
        <v>45209.913888888892</v>
      </c>
      <c r="E42" s="3">
        <v>45209.913888888892</v>
      </c>
      <c r="F42">
        <v>111</v>
      </c>
      <c r="G42">
        <f>Master[[#This Row],[Duree_Panne_Min]]/60</f>
        <v>1.85</v>
      </c>
      <c r="H42" s="1" t="s">
        <v>737</v>
      </c>
      <c r="I42">
        <f>IFERROR(VLOOKUP(Master[[#This Row],[Cell_ID]],Registre_Maintenance[],3,FALSE),"")</f>
        <v>-6.4197189999999997</v>
      </c>
      <c r="J42">
        <f>IFERROR(VLOOKUP(Master[[#This Row],[Cell_ID]],Registre_Maintenance[],4,FALSE),"")</f>
        <v>22.287264</v>
      </c>
      <c r="K42" t="str">
        <f>IFERROR(VLOOKUP(Master[[#This Row],[Cell_ID]],Registre_Maintenance[],5,FALSE),"")</f>
        <v>3G</v>
      </c>
      <c r="L42" t="str">
        <f>IFERROR(VLOOKUP(Master[[#This Row],[Cell_ID]],Registre_Maintenance[],6,FALSE),"")</f>
        <v>Ericsson</v>
      </c>
      <c r="M42" s="1" t="str">
        <f>VLOOKUP(Master[[#This Row],[Province_RDC]],Client[],2,FALSE)</f>
        <v>CLI-01128</v>
      </c>
      <c r="N42" s="1">
        <f>VLOOKUP(Master[[#This Row],[Province_RDC]],Client[],3,FALSE)</f>
        <v>112</v>
      </c>
      <c r="O42" s="1" t="str">
        <f>VLOOKUP(Master[[#This Row],[Province_RDC]],Client[],4,FALSE)</f>
        <v>Premium 5G 150Go</v>
      </c>
      <c r="P42" s="1">
        <f>VLOOKUP(Master[[#This Row],[Province_RDC]],Client[],5,FALSE)</f>
        <v>460</v>
      </c>
      <c r="Q42" s="1">
        <f>VLOOKUP(Master[[#This Row],[Province_RDC]],Client[],6,FALSE)</f>
        <v>55.47</v>
      </c>
      <c r="R42" s="1">
        <f>VLOOKUP(Master[[#This Row],[Province_RDC]],Client[],7,FALSE)</f>
        <v>4</v>
      </c>
      <c r="S42" s="1" t="str">
        <f>IF(Master[[#This Row],[Type_Forfait]]="Pro Monde","B2B","B2C")</f>
        <v>B2C</v>
      </c>
      <c r="T42" s="1">
        <f>Master[[#This Row],[Anciennete_Mois]]/12</f>
        <v>9.3333333333333339</v>
      </c>
      <c r="U42" s="1">
        <f>Master[[#This Row],[Duree_Cumule_Panne_Min]]/60</f>
        <v>7.666666666666667</v>
      </c>
      <c r="V4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" s="6">
        <f>Master[[#This Row],[Facture_Mensuelle]]*Master[[#This Row],[Remise]]</f>
        <v>24.961500000000001</v>
      </c>
    </row>
    <row r="43" spans="1:24" x14ac:dyDescent="0.25">
      <c r="A43" s="1" t="s">
        <v>1059</v>
      </c>
      <c r="B43" t="str">
        <f>IFERROR(VLOOKUP(Master[[#This Row],[Cell_ID]],Registre_Maintenance[],2,FALSE),"")</f>
        <v>Tanganyika</v>
      </c>
      <c r="C43" s="1" t="s">
        <v>1074</v>
      </c>
      <c r="D43" s="2">
        <v>45210.168055555558</v>
      </c>
      <c r="E43" s="3">
        <v>45210.168055555558</v>
      </c>
      <c r="F43">
        <v>110</v>
      </c>
      <c r="G43">
        <f>Master[[#This Row],[Duree_Panne_Min]]/60</f>
        <v>1.8333333333333333</v>
      </c>
      <c r="H43" s="1" t="s">
        <v>732</v>
      </c>
      <c r="I43">
        <f>IFERROR(VLOOKUP(Master[[#This Row],[Cell_ID]],Registre_Maintenance[],3,FALSE),"")</f>
        <v>-9.9565739999999998</v>
      </c>
      <c r="J43">
        <f>IFERROR(VLOOKUP(Master[[#This Row],[Cell_ID]],Registre_Maintenance[],4,FALSE),"")</f>
        <v>21.017202000000001</v>
      </c>
      <c r="K43" t="str">
        <f>IFERROR(VLOOKUP(Master[[#This Row],[Cell_ID]],Registre_Maintenance[],5,FALSE),"")</f>
        <v>4G</v>
      </c>
      <c r="L43" t="str">
        <f>IFERROR(VLOOKUP(Master[[#This Row],[Cell_ID]],Registre_Maintenance[],6,FALSE),"")</f>
        <v>Huawei</v>
      </c>
      <c r="M43" s="1" t="str">
        <f>VLOOKUP(Master[[#This Row],[Province_RDC]],Client[],2,FALSE)</f>
        <v>CLI-01618</v>
      </c>
      <c r="N43" s="1">
        <f>VLOOKUP(Master[[#This Row],[Province_RDC]],Client[],3,FALSE)</f>
        <v>115</v>
      </c>
      <c r="O43" s="1" t="str">
        <f>VLOOKUP(Master[[#This Row],[Province_RDC]],Client[],4,FALSE)</f>
        <v>Bloqué 5Go</v>
      </c>
      <c r="P43" s="1">
        <f>VLOOKUP(Master[[#This Row],[Province_RDC]],Client[],5,FALSE)</f>
        <v>176</v>
      </c>
      <c r="Q43" s="1">
        <f>VLOOKUP(Master[[#This Row],[Province_RDC]],Client[],6,FALSE)</f>
        <v>33.28</v>
      </c>
      <c r="R43" s="1">
        <f>VLOOKUP(Master[[#This Row],[Province_RDC]],Client[],7,FALSE)</f>
        <v>4</v>
      </c>
      <c r="S43" s="1" t="str">
        <f>IF(Master[[#This Row],[Type_Forfait]]="Pro Monde","B2B","B2C")</f>
        <v>B2C</v>
      </c>
      <c r="T43" s="1">
        <f>Master[[#This Row],[Anciennete_Mois]]/12</f>
        <v>9.5833333333333339</v>
      </c>
      <c r="U43" s="1">
        <f>Master[[#This Row],[Duree_Cumule_Panne_Min]]/60</f>
        <v>2.9333333333333331</v>
      </c>
      <c r="V4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3" s="6">
        <f>Master[[#This Row],[Facture_Mensuelle]]*Master[[#This Row],[Remise]]</f>
        <v>0</v>
      </c>
    </row>
    <row r="44" spans="1:24" x14ac:dyDescent="0.25">
      <c r="A44" s="1" t="s">
        <v>1193</v>
      </c>
      <c r="B44" t="str">
        <f>IFERROR(VLOOKUP(Master[[#This Row],[Cell_ID]],Registre_Maintenance[],2,FALSE),"")</f>
        <v>Sud-Kivu</v>
      </c>
      <c r="C44" s="1" t="s">
        <v>1206</v>
      </c>
      <c r="D44" s="2">
        <v>45211.128472222219</v>
      </c>
      <c r="E44" s="3">
        <v>45211.128472222219</v>
      </c>
      <c r="F44">
        <v>110</v>
      </c>
      <c r="G44">
        <f>Master[[#This Row],[Duree_Panne_Min]]/60</f>
        <v>1.8333333333333333</v>
      </c>
      <c r="H44" s="1" t="s">
        <v>735</v>
      </c>
      <c r="I44">
        <f>IFERROR(VLOOKUP(Master[[#This Row],[Cell_ID]],Registre_Maintenance[],3,FALSE),"")</f>
        <v>2.453036</v>
      </c>
      <c r="J44">
        <f>IFERROR(VLOOKUP(Master[[#This Row],[Cell_ID]],Registre_Maintenance[],4,FALSE),"")</f>
        <v>20.555484</v>
      </c>
      <c r="K44" t="str">
        <f>IFERROR(VLOOKUP(Master[[#This Row],[Cell_ID]],Registre_Maintenance[],5,FALSE),"")</f>
        <v>5G</v>
      </c>
      <c r="L44" t="str">
        <f>IFERROR(VLOOKUP(Master[[#This Row],[Cell_ID]],Registre_Maintenance[],6,FALSE),"")</f>
        <v>Ericsson</v>
      </c>
      <c r="M44" s="1" t="str">
        <f>VLOOKUP(Master[[#This Row],[Province_RDC]],Client[],2,FALSE)</f>
        <v>CLI-01855</v>
      </c>
      <c r="N44" s="1">
        <f>VLOOKUP(Master[[#This Row],[Province_RDC]],Client[],3,FALSE)</f>
        <v>101</v>
      </c>
      <c r="O44" s="1" t="str">
        <f>VLOOKUP(Master[[#This Row],[Province_RDC]],Client[],4,FALSE)</f>
        <v>Illimité 50Go</v>
      </c>
      <c r="P44" s="1">
        <f>VLOOKUP(Master[[#This Row],[Province_RDC]],Client[],5,FALSE)</f>
        <v>358</v>
      </c>
      <c r="Q44" s="1">
        <f>VLOOKUP(Master[[#This Row],[Province_RDC]],Client[],6,FALSE)</f>
        <v>29.24</v>
      </c>
      <c r="R44" s="1">
        <f>VLOOKUP(Master[[#This Row],[Province_RDC]],Client[],7,FALSE)</f>
        <v>3</v>
      </c>
      <c r="S44" s="1" t="str">
        <f>IF(Master[[#This Row],[Type_Forfait]]="Pro Monde","B2B","B2C")</f>
        <v>B2C</v>
      </c>
      <c r="T44" s="1">
        <f>Master[[#This Row],[Anciennete_Mois]]/12</f>
        <v>8.4166666666666661</v>
      </c>
      <c r="U44" s="1">
        <f>Master[[#This Row],[Duree_Cumule_Panne_Min]]/60</f>
        <v>5.9666666666666668</v>
      </c>
      <c r="V4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" s="6">
        <f>Master[[#This Row],[Facture_Mensuelle]]*Master[[#This Row],[Remise]]</f>
        <v>13.157999999999999</v>
      </c>
    </row>
    <row r="45" spans="1:24" x14ac:dyDescent="0.25">
      <c r="A45" s="1" t="s">
        <v>902</v>
      </c>
      <c r="B45" t="str">
        <f>IFERROR(VLOOKUP(Master[[#This Row],[Cell_ID]],Registre_Maintenance[],2,FALSE),"")</f>
        <v>Lomami</v>
      </c>
      <c r="C45" s="1" t="s">
        <v>905</v>
      </c>
      <c r="D45" s="2">
        <v>45226.100694444453</v>
      </c>
      <c r="E45" s="3">
        <v>45226.100694444453</v>
      </c>
      <c r="F45">
        <v>110</v>
      </c>
      <c r="G45">
        <f>Master[[#This Row],[Duree_Panne_Min]]/60</f>
        <v>1.8333333333333333</v>
      </c>
      <c r="H45" s="1" t="s">
        <v>735</v>
      </c>
      <c r="I45">
        <f>IFERROR(VLOOKUP(Master[[#This Row],[Cell_ID]],Registre_Maintenance[],3,FALSE),"")</f>
        <v>-2.2681789999999999</v>
      </c>
      <c r="J45">
        <f>IFERROR(VLOOKUP(Master[[#This Row],[Cell_ID]],Registre_Maintenance[],4,FALSE),"")</f>
        <v>25.699068</v>
      </c>
      <c r="K45" t="str">
        <f>IFERROR(VLOOKUP(Master[[#This Row],[Cell_ID]],Registre_Maintenance[],5,FALSE),"")</f>
        <v>3G</v>
      </c>
      <c r="L45" t="str">
        <f>IFERROR(VLOOKUP(Master[[#This Row],[Cell_ID]],Registre_Maintenance[],6,FALSE),"")</f>
        <v>ZTE</v>
      </c>
      <c r="M45" s="1" t="str">
        <f>VLOOKUP(Master[[#This Row],[Province_RDC]],Client[],2,FALSE)</f>
        <v>CLI-00505</v>
      </c>
      <c r="N45" s="1">
        <f>VLOOKUP(Master[[#This Row],[Province_RDC]],Client[],3,FALSE)</f>
        <v>59</v>
      </c>
      <c r="O45" s="1" t="str">
        <f>VLOOKUP(Master[[#This Row],[Province_RDC]],Client[],4,FALSE)</f>
        <v>Bloqué 5Go</v>
      </c>
      <c r="P45" s="1">
        <f>VLOOKUP(Master[[#This Row],[Province_RDC]],Client[],5,FALSE)</f>
        <v>196</v>
      </c>
      <c r="Q45" s="1">
        <f>VLOOKUP(Master[[#This Row],[Province_RDC]],Client[],6,FALSE)</f>
        <v>62.53</v>
      </c>
      <c r="R45" s="1">
        <f>VLOOKUP(Master[[#This Row],[Province_RDC]],Client[],7,FALSE)</f>
        <v>0</v>
      </c>
      <c r="S45" s="1" t="str">
        <f>IF(Master[[#This Row],[Type_Forfait]]="Pro Monde","B2B","B2C")</f>
        <v>B2C</v>
      </c>
      <c r="T45" s="1">
        <f>Master[[#This Row],[Anciennete_Mois]]/12</f>
        <v>4.916666666666667</v>
      </c>
      <c r="U45" s="1">
        <f>Master[[#This Row],[Duree_Cumule_Panne_Min]]/60</f>
        <v>3.2666666666666666</v>
      </c>
      <c r="V4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5" s="6">
        <f>Master[[#This Row],[Facture_Mensuelle]]*Master[[#This Row],[Remise]]</f>
        <v>0</v>
      </c>
    </row>
    <row r="46" spans="1:24" x14ac:dyDescent="0.25">
      <c r="A46" s="1" t="s">
        <v>1114</v>
      </c>
      <c r="B46" t="str">
        <f>IFERROR(VLOOKUP(Master[[#This Row],[Cell_ID]],Registre_Maintenance[],2,FALSE),"")</f>
        <v>Kasai</v>
      </c>
      <c r="C46" s="1" t="s">
        <v>930</v>
      </c>
      <c r="D46" s="2">
        <v>45210.895833333343</v>
      </c>
      <c r="E46" s="3">
        <v>45210.895833333343</v>
      </c>
      <c r="F46">
        <v>110</v>
      </c>
      <c r="G46">
        <f>Master[[#This Row],[Duree_Panne_Min]]/60</f>
        <v>1.8333333333333333</v>
      </c>
      <c r="H46" s="1" t="s">
        <v>737</v>
      </c>
      <c r="I46">
        <f>IFERROR(VLOOKUP(Master[[#This Row],[Cell_ID]],Registre_Maintenance[],3,FALSE),"")</f>
        <v>-4.351254</v>
      </c>
      <c r="J46">
        <f>IFERROR(VLOOKUP(Master[[#This Row],[Cell_ID]],Registre_Maintenance[],4,FALSE),"")</f>
        <v>30.097408999999999</v>
      </c>
      <c r="K46" t="str">
        <f>IFERROR(VLOOKUP(Master[[#This Row],[Cell_ID]],Registre_Maintenance[],5,FALSE),"")</f>
        <v>5G</v>
      </c>
      <c r="L46" t="str">
        <f>IFERROR(VLOOKUP(Master[[#This Row],[Cell_ID]],Registre_Maintenance[],6,FALSE),"")</f>
        <v>Nokia</v>
      </c>
      <c r="M46" s="1" t="str">
        <f>VLOOKUP(Master[[#This Row],[Province_RDC]],Client[],2,FALSE)</f>
        <v>CLI-00559</v>
      </c>
      <c r="N46" s="1">
        <f>VLOOKUP(Master[[#This Row],[Province_RDC]],Client[],3,FALSE)</f>
        <v>99</v>
      </c>
      <c r="O46" s="1" t="str">
        <f>VLOOKUP(Master[[#This Row],[Province_RDC]],Client[],4,FALSE)</f>
        <v>Bloqué 5Go</v>
      </c>
      <c r="P46" s="1">
        <f>VLOOKUP(Master[[#This Row],[Province_RDC]],Client[],5,FALSE)</f>
        <v>369</v>
      </c>
      <c r="Q46" s="1">
        <f>VLOOKUP(Master[[#This Row],[Province_RDC]],Client[],6,FALSE)</f>
        <v>67.209999999999994</v>
      </c>
      <c r="R46" s="1">
        <f>VLOOKUP(Master[[#This Row],[Province_RDC]],Client[],7,FALSE)</f>
        <v>3</v>
      </c>
      <c r="S46" s="1" t="str">
        <f>IF(Master[[#This Row],[Type_Forfait]]="Pro Monde","B2B","B2C")</f>
        <v>B2C</v>
      </c>
      <c r="T46" s="1">
        <f>Master[[#This Row],[Anciennete_Mois]]/12</f>
        <v>8.25</v>
      </c>
      <c r="U46" s="1">
        <f>Master[[#This Row],[Duree_Cumule_Panne_Min]]/60</f>
        <v>6.15</v>
      </c>
      <c r="V4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" s="6">
        <f>Master[[#This Row],[Facture_Mensuelle]]*Master[[#This Row],[Remise]]</f>
        <v>30.244499999999999</v>
      </c>
    </row>
    <row r="47" spans="1:24" x14ac:dyDescent="0.25">
      <c r="A47" s="1" t="s">
        <v>1288</v>
      </c>
      <c r="B47" t="str">
        <f>IFERROR(VLOOKUP(Master[[#This Row],[Cell_ID]],Registre_Maintenance[],2,FALSE),"")</f>
        <v>Lomami</v>
      </c>
      <c r="C47" s="1" t="s">
        <v>905</v>
      </c>
      <c r="D47" s="2">
        <v>45205.345138888893</v>
      </c>
      <c r="E47" s="3">
        <v>45205.345138888893</v>
      </c>
      <c r="F47">
        <v>109</v>
      </c>
      <c r="G47">
        <f>Master[[#This Row],[Duree_Panne_Min]]/60</f>
        <v>1.8166666666666667</v>
      </c>
      <c r="H47" s="1" t="s">
        <v>735</v>
      </c>
      <c r="I47">
        <f>IFERROR(VLOOKUP(Master[[#This Row],[Cell_ID]],Registre_Maintenance[],3,FALSE),"")</f>
        <v>-2.2681789999999999</v>
      </c>
      <c r="J47">
        <f>IFERROR(VLOOKUP(Master[[#This Row],[Cell_ID]],Registre_Maintenance[],4,FALSE),"")</f>
        <v>25.699068</v>
      </c>
      <c r="K47" t="str">
        <f>IFERROR(VLOOKUP(Master[[#This Row],[Cell_ID]],Registre_Maintenance[],5,FALSE),"")</f>
        <v>3G</v>
      </c>
      <c r="L47" t="str">
        <f>IFERROR(VLOOKUP(Master[[#This Row],[Cell_ID]],Registre_Maintenance[],6,FALSE),"")</f>
        <v>ZTE</v>
      </c>
      <c r="M47" s="1" t="str">
        <f>VLOOKUP(Master[[#This Row],[Province_RDC]],Client[],2,FALSE)</f>
        <v>CLI-00505</v>
      </c>
      <c r="N47" s="1">
        <f>VLOOKUP(Master[[#This Row],[Province_RDC]],Client[],3,FALSE)</f>
        <v>59</v>
      </c>
      <c r="O47" s="1" t="str">
        <f>VLOOKUP(Master[[#This Row],[Province_RDC]],Client[],4,FALSE)</f>
        <v>Bloqué 5Go</v>
      </c>
      <c r="P47" s="1">
        <f>VLOOKUP(Master[[#This Row],[Province_RDC]],Client[],5,FALSE)</f>
        <v>196</v>
      </c>
      <c r="Q47" s="1">
        <f>VLOOKUP(Master[[#This Row],[Province_RDC]],Client[],6,FALSE)</f>
        <v>62.53</v>
      </c>
      <c r="R47" s="1">
        <f>VLOOKUP(Master[[#This Row],[Province_RDC]],Client[],7,FALSE)</f>
        <v>0</v>
      </c>
      <c r="S47" s="1" t="str">
        <f>IF(Master[[#This Row],[Type_Forfait]]="Pro Monde","B2B","B2C")</f>
        <v>B2C</v>
      </c>
      <c r="T47" s="1">
        <f>Master[[#This Row],[Anciennete_Mois]]/12</f>
        <v>4.916666666666667</v>
      </c>
      <c r="U47" s="1">
        <f>Master[[#This Row],[Duree_Cumule_Panne_Min]]/60</f>
        <v>3.2666666666666666</v>
      </c>
      <c r="V4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7" s="6">
        <f>Master[[#This Row],[Facture_Mensuelle]]*Master[[#This Row],[Remise]]</f>
        <v>0</v>
      </c>
    </row>
    <row r="48" spans="1:24" x14ac:dyDescent="0.25">
      <c r="A48" s="1" t="s">
        <v>1165</v>
      </c>
      <c r="B48" t="str">
        <f>IFERROR(VLOOKUP(Master[[#This Row],[Cell_ID]],Registre_Maintenance[],2,FALSE),"")</f>
        <v>Kongo-Central</v>
      </c>
      <c r="C48" s="1" t="s">
        <v>1178</v>
      </c>
      <c r="D48" s="2">
        <v>45215.288194444453</v>
      </c>
      <c r="E48" s="3">
        <v>45215.288194444453</v>
      </c>
      <c r="F48">
        <v>109</v>
      </c>
      <c r="G48">
        <f>Master[[#This Row],[Duree_Panne_Min]]/60</f>
        <v>1.8166666666666667</v>
      </c>
      <c r="H48" s="1" t="s">
        <v>732</v>
      </c>
      <c r="I48">
        <f>IFERROR(VLOOKUP(Master[[#This Row],[Cell_ID]],Registre_Maintenance[],3,FALSE),"")</f>
        <v>-11.157245</v>
      </c>
      <c r="J48">
        <f>IFERROR(VLOOKUP(Master[[#This Row],[Cell_ID]],Registre_Maintenance[],4,FALSE),"")</f>
        <v>21.262627999999999</v>
      </c>
      <c r="K48" t="str">
        <f>IFERROR(VLOOKUP(Master[[#This Row],[Cell_ID]],Registre_Maintenance[],5,FALSE),"")</f>
        <v>5G</v>
      </c>
      <c r="L48" t="str">
        <f>IFERROR(VLOOKUP(Master[[#This Row],[Cell_ID]],Registre_Maintenance[],6,FALSE),"")</f>
        <v>ZTE</v>
      </c>
      <c r="M48" s="1" t="str">
        <f>VLOOKUP(Master[[#This Row],[Province_RDC]],Client[],2,FALSE)</f>
        <v>CLI-01233</v>
      </c>
      <c r="N48" s="1">
        <f>VLOOKUP(Master[[#This Row],[Province_RDC]],Client[],3,FALSE)</f>
        <v>101</v>
      </c>
      <c r="O48" s="1" t="str">
        <f>VLOOKUP(Master[[#This Row],[Province_RDC]],Client[],4,FALSE)</f>
        <v>Pro Monde</v>
      </c>
      <c r="P48" s="1">
        <f>VLOOKUP(Master[[#This Row],[Province_RDC]],Client[],5,FALSE)</f>
        <v>333</v>
      </c>
      <c r="Q48" s="1">
        <f>VLOOKUP(Master[[#This Row],[Province_RDC]],Client[],6,FALSE)</f>
        <v>74.319999999999993</v>
      </c>
      <c r="R48" s="1">
        <f>VLOOKUP(Master[[#This Row],[Province_RDC]],Client[],7,FALSE)</f>
        <v>1</v>
      </c>
      <c r="S48" s="1" t="str">
        <f>IF(Master[[#This Row],[Type_Forfait]]="Pro Monde","B2B","B2C")</f>
        <v>B2B</v>
      </c>
      <c r="T48" s="1">
        <f>Master[[#This Row],[Anciennete_Mois]]/12</f>
        <v>8.4166666666666661</v>
      </c>
      <c r="U48" s="1">
        <f>Master[[#This Row],[Duree_Cumule_Panne_Min]]/60</f>
        <v>5.55</v>
      </c>
      <c r="V4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8" s="6">
        <f>Master[[#This Row],[Facture_Mensuelle]]*Master[[#This Row],[Remise]]</f>
        <v>33.443999999999996</v>
      </c>
    </row>
    <row r="49" spans="1:24" x14ac:dyDescent="0.25">
      <c r="A49" s="1" t="s">
        <v>902</v>
      </c>
      <c r="B49" t="str">
        <f>IFERROR(VLOOKUP(Master[[#This Row],[Cell_ID]],Registre_Maintenance[],2,FALSE),"")</f>
        <v>Kasai-Oriental</v>
      </c>
      <c r="C49" s="1" t="s">
        <v>935</v>
      </c>
      <c r="D49" s="2">
        <v>45216.729861111111</v>
      </c>
      <c r="E49" s="3">
        <v>45216.729861111111</v>
      </c>
      <c r="F49">
        <v>109</v>
      </c>
      <c r="G49">
        <f>Master[[#This Row],[Duree_Panne_Min]]/60</f>
        <v>1.8166666666666667</v>
      </c>
      <c r="H49" s="1" t="s">
        <v>737</v>
      </c>
      <c r="I49">
        <f>IFERROR(VLOOKUP(Master[[#This Row],[Cell_ID]],Registre_Maintenance[],3,FALSE),"")</f>
        <v>0.639208</v>
      </c>
      <c r="J49">
        <f>IFERROR(VLOOKUP(Master[[#This Row],[Cell_ID]],Registre_Maintenance[],4,FALSE),"")</f>
        <v>20.701739</v>
      </c>
      <c r="K49" t="str">
        <f>IFERROR(VLOOKUP(Master[[#This Row],[Cell_ID]],Registre_Maintenance[],5,FALSE),"")</f>
        <v>4G</v>
      </c>
      <c r="L49" t="str">
        <f>IFERROR(VLOOKUP(Master[[#This Row],[Cell_ID]],Registre_Maintenance[],6,FALSE),"")</f>
        <v>Huawei</v>
      </c>
      <c r="M49" s="1" t="str">
        <f>VLOOKUP(Master[[#This Row],[Province_RDC]],Client[],2,FALSE)</f>
        <v>CLI-01837</v>
      </c>
      <c r="N49" s="1">
        <f>VLOOKUP(Master[[#This Row],[Province_RDC]],Client[],3,FALSE)</f>
        <v>97</v>
      </c>
      <c r="O49" s="1" t="str">
        <f>VLOOKUP(Master[[#This Row],[Province_RDC]],Client[],4,FALSE)</f>
        <v>Pro Monde</v>
      </c>
      <c r="P49" s="1">
        <f>VLOOKUP(Master[[#This Row],[Province_RDC]],Client[],5,FALSE)</f>
        <v>319</v>
      </c>
      <c r="Q49" s="1">
        <f>VLOOKUP(Master[[#This Row],[Province_RDC]],Client[],6,FALSE)</f>
        <v>31.25</v>
      </c>
      <c r="R49" s="1">
        <f>VLOOKUP(Master[[#This Row],[Province_RDC]],Client[],7,FALSE)</f>
        <v>1</v>
      </c>
      <c r="S49" s="1" t="str">
        <f>IF(Master[[#This Row],[Type_Forfait]]="Pro Monde","B2B","B2C")</f>
        <v>B2B</v>
      </c>
      <c r="T49" s="1">
        <f>Master[[#This Row],[Anciennete_Mois]]/12</f>
        <v>8.0833333333333339</v>
      </c>
      <c r="U49" s="1">
        <f>Master[[#This Row],[Duree_Cumule_Panne_Min]]/60</f>
        <v>5.3166666666666664</v>
      </c>
      <c r="V4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9" s="6">
        <f>Master[[#This Row],[Facture_Mensuelle]]*Master[[#This Row],[Remise]]</f>
        <v>14.0625</v>
      </c>
    </row>
    <row r="50" spans="1:24" x14ac:dyDescent="0.25">
      <c r="A50" s="1" t="s">
        <v>1138</v>
      </c>
      <c r="B50" t="str">
        <f>IFERROR(VLOOKUP(Master[[#This Row],[Cell_ID]],Registre_Maintenance[],2,FALSE),"")</f>
        <v>Haut-Uele</v>
      </c>
      <c r="C50" s="1" t="s">
        <v>1139</v>
      </c>
      <c r="D50" s="2">
        <v>45202.529166666667</v>
      </c>
      <c r="E50" s="3">
        <v>45202.529166666667</v>
      </c>
      <c r="F50">
        <v>109</v>
      </c>
      <c r="G50">
        <f>Master[[#This Row],[Duree_Panne_Min]]/60</f>
        <v>1.8166666666666667</v>
      </c>
      <c r="H50" s="1" t="s">
        <v>735</v>
      </c>
      <c r="I50">
        <f>IFERROR(VLOOKUP(Master[[#This Row],[Cell_ID]],Registre_Maintenance[],3,FALSE),"")</f>
        <v>-7.1483749999999997</v>
      </c>
      <c r="J50">
        <f>IFERROR(VLOOKUP(Master[[#This Row],[Cell_ID]],Registre_Maintenance[],4,FALSE),"")</f>
        <v>26.014271000000001</v>
      </c>
      <c r="K50" t="str">
        <f>IFERROR(VLOOKUP(Master[[#This Row],[Cell_ID]],Registre_Maintenance[],5,FALSE),"")</f>
        <v>5G</v>
      </c>
      <c r="L50" t="str">
        <f>IFERROR(VLOOKUP(Master[[#This Row],[Cell_ID]],Registre_Maintenance[],6,FALSE),"")</f>
        <v>Huawei</v>
      </c>
      <c r="M50" s="1" t="str">
        <f>VLOOKUP(Master[[#This Row],[Province_RDC]],Client[],2,FALSE)</f>
        <v>CLI-00439</v>
      </c>
      <c r="N50" s="1">
        <f>VLOOKUP(Master[[#This Row],[Province_RDC]],Client[],3,FALSE)</f>
        <v>40</v>
      </c>
      <c r="O50" s="1" t="str">
        <f>VLOOKUP(Master[[#This Row],[Province_RDC]],Client[],4,FALSE)</f>
        <v>Premium 5G 150Go</v>
      </c>
      <c r="P50" s="1">
        <f>VLOOKUP(Master[[#This Row],[Province_RDC]],Client[],5,FALSE)</f>
        <v>345</v>
      </c>
      <c r="Q50" s="1">
        <f>VLOOKUP(Master[[#This Row],[Province_RDC]],Client[],6,FALSE)</f>
        <v>89.55</v>
      </c>
      <c r="R50" s="1">
        <f>VLOOKUP(Master[[#This Row],[Province_RDC]],Client[],7,FALSE)</f>
        <v>3</v>
      </c>
      <c r="S50" s="1" t="str">
        <f>IF(Master[[#This Row],[Type_Forfait]]="Pro Monde","B2B","B2C")</f>
        <v>B2C</v>
      </c>
      <c r="T50" s="1">
        <f>Master[[#This Row],[Anciennete_Mois]]/12</f>
        <v>3.3333333333333335</v>
      </c>
      <c r="U50" s="1">
        <f>Master[[#This Row],[Duree_Cumule_Panne_Min]]/60</f>
        <v>5.75</v>
      </c>
      <c r="V5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0" s="6">
        <f>Master[[#This Row],[Facture_Mensuelle]]*Master[[#This Row],[Remise]]</f>
        <v>40.297499999999999</v>
      </c>
    </row>
    <row r="51" spans="1:24" x14ac:dyDescent="0.25">
      <c r="A51" s="1" t="s">
        <v>1114</v>
      </c>
      <c r="B51" t="str">
        <f>IFERROR(VLOOKUP(Master[[#This Row],[Cell_ID]],Registre_Maintenance[],2,FALSE),"")</f>
        <v>Haut-Katanga</v>
      </c>
      <c r="C51" s="1" t="s">
        <v>795</v>
      </c>
      <c r="D51" s="2">
        <v>45222.834027777782</v>
      </c>
      <c r="E51" s="3">
        <v>45222.834027777782</v>
      </c>
      <c r="F51">
        <v>109</v>
      </c>
      <c r="G51">
        <f>Master[[#This Row],[Duree_Panne_Min]]/60</f>
        <v>1.8166666666666667</v>
      </c>
      <c r="H51" s="1" t="s">
        <v>735</v>
      </c>
      <c r="I51">
        <f>IFERROR(VLOOKUP(Master[[#This Row],[Cell_ID]],Registre_Maintenance[],3,FALSE),"")</f>
        <v>-2.9417719999999998</v>
      </c>
      <c r="J51">
        <f>IFERROR(VLOOKUP(Master[[#This Row],[Cell_ID]],Registre_Maintenance[],4,FALSE),"")</f>
        <v>18.587305000000001</v>
      </c>
      <c r="K51" t="str">
        <f>IFERROR(VLOOKUP(Master[[#This Row],[Cell_ID]],Registre_Maintenance[],5,FALSE),"")</f>
        <v>5G</v>
      </c>
      <c r="L51" t="str">
        <f>IFERROR(VLOOKUP(Master[[#This Row],[Cell_ID]],Registre_Maintenance[],6,FALSE),"")</f>
        <v>Ericsson</v>
      </c>
      <c r="M51" s="1" t="str">
        <f>VLOOKUP(Master[[#This Row],[Province_RDC]],Client[],2,FALSE)</f>
        <v>CLI-00076</v>
      </c>
      <c r="N51" s="1">
        <f>VLOOKUP(Master[[#This Row],[Province_RDC]],Client[],3,FALSE)</f>
        <v>46</v>
      </c>
      <c r="O51" s="1" t="str">
        <f>VLOOKUP(Master[[#This Row],[Province_RDC]],Client[],4,FALSE)</f>
        <v>Premium 5G 150Go</v>
      </c>
      <c r="P51" s="1">
        <f>VLOOKUP(Master[[#This Row],[Province_RDC]],Client[],5,FALSE)</f>
        <v>283</v>
      </c>
      <c r="Q51" s="1">
        <f>VLOOKUP(Master[[#This Row],[Province_RDC]],Client[],6,FALSE)</f>
        <v>56.05</v>
      </c>
      <c r="R51" s="1">
        <f>VLOOKUP(Master[[#This Row],[Province_RDC]],Client[],7,FALSE)</f>
        <v>1</v>
      </c>
      <c r="S51" s="1" t="str">
        <f>IF(Master[[#This Row],[Type_Forfait]]="Pro Monde","B2B","B2C")</f>
        <v>B2C</v>
      </c>
      <c r="T51" s="1">
        <f>Master[[#This Row],[Anciennete_Mois]]/12</f>
        <v>3.8333333333333335</v>
      </c>
      <c r="U51" s="1">
        <f>Master[[#This Row],[Duree_Cumule_Panne_Min]]/60</f>
        <v>4.7166666666666668</v>
      </c>
      <c r="V5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1" s="6">
        <f>Master[[#This Row],[Facture_Mensuelle]]*Master[[#This Row],[Remise]]</f>
        <v>25.2225</v>
      </c>
    </row>
    <row r="52" spans="1:24" x14ac:dyDescent="0.25">
      <c r="A52" s="1" t="s">
        <v>1086</v>
      </c>
      <c r="B52" t="str">
        <f>IFERROR(VLOOKUP(Master[[#This Row],[Cell_ID]],Registre_Maintenance[],2,FALSE),"")</f>
        <v>Sud-Ubangi</v>
      </c>
      <c r="C52" s="1" t="s">
        <v>1092</v>
      </c>
      <c r="D52" s="2">
        <v>45225.625694444447</v>
      </c>
      <c r="E52" s="3">
        <v>45225.625694444447</v>
      </c>
      <c r="F52">
        <v>108</v>
      </c>
      <c r="G52">
        <f>Master[[#This Row],[Duree_Panne_Min]]/60</f>
        <v>1.8</v>
      </c>
      <c r="H52" s="1" t="s">
        <v>737</v>
      </c>
      <c r="I52">
        <f>IFERROR(VLOOKUP(Master[[#This Row],[Cell_ID]],Registre_Maintenance[],3,FALSE),"")</f>
        <v>-10.611184</v>
      </c>
      <c r="J52">
        <f>IFERROR(VLOOKUP(Master[[#This Row],[Cell_ID]],Registre_Maintenance[],4,FALSE),"")</f>
        <v>23.022268</v>
      </c>
      <c r="K52" t="str">
        <f>IFERROR(VLOOKUP(Master[[#This Row],[Cell_ID]],Registre_Maintenance[],5,FALSE),"")</f>
        <v>5G</v>
      </c>
      <c r="L52" t="str">
        <f>IFERROR(VLOOKUP(Master[[#This Row],[Cell_ID]],Registre_Maintenance[],6,FALSE),"")</f>
        <v>ZTE</v>
      </c>
      <c r="M52" s="1" t="str">
        <f>VLOOKUP(Master[[#This Row],[Province_RDC]],Client[],2,FALSE)</f>
        <v>CLI-00280</v>
      </c>
      <c r="N52" s="1">
        <f>VLOOKUP(Master[[#This Row],[Province_RDC]],Client[],3,FALSE)</f>
        <v>113</v>
      </c>
      <c r="O52" s="1" t="str">
        <f>VLOOKUP(Master[[#This Row],[Province_RDC]],Client[],4,FALSE)</f>
        <v>Illimité 50Go</v>
      </c>
      <c r="P52" s="1">
        <f>VLOOKUP(Master[[#This Row],[Province_RDC]],Client[],5,FALSE)</f>
        <v>380</v>
      </c>
      <c r="Q52" s="1">
        <f>VLOOKUP(Master[[#This Row],[Province_RDC]],Client[],6,FALSE)</f>
        <v>12.11</v>
      </c>
      <c r="R52" s="1">
        <f>VLOOKUP(Master[[#This Row],[Province_RDC]],Client[],7,FALSE)</f>
        <v>0</v>
      </c>
      <c r="S52" s="1" t="str">
        <f>IF(Master[[#This Row],[Type_Forfait]]="Pro Monde","B2B","B2C")</f>
        <v>B2C</v>
      </c>
      <c r="T52" s="1">
        <f>Master[[#This Row],[Anciennete_Mois]]/12</f>
        <v>9.4166666666666661</v>
      </c>
      <c r="U52" s="1">
        <f>Master[[#This Row],[Duree_Cumule_Panne_Min]]/60</f>
        <v>6.333333333333333</v>
      </c>
      <c r="V5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2" s="6">
        <f>Master[[#This Row],[Facture_Mensuelle]]*Master[[#This Row],[Remise]]</f>
        <v>5.4494999999999996</v>
      </c>
    </row>
    <row r="53" spans="1:24" x14ac:dyDescent="0.25">
      <c r="A53" s="1" t="s">
        <v>1024</v>
      </c>
      <c r="B53" t="str">
        <f>IFERROR(VLOOKUP(Master[[#This Row],[Cell_ID]],Registre_Maintenance[],2,FALSE),"")</f>
        <v>Mongala</v>
      </c>
      <c r="C53" s="1" t="s">
        <v>1041</v>
      </c>
      <c r="D53" s="2">
        <v>45217.89166666667</v>
      </c>
      <c r="E53" s="3">
        <v>45217.89166666667</v>
      </c>
      <c r="F53">
        <v>108</v>
      </c>
      <c r="G53">
        <f>Master[[#This Row],[Duree_Panne_Min]]/60</f>
        <v>1.8</v>
      </c>
      <c r="H53" s="1" t="s">
        <v>737</v>
      </c>
      <c r="I53">
        <f>IFERROR(VLOOKUP(Master[[#This Row],[Cell_ID]],Registre_Maintenance[],3,FALSE),"")</f>
        <v>-5.3762689999999997</v>
      </c>
      <c r="J53">
        <f>IFERROR(VLOOKUP(Master[[#This Row],[Cell_ID]],Registre_Maintenance[],4,FALSE),"")</f>
        <v>28.189575999999999</v>
      </c>
      <c r="K53" t="str">
        <f>IFERROR(VLOOKUP(Master[[#This Row],[Cell_ID]],Registre_Maintenance[],5,FALSE),"")</f>
        <v>5G</v>
      </c>
      <c r="L53" t="str">
        <f>IFERROR(VLOOKUP(Master[[#This Row],[Cell_ID]],Registre_Maintenance[],6,FALSE),"")</f>
        <v>Huawei</v>
      </c>
      <c r="M53" s="1" t="str">
        <f>VLOOKUP(Master[[#This Row],[Province_RDC]],Client[],2,FALSE)</f>
        <v>CLI-00865</v>
      </c>
      <c r="N53" s="1">
        <f>VLOOKUP(Master[[#This Row],[Province_RDC]],Client[],3,FALSE)</f>
        <v>34</v>
      </c>
      <c r="O53" s="1" t="str">
        <f>VLOOKUP(Master[[#This Row],[Province_RDC]],Client[],4,FALSE)</f>
        <v>Pro Monde</v>
      </c>
      <c r="P53" s="1">
        <f>VLOOKUP(Master[[#This Row],[Province_RDC]],Client[],5,FALSE)</f>
        <v>453</v>
      </c>
      <c r="Q53" s="1">
        <f>VLOOKUP(Master[[#This Row],[Province_RDC]],Client[],6,FALSE)</f>
        <v>56.84</v>
      </c>
      <c r="R53" s="1">
        <f>VLOOKUP(Master[[#This Row],[Province_RDC]],Client[],7,FALSE)</f>
        <v>0</v>
      </c>
      <c r="S53" s="1" t="str">
        <f>IF(Master[[#This Row],[Type_Forfait]]="Pro Monde","B2B","B2C")</f>
        <v>B2B</v>
      </c>
      <c r="T53" s="1">
        <f>Master[[#This Row],[Anciennete_Mois]]/12</f>
        <v>2.8333333333333335</v>
      </c>
      <c r="U53" s="1">
        <f>Master[[#This Row],[Duree_Cumule_Panne_Min]]/60</f>
        <v>7.55</v>
      </c>
      <c r="V5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3" s="6">
        <f>Master[[#This Row],[Facture_Mensuelle]]*Master[[#This Row],[Remise]]</f>
        <v>25.578000000000003</v>
      </c>
    </row>
    <row r="54" spans="1:24" x14ac:dyDescent="0.25">
      <c r="A54" s="1" t="s">
        <v>1288</v>
      </c>
      <c r="B54" t="str">
        <f>IFERROR(VLOOKUP(Master[[#This Row],[Cell_ID]],Registre_Maintenance[],2,FALSE),"")</f>
        <v>Mongala</v>
      </c>
      <c r="C54" s="1" t="s">
        <v>1173</v>
      </c>
      <c r="D54" s="2">
        <v>45214.160416666673</v>
      </c>
      <c r="E54" s="3">
        <v>45214.160416666673</v>
      </c>
      <c r="F54">
        <v>108</v>
      </c>
      <c r="G54">
        <f>Master[[#This Row],[Duree_Panne_Min]]/60</f>
        <v>1.8</v>
      </c>
      <c r="H54" s="1" t="s">
        <v>737</v>
      </c>
      <c r="I54">
        <f>IFERROR(VLOOKUP(Master[[#This Row],[Cell_ID]],Registre_Maintenance[],3,FALSE),"")</f>
        <v>-11.407966</v>
      </c>
      <c r="J54">
        <f>IFERROR(VLOOKUP(Master[[#This Row],[Cell_ID]],Registre_Maintenance[],4,FALSE),"")</f>
        <v>28.378274000000001</v>
      </c>
      <c r="K54" t="str">
        <f>IFERROR(VLOOKUP(Master[[#This Row],[Cell_ID]],Registre_Maintenance[],5,FALSE),"")</f>
        <v>4G</v>
      </c>
      <c r="L54" t="str">
        <f>IFERROR(VLOOKUP(Master[[#This Row],[Cell_ID]],Registre_Maintenance[],6,FALSE),"")</f>
        <v>ZTE</v>
      </c>
      <c r="M54" s="1" t="str">
        <f>VLOOKUP(Master[[#This Row],[Province_RDC]],Client[],2,FALSE)</f>
        <v>CLI-00865</v>
      </c>
      <c r="N54" s="1">
        <f>VLOOKUP(Master[[#This Row],[Province_RDC]],Client[],3,FALSE)</f>
        <v>34</v>
      </c>
      <c r="O54" s="1" t="str">
        <f>VLOOKUP(Master[[#This Row],[Province_RDC]],Client[],4,FALSE)</f>
        <v>Pro Monde</v>
      </c>
      <c r="P54" s="1">
        <f>VLOOKUP(Master[[#This Row],[Province_RDC]],Client[],5,FALSE)</f>
        <v>453</v>
      </c>
      <c r="Q54" s="1">
        <f>VLOOKUP(Master[[#This Row],[Province_RDC]],Client[],6,FALSE)</f>
        <v>56.84</v>
      </c>
      <c r="R54" s="1">
        <f>VLOOKUP(Master[[#This Row],[Province_RDC]],Client[],7,FALSE)</f>
        <v>0</v>
      </c>
      <c r="S54" s="1" t="str">
        <f>IF(Master[[#This Row],[Type_Forfait]]="Pro Monde","B2B","B2C")</f>
        <v>B2B</v>
      </c>
      <c r="T54" s="1">
        <f>Master[[#This Row],[Anciennete_Mois]]/12</f>
        <v>2.8333333333333335</v>
      </c>
      <c r="U54" s="1">
        <f>Master[[#This Row],[Duree_Cumule_Panne_Min]]/60</f>
        <v>7.55</v>
      </c>
      <c r="V5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4" s="6">
        <f>Master[[#This Row],[Facture_Mensuelle]]*Master[[#This Row],[Remise]]</f>
        <v>25.578000000000003</v>
      </c>
    </row>
    <row r="55" spans="1:24" x14ac:dyDescent="0.25">
      <c r="A55" s="1" t="s">
        <v>861</v>
      </c>
      <c r="B55" t="str">
        <f>IFERROR(VLOOKUP(Master[[#This Row],[Cell_ID]],Registre_Maintenance[],2,FALSE),"")</f>
        <v>Kwilu</v>
      </c>
      <c r="C55" s="1" t="s">
        <v>869</v>
      </c>
      <c r="D55" s="2">
        <v>45204.59097222222</v>
      </c>
      <c r="E55" s="3">
        <v>45204.59097222222</v>
      </c>
      <c r="F55">
        <v>108</v>
      </c>
      <c r="G55">
        <f>Master[[#This Row],[Duree_Panne_Min]]/60</f>
        <v>1.8</v>
      </c>
      <c r="H55" s="1" t="s">
        <v>735</v>
      </c>
      <c r="I55">
        <f>IFERROR(VLOOKUP(Master[[#This Row],[Cell_ID]],Registre_Maintenance[],3,FALSE),"")</f>
        <v>-8.5675749999999997</v>
      </c>
      <c r="J55">
        <f>IFERROR(VLOOKUP(Master[[#This Row],[Cell_ID]],Registre_Maintenance[],4,FALSE),"")</f>
        <v>26.994581</v>
      </c>
      <c r="K55" t="str">
        <f>IFERROR(VLOOKUP(Master[[#This Row],[Cell_ID]],Registre_Maintenance[],5,FALSE),"")</f>
        <v>3G</v>
      </c>
      <c r="L55" t="str">
        <f>IFERROR(VLOOKUP(Master[[#This Row],[Cell_ID]],Registre_Maintenance[],6,FALSE),"")</f>
        <v>Nokia</v>
      </c>
      <c r="M55" s="1" t="str">
        <f>VLOOKUP(Master[[#This Row],[Province_RDC]],Client[],2,FALSE)</f>
        <v>CLI-00996</v>
      </c>
      <c r="N55" s="1">
        <f>VLOOKUP(Master[[#This Row],[Province_RDC]],Client[],3,FALSE)</f>
        <v>119</v>
      </c>
      <c r="O55" s="1" t="str">
        <f>VLOOKUP(Master[[#This Row],[Province_RDC]],Client[],4,FALSE)</f>
        <v>Illimité 50Go</v>
      </c>
      <c r="P55" s="1">
        <f>VLOOKUP(Master[[#This Row],[Province_RDC]],Client[],5,FALSE)</f>
        <v>228</v>
      </c>
      <c r="Q55" s="1">
        <f>VLOOKUP(Master[[#This Row],[Province_RDC]],Client[],6,FALSE)</f>
        <v>94.72</v>
      </c>
      <c r="R55" s="1">
        <f>VLOOKUP(Master[[#This Row],[Province_RDC]],Client[],7,FALSE)</f>
        <v>3</v>
      </c>
      <c r="S55" s="1" t="str">
        <f>IF(Master[[#This Row],[Type_Forfait]]="Pro Monde","B2B","B2C")</f>
        <v>B2C</v>
      </c>
      <c r="T55" s="1">
        <f>Master[[#This Row],[Anciennete_Mois]]/12</f>
        <v>9.9166666666666661</v>
      </c>
      <c r="U55" s="1">
        <f>Master[[#This Row],[Duree_Cumule_Panne_Min]]/60</f>
        <v>3.8</v>
      </c>
      <c r="V5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5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55" s="6">
        <f>Master[[#This Row],[Facture_Mensuelle]]*Master[[#This Row],[Remise]]</f>
        <v>0</v>
      </c>
    </row>
    <row r="56" spans="1:24" x14ac:dyDescent="0.25">
      <c r="A56" s="1" t="s">
        <v>1288</v>
      </c>
      <c r="B56" t="str">
        <f>IFERROR(VLOOKUP(Master[[#This Row],[Cell_ID]],Registre_Maintenance[],2,FALSE),"")</f>
        <v>Kinshasa</v>
      </c>
      <c r="C56" s="1" t="s">
        <v>1293</v>
      </c>
      <c r="D56" s="2">
        <v>45206.515972222223</v>
      </c>
      <c r="E56" s="3">
        <v>45206.515972222223</v>
      </c>
      <c r="F56">
        <v>108</v>
      </c>
      <c r="G56">
        <f>Master[[#This Row],[Duree_Panne_Min]]/60</f>
        <v>1.8</v>
      </c>
      <c r="H56" s="1" t="s">
        <v>732</v>
      </c>
      <c r="I56">
        <f>IFERROR(VLOOKUP(Master[[#This Row],[Cell_ID]],Registre_Maintenance[],3,FALSE),"")</f>
        <v>-10.227569000000001</v>
      </c>
      <c r="J56">
        <f>IFERROR(VLOOKUP(Master[[#This Row],[Cell_ID]],Registre_Maintenance[],4,FALSE),"")</f>
        <v>18.887930999999998</v>
      </c>
      <c r="K56" t="str">
        <f>IFERROR(VLOOKUP(Master[[#This Row],[Cell_ID]],Registre_Maintenance[],5,FALSE),"")</f>
        <v>3G</v>
      </c>
      <c r="L56" t="str">
        <f>IFERROR(VLOOKUP(Master[[#This Row],[Cell_ID]],Registre_Maintenance[],6,FALSE),"")</f>
        <v>ZTE</v>
      </c>
      <c r="M56" s="1" t="str">
        <f>VLOOKUP(Master[[#This Row],[Province_RDC]],Client[],2,FALSE)</f>
        <v>CLI-00611</v>
      </c>
      <c r="N56" s="1">
        <f>VLOOKUP(Master[[#This Row],[Province_RDC]],Client[],3,FALSE)</f>
        <v>79</v>
      </c>
      <c r="O56" s="1" t="str">
        <f>VLOOKUP(Master[[#This Row],[Province_RDC]],Client[],4,FALSE)</f>
        <v>Premium 5G 150Go</v>
      </c>
      <c r="P56" s="1">
        <f>VLOOKUP(Master[[#This Row],[Province_RDC]],Client[],5,FALSE)</f>
        <v>226</v>
      </c>
      <c r="Q56" s="1">
        <f>VLOOKUP(Master[[#This Row],[Province_RDC]],Client[],6,FALSE)</f>
        <v>94.38</v>
      </c>
      <c r="R56" s="1">
        <f>VLOOKUP(Master[[#This Row],[Province_RDC]],Client[],7,FALSE)</f>
        <v>3</v>
      </c>
      <c r="S56" s="1" t="str">
        <f>IF(Master[[#This Row],[Type_Forfait]]="Pro Monde","B2B","B2C")</f>
        <v>B2C</v>
      </c>
      <c r="T56" s="1">
        <f>Master[[#This Row],[Anciennete_Mois]]/12</f>
        <v>6.583333333333333</v>
      </c>
      <c r="U56" s="1">
        <f>Master[[#This Row],[Duree_Cumule_Panne_Min]]/60</f>
        <v>3.7666666666666666</v>
      </c>
      <c r="V5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56" s="6">
        <f>Master[[#This Row],[Facture_Mensuelle]]*Master[[#This Row],[Remise]]</f>
        <v>0</v>
      </c>
    </row>
    <row r="57" spans="1:24" x14ac:dyDescent="0.25">
      <c r="A57" s="1" t="s">
        <v>1288</v>
      </c>
      <c r="B57" t="str">
        <f>IFERROR(VLOOKUP(Master[[#This Row],[Cell_ID]],Registre_Maintenance[],2,FALSE),"")</f>
        <v>Tshopo</v>
      </c>
      <c r="C57" s="1" t="s">
        <v>1303</v>
      </c>
      <c r="D57" s="2">
        <v>45220.677083333343</v>
      </c>
      <c r="E57" s="3">
        <v>45220.677083333343</v>
      </c>
      <c r="F57">
        <v>107</v>
      </c>
      <c r="G57">
        <f>Master[[#This Row],[Duree_Panne_Min]]/60</f>
        <v>1.7833333333333334</v>
      </c>
      <c r="H57" s="1" t="s">
        <v>737</v>
      </c>
      <c r="I57">
        <f>IFERROR(VLOOKUP(Master[[#This Row],[Cell_ID]],Registre_Maintenance[],3,FALSE),"")</f>
        <v>-6.4670189999999996</v>
      </c>
      <c r="J57">
        <f>IFERROR(VLOOKUP(Master[[#This Row],[Cell_ID]],Registre_Maintenance[],4,FALSE),"")</f>
        <v>29.487309</v>
      </c>
      <c r="K57" t="str">
        <f>IFERROR(VLOOKUP(Master[[#This Row],[Cell_ID]],Registre_Maintenance[],5,FALSE),"")</f>
        <v>4G</v>
      </c>
      <c r="L57" t="str">
        <f>IFERROR(VLOOKUP(Master[[#This Row],[Cell_ID]],Registre_Maintenance[],6,FALSE),"")</f>
        <v>ZTE</v>
      </c>
      <c r="M57" s="1" t="str">
        <f>VLOOKUP(Master[[#This Row],[Province_RDC]],Client[],2,FALSE)</f>
        <v>CLI-00745</v>
      </c>
      <c r="N57" s="1">
        <f>VLOOKUP(Master[[#This Row],[Province_RDC]],Client[],3,FALSE)</f>
        <v>6</v>
      </c>
      <c r="O57" s="1" t="str">
        <f>VLOOKUP(Master[[#This Row],[Province_RDC]],Client[],4,FALSE)</f>
        <v>Premium 5G 150Go</v>
      </c>
      <c r="P57" s="1">
        <f>VLOOKUP(Master[[#This Row],[Province_RDC]],Client[],5,FALSE)</f>
        <v>207</v>
      </c>
      <c r="Q57" s="1">
        <f>VLOOKUP(Master[[#This Row],[Province_RDC]],Client[],6,FALSE)</f>
        <v>61.55</v>
      </c>
      <c r="R57" s="1">
        <f>VLOOKUP(Master[[#This Row],[Province_RDC]],Client[],7,FALSE)</f>
        <v>0</v>
      </c>
      <c r="S57" s="1" t="str">
        <f>IF(Master[[#This Row],[Type_Forfait]]="Pro Monde","B2B","B2C")</f>
        <v>B2C</v>
      </c>
      <c r="T57" s="1">
        <f>Master[[#This Row],[Anciennete_Mois]]/12</f>
        <v>0.5</v>
      </c>
      <c r="U57" s="1">
        <f>Master[[#This Row],[Duree_Cumule_Panne_Min]]/60</f>
        <v>3.45</v>
      </c>
      <c r="V5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57" s="6">
        <f>Master[[#This Row],[Facture_Mensuelle]]*Master[[#This Row],[Remise]]</f>
        <v>0</v>
      </c>
    </row>
    <row r="58" spans="1:24" x14ac:dyDescent="0.25">
      <c r="A58" s="1" t="s">
        <v>1361</v>
      </c>
      <c r="B58" t="str">
        <f>IFERROR(VLOOKUP(Master[[#This Row],[Cell_ID]],Registre_Maintenance[],2,FALSE),"")</f>
        <v>Mai-Ndombe</v>
      </c>
      <c r="C58" s="1" t="s">
        <v>917</v>
      </c>
      <c r="D58" s="2">
        <v>45224.98333333333</v>
      </c>
      <c r="E58" s="3">
        <v>45224.98333333333</v>
      </c>
      <c r="F58">
        <v>107</v>
      </c>
      <c r="G58">
        <f>Master[[#This Row],[Duree_Panne_Min]]/60</f>
        <v>1.7833333333333334</v>
      </c>
      <c r="H58" s="1" t="s">
        <v>737</v>
      </c>
      <c r="I58">
        <f>IFERROR(VLOOKUP(Master[[#This Row],[Cell_ID]],Registre_Maintenance[],3,FALSE),"")</f>
        <v>-9.3652280000000001</v>
      </c>
      <c r="J58">
        <f>IFERROR(VLOOKUP(Master[[#This Row],[Cell_ID]],Registre_Maintenance[],4,FALSE),"")</f>
        <v>18.674116000000001</v>
      </c>
      <c r="K58" t="str">
        <f>IFERROR(VLOOKUP(Master[[#This Row],[Cell_ID]],Registre_Maintenance[],5,FALSE),"")</f>
        <v>4G</v>
      </c>
      <c r="L58" t="str">
        <f>IFERROR(VLOOKUP(Master[[#This Row],[Cell_ID]],Registre_Maintenance[],6,FALSE),"")</f>
        <v>Huawei</v>
      </c>
      <c r="M58" s="1" t="str">
        <f>VLOOKUP(Master[[#This Row],[Province_RDC]],Client[],2,FALSE)</f>
        <v>CLI-00361</v>
      </c>
      <c r="N58" s="1">
        <f>VLOOKUP(Master[[#This Row],[Province_RDC]],Client[],3,FALSE)</f>
        <v>66</v>
      </c>
      <c r="O58" s="1" t="str">
        <f>VLOOKUP(Master[[#This Row],[Province_RDC]],Client[],4,FALSE)</f>
        <v>Illimité 50Go</v>
      </c>
      <c r="P58" s="1">
        <f>VLOOKUP(Master[[#This Row],[Province_RDC]],Client[],5,FALSE)</f>
        <v>270</v>
      </c>
      <c r="Q58" s="1">
        <f>VLOOKUP(Master[[#This Row],[Province_RDC]],Client[],6,FALSE)</f>
        <v>75.88</v>
      </c>
      <c r="R58" s="1">
        <f>VLOOKUP(Master[[#This Row],[Province_RDC]],Client[],7,FALSE)</f>
        <v>3</v>
      </c>
      <c r="S58" s="1" t="str">
        <f>IF(Master[[#This Row],[Type_Forfait]]="Pro Monde","B2B","B2C")</f>
        <v>B2C</v>
      </c>
      <c r="T58" s="1">
        <f>Master[[#This Row],[Anciennete_Mois]]/12</f>
        <v>5.5</v>
      </c>
      <c r="U58" s="1">
        <f>Master[[#This Row],[Duree_Cumule_Panne_Min]]/60</f>
        <v>4.5</v>
      </c>
      <c r="V5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8" s="6">
        <f>Master[[#This Row],[Facture_Mensuelle]]*Master[[#This Row],[Remise]]</f>
        <v>34.146000000000001</v>
      </c>
    </row>
    <row r="59" spans="1:24" x14ac:dyDescent="0.25">
      <c r="A59" s="1" t="s">
        <v>1330</v>
      </c>
      <c r="B59" t="str">
        <f>IFERROR(VLOOKUP(Master[[#This Row],[Cell_ID]],Registre_Maintenance[],2,FALSE),"")</f>
        <v>Kongo-Central</v>
      </c>
      <c r="C59" s="1" t="s">
        <v>975</v>
      </c>
      <c r="D59" s="2">
        <v>45215.704861111109</v>
      </c>
      <c r="E59" s="3">
        <v>45215.704861111109</v>
      </c>
      <c r="F59">
        <v>107</v>
      </c>
      <c r="G59">
        <f>Master[[#This Row],[Duree_Panne_Min]]/60</f>
        <v>1.7833333333333334</v>
      </c>
      <c r="H59" s="1" t="s">
        <v>732</v>
      </c>
      <c r="I59">
        <f>IFERROR(VLOOKUP(Master[[#This Row],[Cell_ID]],Registre_Maintenance[],3,FALSE),"")</f>
        <v>-12.564277000000001</v>
      </c>
      <c r="J59">
        <f>IFERROR(VLOOKUP(Master[[#This Row],[Cell_ID]],Registre_Maintenance[],4,FALSE),"")</f>
        <v>28.480798</v>
      </c>
      <c r="K59" t="str">
        <f>IFERROR(VLOOKUP(Master[[#This Row],[Cell_ID]],Registre_Maintenance[],5,FALSE),"")</f>
        <v>5G</v>
      </c>
      <c r="L59" t="str">
        <f>IFERROR(VLOOKUP(Master[[#This Row],[Cell_ID]],Registre_Maintenance[],6,FALSE),"")</f>
        <v>ZTE</v>
      </c>
      <c r="M59" s="1" t="str">
        <f>VLOOKUP(Master[[#This Row],[Province_RDC]],Client[],2,FALSE)</f>
        <v>CLI-01233</v>
      </c>
      <c r="N59" s="1">
        <f>VLOOKUP(Master[[#This Row],[Province_RDC]],Client[],3,FALSE)</f>
        <v>101</v>
      </c>
      <c r="O59" s="1" t="str">
        <f>VLOOKUP(Master[[#This Row],[Province_RDC]],Client[],4,FALSE)</f>
        <v>Pro Monde</v>
      </c>
      <c r="P59" s="1">
        <f>VLOOKUP(Master[[#This Row],[Province_RDC]],Client[],5,FALSE)</f>
        <v>333</v>
      </c>
      <c r="Q59" s="1">
        <f>VLOOKUP(Master[[#This Row],[Province_RDC]],Client[],6,FALSE)</f>
        <v>74.319999999999993</v>
      </c>
      <c r="R59" s="1">
        <f>VLOOKUP(Master[[#This Row],[Province_RDC]],Client[],7,FALSE)</f>
        <v>1</v>
      </c>
      <c r="S59" s="1" t="str">
        <f>IF(Master[[#This Row],[Type_Forfait]]="Pro Monde","B2B","B2C")</f>
        <v>B2B</v>
      </c>
      <c r="T59" s="1">
        <f>Master[[#This Row],[Anciennete_Mois]]/12</f>
        <v>8.4166666666666661</v>
      </c>
      <c r="U59" s="1">
        <f>Master[[#This Row],[Duree_Cumule_Panne_Min]]/60</f>
        <v>5.55</v>
      </c>
      <c r="V5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5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59" s="6">
        <f>Master[[#This Row],[Facture_Mensuelle]]*Master[[#This Row],[Remise]]</f>
        <v>33.443999999999996</v>
      </c>
    </row>
    <row r="60" spans="1:24" x14ac:dyDescent="0.25">
      <c r="A60" s="1" t="s">
        <v>1382</v>
      </c>
      <c r="B60" t="str">
        <f>IFERROR(VLOOKUP(Master[[#This Row],[Cell_ID]],Registre_Maintenance[],2,FALSE),"")</f>
        <v>Kasai-Central</v>
      </c>
      <c r="C60" s="1" t="s">
        <v>909</v>
      </c>
      <c r="D60" s="2">
        <v>45221.772222222222</v>
      </c>
      <c r="E60" s="3">
        <v>45221.772222222222</v>
      </c>
      <c r="F60">
        <v>107</v>
      </c>
      <c r="G60">
        <f>Master[[#This Row],[Duree_Panne_Min]]/60</f>
        <v>1.7833333333333334</v>
      </c>
      <c r="H60" s="1" t="s">
        <v>732</v>
      </c>
      <c r="I60">
        <f>IFERROR(VLOOKUP(Master[[#This Row],[Cell_ID]],Registre_Maintenance[],3,FALSE),"")</f>
        <v>-4.4451280000000004</v>
      </c>
      <c r="J60">
        <f>IFERROR(VLOOKUP(Master[[#This Row],[Cell_ID]],Registre_Maintenance[],4,FALSE),"")</f>
        <v>16.536944999999999</v>
      </c>
      <c r="K60" t="str">
        <f>IFERROR(VLOOKUP(Master[[#This Row],[Cell_ID]],Registre_Maintenance[],5,FALSE),"")</f>
        <v>4G</v>
      </c>
      <c r="L60" t="str">
        <f>IFERROR(VLOOKUP(Master[[#This Row],[Cell_ID]],Registre_Maintenance[],6,FALSE),"")</f>
        <v>Ericsson</v>
      </c>
      <c r="M60" s="1" t="str">
        <f>VLOOKUP(Master[[#This Row],[Province_RDC]],Client[],2,FALSE)</f>
        <v>CLI-00060</v>
      </c>
      <c r="N60" s="1">
        <f>VLOOKUP(Master[[#This Row],[Province_RDC]],Client[],3,FALSE)</f>
        <v>72</v>
      </c>
      <c r="O60" s="1" t="str">
        <f>VLOOKUP(Master[[#This Row],[Province_RDC]],Client[],4,FALSE)</f>
        <v>Pro Monde</v>
      </c>
      <c r="P60" s="1">
        <f>VLOOKUP(Master[[#This Row],[Province_RDC]],Client[],5,FALSE)</f>
        <v>160</v>
      </c>
      <c r="Q60" s="1">
        <f>VLOOKUP(Master[[#This Row],[Province_RDC]],Client[],6,FALSE)</f>
        <v>90.13</v>
      </c>
      <c r="R60" s="1">
        <f>VLOOKUP(Master[[#This Row],[Province_RDC]],Client[],7,FALSE)</f>
        <v>2</v>
      </c>
      <c r="S60" s="1" t="str">
        <f>IF(Master[[#This Row],[Type_Forfait]]="Pro Monde","B2B","B2C")</f>
        <v>B2B</v>
      </c>
      <c r="T60" s="1">
        <f>Master[[#This Row],[Anciennete_Mois]]/12</f>
        <v>6</v>
      </c>
      <c r="U60" s="1">
        <f>Master[[#This Row],[Duree_Cumule_Panne_Min]]/60</f>
        <v>2.6666666666666665</v>
      </c>
      <c r="V6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6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60" s="6">
        <f>Master[[#This Row],[Facture_Mensuelle]]*Master[[#This Row],[Remise]]</f>
        <v>9.0129999999999999</v>
      </c>
    </row>
    <row r="61" spans="1:24" x14ac:dyDescent="0.25">
      <c r="A61" s="1" t="s">
        <v>1114</v>
      </c>
      <c r="B61" t="str">
        <f>IFERROR(VLOOKUP(Master[[#This Row],[Cell_ID]],Registre_Maintenance[],2,FALSE),"")</f>
        <v>Equateur</v>
      </c>
      <c r="C61" s="1" t="s">
        <v>1124</v>
      </c>
      <c r="D61" s="2">
        <v>45224.775000000001</v>
      </c>
      <c r="E61" s="3">
        <v>45224.775000000001</v>
      </c>
      <c r="F61">
        <v>107</v>
      </c>
      <c r="G61">
        <f>Master[[#This Row],[Duree_Panne_Min]]/60</f>
        <v>1.7833333333333334</v>
      </c>
      <c r="H61" s="1" t="s">
        <v>737</v>
      </c>
      <c r="I61">
        <f>IFERROR(VLOOKUP(Master[[#This Row],[Cell_ID]],Registre_Maintenance[],3,FALSE),"")</f>
        <v>-5.7200150000000001</v>
      </c>
      <c r="J61">
        <f>IFERROR(VLOOKUP(Master[[#This Row],[Cell_ID]],Registre_Maintenance[],4,FALSE),"")</f>
        <v>25.022109</v>
      </c>
      <c r="K61" t="str">
        <f>IFERROR(VLOOKUP(Master[[#This Row],[Cell_ID]],Registre_Maintenance[],5,FALSE),"")</f>
        <v>5G</v>
      </c>
      <c r="L61" t="str">
        <f>IFERROR(VLOOKUP(Master[[#This Row],[Cell_ID]],Registre_Maintenance[],6,FALSE),"")</f>
        <v>ZTE</v>
      </c>
      <c r="M61" s="1" t="str">
        <f>VLOOKUP(Master[[#This Row],[Province_RDC]],Client[],2,FALSE)</f>
        <v>CLI-00643</v>
      </c>
      <c r="N61" s="1">
        <f>VLOOKUP(Master[[#This Row],[Province_RDC]],Client[],3,FALSE)</f>
        <v>14</v>
      </c>
      <c r="O61" s="1" t="str">
        <f>VLOOKUP(Master[[#This Row],[Province_RDC]],Client[],4,FALSE)</f>
        <v>Pro Monde</v>
      </c>
      <c r="P61" s="1">
        <f>VLOOKUP(Master[[#This Row],[Province_RDC]],Client[],5,FALSE)</f>
        <v>316</v>
      </c>
      <c r="Q61" s="1">
        <f>VLOOKUP(Master[[#This Row],[Province_RDC]],Client[],6,FALSE)</f>
        <v>62.34</v>
      </c>
      <c r="R61" s="1">
        <f>VLOOKUP(Master[[#This Row],[Province_RDC]],Client[],7,FALSE)</f>
        <v>4</v>
      </c>
      <c r="S61" s="1" t="str">
        <f>IF(Master[[#This Row],[Type_Forfait]]="Pro Monde","B2B","B2C")</f>
        <v>B2B</v>
      </c>
      <c r="T61" s="1">
        <f>Master[[#This Row],[Anciennete_Mois]]/12</f>
        <v>1.1666666666666667</v>
      </c>
      <c r="U61" s="1">
        <f>Master[[#This Row],[Duree_Cumule_Panne_Min]]/60</f>
        <v>5.2666666666666666</v>
      </c>
      <c r="V6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1" s="6">
        <f>Master[[#This Row],[Facture_Mensuelle]]*Master[[#This Row],[Remise]]</f>
        <v>28.053000000000001</v>
      </c>
    </row>
    <row r="62" spans="1:24" x14ac:dyDescent="0.25">
      <c r="A62" s="1" t="s">
        <v>823</v>
      </c>
      <c r="B62" t="str">
        <f>IFERROR(VLOOKUP(Master[[#This Row],[Cell_ID]],Registre_Maintenance[],2,FALSE),"")</f>
        <v>Equateur</v>
      </c>
      <c r="C62" s="1" t="s">
        <v>857</v>
      </c>
      <c r="D62" s="2">
        <v>45209.32708333333</v>
      </c>
      <c r="E62" s="3">
        <v>45209.32708333333</v>
      </c>
      <c r="F62">
        <v>107</v>
      </c>
      <c r="G62">
        <f>Master[[#This Row],[Duree_Panne_Min]]/60</f>
        <v>1.7833333333333334</v>
      </c>
      <c r="H62" s="1" t="s">
        <v>735</v>
      </c>
      <c r="I62">
        <f>IFERROR(VLOOKUP(Master[[#This Row],[Cell_ID]],Registre_Maintenance[],3,FALSE),"")</f>
        <v>-5.0402180000000003</v>
      </c>
      <c r="J62">
        <f>IFERROR(VLOOKUP(Master[[#This Row],[Cell_ID]],Registre_Maintenance[],4,FALSE),"")</f>
        <v>13.892471</v>
      </c>
      <c r="K62" t="str">
        <f>IFERROR(VLOOKUP(Master[[#This Row],[Cell_ID]],Registre_Maintenance[],5,FALSE),"")</f>
        <v>3G</v>
      </c>
      <c r="L62" t="str">
        <f>IFERROR(VLOOKUP(Master[[#This Row],[Cell_ID]],Registre_Maintenance[],6,FALSE),"")</f>
        <v>ZTE</v>
      </c>
      <c r="M62" s="1" t="str">
        <f>VLOOKUP(Master[[#This Row],[Province_RDC]],Client[],2,FALSE)</f>
        <v>CLI-00643</v>
      </c>
      <c r="N62" s="1">
        <f>VLOOKUP(Master[[#This Row],[Province_RDC]],Client[],3,FALSE)</f>
        <v>14</v>
      </c>
      <c r="O62" s="1" t="str">
        <f>VLOOKUP(Master[[#This Row],[Province_RDC]],Client[],4,FALSE)</f>
        <v>Pro Monde</v>
      </c>
      <c r="P62" s="1">
        <f>VLOOKUP(Master[[#This Row],[Province_RDC]],Client[],5,FALSE)</f>
        <v>316</v>
      </c>
      <c r="Q62" s="1">
        <f>VLOOKUP(Master[[#This Row],[Province_RDC]],Client[],6,FALSE)</f>
        <v>62.34</v>
      </c>
      <c r="R62" s="1">
        <f>VLOOKUP(Master[[#This Row],[Province_RDC]],Client[],7,FALSE)</f>
        <v>4</v>
      </c>
      <c r="S62" s="1" t="str">
        <f>IF(Master[[#This Row],[Type_Forfait]]="Pro Monde","B2B","B2C")</f>
        <v>B2B</v>
      </c>
      <c r="T62" s="1">
        <f>Master[[#This Row],[Anciennete_Mois]]/12</f>
        <v>1.1666666666666667</v>
      </c>
      <c r="U62" s="1">
        <f>Master[[#This Row],[Duree_Cumule_Panne_Min]]/60</f>
        <v>5.2666666666666666</v>
      </c>
      <c r="V6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2" s="6">
        <f>Master[[#This Row],[Facture_Mensuelle]]*Master[[#This Row],[Remise]]</f>
        <v>28.053000000000001</v>
      </c>
    </row>
    <row r="63" spans="1:24" x14ac:dyDescent="0.25">
      <c r="A63" s="1" t="s">
        <v>1219</v>
      </c>
      <c r="B63" t="str">
        <f>IFERROR(VLOOKUP(Master[[#This Row],[Cell_ID]],Registre_Maintenance[],2,FALSE),"")</f>
        <v>Tanganyika</v>
      </c>
      <c r="C63" s="1" t="s">
        <v>1141</v>
      </c>
      <c r="D63" s="2">
        <v>45203.304861111108</v>
      </c>
      <c r="E63" s="3">
        <v>45203.304861111108</v>
      </c>
      <c r="F63">
        <v>106</v>
      </c>
      <c r="G63">
        <f>Master[[#This Row],[Duree_Panne_Min]]/60</f>
        <v>1.7666666666666666</v>
      </c>
      <c r="H63" s="1" t="s">
        <v>735</v>
      </c>
      <c r="I63">
        <f>IFERROR(VLOOKUP(Master[[#This Row],[Cell_ID]],Registre_Maintenance[],3,FALSE),"")</f>
        <v>-11.793894</v>
      </c>
      <c r="J63">
        <f>IFERROR(VLOOKUP(Master[[#This Row],[Cell_ID]],Registre_Maintenance[],4,FALSE),"")</f>
        <v>20.433340999999999</v>
      </c>
      <c r="K63" t="str">
        <f>IFERROR(VLOOKUP(Master[[#This Row],[Cell_ID]],Registre_Maintenance[],5,FALSE),"")</f>
        <v>5G</v>
      </c>
      <c r="L63" t="str">
        <f>IFERROR(VLOOKUP(Master[[#This Row],[Cell_ID]],Registre_Maintenance[],6,FALSE),"")</f>
        <v>Nokia</v>
      </c>
      <c r="M63" s="1" t="str">
        <f>VLOOKUP(Master[[#This Row],[Province_RDC]],Client[],2,FALSE)</f>
        <v>CLI-01618</v>
      </c>
      <c r="N63" s="1">
        <f>VLOOKUP(Master[[#This Row],[Province_RDC]],Client[],3,FALSE)</f>
        <v>115</v>
      </c>
      <c r="O63" s="1" t="str">
        <f>VLOOKUP(Master[[#This Row],[Province_RDC]],Client[],4,FALSE)</f>
        <v>Bloqué 5Go</v>
      </c>
      <c r="P63" s="1">
        <f>VLOOKUP(Master[[#This Row],[Province_RDC]],Client[],5,FALSE)</f>
        <v>176</v>
      </c>
      <c r="Q63" s="1">
        <f>VLOOKUP(Master[[#This Row],[Province_RDC]],Client[],6,FALSE)</f>
        <v>33.28</v>
      </c>
      <c r="R63" s="1">
        <f>VLOOKUP(Master[[#This Row],[Province_RDC]],Client[],7,FALSE)</f>
        <v>4</v>
      </c>
      <c r="S63" s="1" t="str">
        <f>IF(Master[[#This Row],[Type_Forfait]]="Pro Monde","B2B","B2C")</f>
        <v>B2C</v>
      </c>
      <c r="T63" s="1">
        <f>Master[[#This Row],[Anciennete_Mois]]/12</f>
        <v>9.5833333333333339</v>
      </c>
      <c r="U63" s="1">
        <f>Master[[#This Row],[Duree_Cumule_Panne_Min]]/60</f>
        <v>2.9333333333333331</v>
      </c>
      <c r="V6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6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63" s="6">
        <f>Master[[#This Row],[Facture_Mensuelle]]*Master[[#This Row],[Remise]]</f>
        <v>0</v>
      </c>
    </row>
    <row r="64" spans="1:24" x14ac:dyDescent="0.25">
      <c r="A64" s="1" t="s">
        <v>1288</v>
      </c>
      <c r="B64" t="str">
        <f>IFERROR(VLOOKUP(Master[[#This Row],[Cell_ID]],Registre_Maintenance[],2,FALSE),"")</f>
        <v>Sud-Kivu</v>
      </c>
      <c r="C64" s="1" t="s">
        <v>1301</v>
      </c>
      <c r="D64" s="2">
        <v>45214.168055555558</v>
      </c>
      <c r="E64" s="3">
        <v>45214.168055555558</v>
      </c>
      <c r="F64">
        <v>106</v>
      </c>
      <c r="G64">
        <f>Master[[#This Row],[Duree_Panne_Min]]/60</f>
        <v>1.7666666666666666</v>
      </c>
      <c r="H64" s="1" t="s">
        <v>732</v>
      </c>
      <c r="I64">
        <f>IFERROR(VLOOKUP(Master[[#This Row],[Cell_ID]],Registre_Maintenance[],3,FALSE),"")</f>
        <v>-11.207139</v>
      </c>
      <c r="J64">
        <f>IFERROR(VLOOKUP(Master[[#This Row],[Cell_ID]],Registre_Maintenance[],4,FALSE),"")</f>
        <v>18.702511999999999</v>
      </c>
      <c r="K64" t="str">
        <f>IFERROR(VLOOKUP(Master[[#This Row],[Cell_ID]],Registre_Maintenance[],5,FALSE),"")</f>
        <v>5G</v>
      </c>
      <c r="L64" t="str">
        <f>IFERROR(VLOOKUP(Master[[#This Row],[Cell_ID]],Registre_Maintenance[],6,FALSE),"")</f>
        <v>Ericsson</v>
      </c>
      <c r="M64" s="1" t="str">
        <f>VLOOKUP(Master[[#This Row],[Province_RDC]],Client[],2,FALSE)</f>
        <v>CLI-01855</v>
      </c>
      <c r="N64" s="1">
        <f>VLOOKUP(Master[[#This Row],[Province_RDC]],Client[],3,FALSE)</f>
        <v>101</v>
      </c>
      <c r="O64" s="1" t="str">
        <f>VLOOKUP(Master[[#This Row],[Province_RDC]],Client[],4,FALSE)</f>
        <v>Illimité 50Go</v>
      </c>
      <c r="P64" s="1">
        <f>VLOOKUP(Master[[#This Row],[Province_RDC]],Client[],5,FALSE)</f>
        <v>358</v>
      </c>
      <c r="Q64" s="1">
        <f>VLOOKUP(Master[[#This Row],[Province_RDC]],Client[],6,FALSE)</f>
        <v>29.24</v>
      </c>
      <c r="R64" s="1">
        <f>VLOOKUP(Master[[#This Row],[Province_RDC]],Client[],7,FALSE)</f>
        <v>3</v>
      </c>
      <c r="S64" s="1" t="str">
        <f>IF(Master[[#This Row],[Type_Forfait]]="Pro Monde","B2B","B2C")</f>
        <v>B2C</v>
      </c>
      <c r="T64" s="1">
        <f>Master[[#This Row],[Anciennete_Mois]]/12</f>
        <v>8.4166666666666661</v>
      </c>
      <c r="U64" s="1">
        <f>Master[[#This Row],[Duree_Cumule_Panne_Min]]/60</f>
        <v>5.9666666666666668</v>
      </c>
      <c r="V6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4" s="6">
        <f>Master[[#This Row],[Facture_Mensuelle]]*Master[[#This Row],[Remise]]</f>
        <v>13.157999999999999</v>
      </c>
    </row>
    <row r="65" spans="1:24" x14ac:dyDescent="0.25">
      <c r="A65" s="1" t="s">
        <v>1345</v>
      </c>
      <c r="B65" t="str">
        <f>IFERROR(VLOOKUP(Master[[#This Row],[Cell_ID]],Registre_Maintenance[],2,FALSE),"")</f>
        <v>Nord-Ubangi</v>
      </c>
      <c r="C65" s="1" t="s">
        <v>1357</v>
      </c>
      <c r="D65" s="2">
        <v>45230.64166666667</v>
      </c>
      <c r="E65" s="3">
        <v>45230.64166666667</v>
      </c>
      <c r="F65">
        <v>106</v>
      </c>
      <c r="G65">
        <f>Master[[#This Row],[Duree_Panne_Min]]/60</f>
        <v>1.7666666666666666</v>
      </c>
      <c r="H65" s="1" t="s">
        <v>732</v>
      </c>
      <c r="I65">
        <f>IFERROR(VLOOKUP(Master[[#This Row],[Cell_ID]],Registre_Maintenance[],3,FALSE),"")</f>
        <v>-6.8149179999999996</v>
      </c>
      <c r="J65">
        <f>IFERROR(VLOOKUP(Master[[#This Row],[Cell_ID]],Registre_Maintenance[],4,FALSE),"")</f>
        <v>23.258102000000001</v>
      </c>
      <c r="K65" t="str">
        <f>IFERROR(VLOOKUP(Master[[#This Row],[Cell_ID]],Registre_Maintenance[],5,FALSE),"")</f>
        <v>5G</v>
      </c>
      <c r="L65" t="str">
        <f>IFERROR(VLOOKUP(Master[[#This Row],[Cell_ID]],Registre_Maintenance[],6,FALSE),"")</f>
        <v>Huawei</v>
      </c>
      <c r="M65" s="1" t="str">
        <f>VLOOKUP(Master[[#This Row],[Province_RDC]],Client[],2,FALSE)</f>
        <v>CLI-01170</v>
      </c>
      <c r="N65" s="1">
        <f>VLOOKUP(Master[[#This Row],[Province_RDC]],Client[],3,FALSE)</f>
        <v>98</v>
      </c>
      <c r="O65" s="1" t="str">
        <f>VLOOKUP(Master[[#This Row],[Province_RDC]],Client[],4,FALSE)</f>
        <v>Pro Monde</v>
      </c>
      <c r="P65" s="1">
        <f>VLOOKUP(Master[[#This Row],[Province_RDC]],Client[],5,FALSE)</f>
        <v>482</v>
      </c>
      <c r="Q65" s="1">
        <f>VLOOKUP(Master[[#This Row],[Province_RDC]],Client[],6,FALSE)</f>
        <v>55.04</v>
      </c>
      <c r="R65" s="1">
        <f>VLOOKUP(Master[[#This Row],[Province_RDC]],Client[],7,FALSE)</f>
        <v>5</v>
      </c>
      <c r="S65" s="1" t="str">
        <f>IF(Master[[#This Row],[Type_Forfait]]="Pro Monde","B2B","B2C")</f>
        <v>B2B</v>
      </c>
      <c r="T65" s="1">
        <f>Master[[#This Row],[Anciennete_Mois]]/12</f>
        <v>8.1666666666666661</v>
      </c>
      <c r="U65" s="1">
        <f>Master[[#This Row],[Duree_Cumule_Panne_Min]]/60</f>
        <v>8.0333333333333332</v>
      </c>
      <c r="V6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5" s="6">
        <f>Master[[#This Row],[Facture_Mensuelle]]*Master[[#This Row],[Remise]]</f>
        <v>24.768000000000001</v>
      </c>
    </row>
    <row r="66" spans="1:24" x14ac:dyDescent="0.25">
      <c r="A66" s="1" t="s">
        <v>1114</v>
      </c>
      <c r="B66" t="str">
        <f>IFERROR(VLOOKUP(Master[[#This Row],[Cell_ID]],Registre_Maintenance[],2,FALSE),"")</f>
        <v>Lualaba</v>
      </c>
      <c r="C66" s="1" t="s">
        <v>1117</v>
      </c>
      <c r="D66" s="2">
        <v>45228.672222222223</v>
      </c>
      <c r="E66" s="3">
        <v>45228.672222222223</v>
      </c>
      <c r="F66">
        <v>106</v>
      </c>
      <c r="G66">
        <f>Master[[#This Row],[Duree_Panne_Min]]/60</f>
        <v>1.7666666666666666</v>
      </c>
      <c r="H66" s="1" t="s">
        <v>732</v>
      </c>
      <c r="I66">
        <f>IFERROR(VLOOKUP(Master[[#This Row],[Cell_ID]],Registre_Maintenance[],3,FALSE),"")</f>
        <v>2.0392079999999999</v>
      </c>
      <c r="J66">
        <f>IFERROR(VLOOKUP(Master[[#This Row],[Cell_ID]],Registre_Maintenance[],4,FALSE),"")</f>
        <v>19.090841999999999</v>
      </c>
      <c r="K66" t="str">
        <f>IFERROR(VLOOKUP(Master[[#This Row],[Cell_ID]],Registre_Maintenance[],5,FALSE),"")</f>
        <v>4G</v>
      </c>
      <c r="L66" t="str">
        <f>IFERROR(VLOOKUP(Master[[#This Row],[Cell_ID]],Registre_Maintenance[],6,FALSE),"")</f>
        <v>Nokia</v>
      </c>
      <c r="M66" s="1" t="str">
        <f>VLOOKUP(Master[[#This Row],[Province_RDC]],Client[],2,FALSE)</f>
        <v>CLI-01005</v>
      </c>
      <c r="N66" s="1">
        <f>VLOOKUP(Master[[#This Row],[Province_RDC]],Client[],3,FALSE)</f>
        <v>80</v>
      </c>
      <c r="O66" s="1" t="str">
        <f>VLOOKUP(Master[[#This Row],[Province_RDC]],Client[],4,FALSE)</f>
        <v>Illimité 50Go</v>
      </c>
      <c r="P66" s="1">
        <f>VLOOKUP(Master[[#This Row],[Province_RDC]],Client[],5,FALSE)</f>
        <v>155</v>
      </c>
      <c r="Q66" s="1">
        <f>VLOOKUP(Master[[#This Row],[Province_RDC]],Client[],6,FALSE)</f>
        <v>28.96</v>
      </c>
      <c r="R66" s="1">
        <f>VLOOKUP(Master[[#This Row],[Province_RDC]],Client[],7,FALSE)</f>
        <v>2</v>
      </c>
      <c r="S66" s="1" t="str">
        <f>IF(Master[[#This Row],[Type_Forfait]]="Pro Monde","B2B","B2C")</f>
        <v>B2C</v>
      </c>
      <c r="T66" s="1">
        <f>Master[[#This Row],[Anciennete_Mois]]/12</f>
        <v>6.666666666666667</v>
      </c>
      <c r="U66" s="1">
        <f>Master[[#This Row],[Duree_Cumule_Panne_Min]]/60</f>
        <v>2.5833333333333335</v>
      </c>
      <c r="V6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6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66" s="6">
        <f>Master[[#This Row],[Facture_Mensuelle]]*Master[[#This Row],[Remise]]</f>
        <v>0</v>
      </c>
    </row>
    <row r="67" spans="1:24" x14ac:dyDescent="0.25">
      <c r="A67" s="1" t="s">
        <v>1261</v>
      </c>
      <c r="B67" t="str">
        <f>IFERROR(VLOOKUP(Master[[#This Row],[Cell_ID]],Registre_Maintenance[],2,FALSE),"")</f>
        <v>Kongo-Central</v>
      </c>
      <c r="C67" s="1" t="s">
        <v>1272</v>
      </c>
      <c r="D67" s="2">
        <v>45202.645138888889</v>
      </c>
      <c r="E67" s="3">
        <v>45202.645138888889</v>
      </c>
      <c r="F67">
        <v>106</v>
      </c>
      <c r="G67">
        <f>Master[[#This Row],[Duree_Panne_Min]]/60</f>
        <v>1.7666666666666666</v>
      </c>
      <c r="H67" s="1" t="s">
        <v>737</v>
      </c>
      <c r="I67">
        <f>IFERROR(VLOOKUP(Master[[#This Row],[Cell_ID]],Registre_Maintenance[],3,FALSE),"")</f>
        <v>1.981107</v>
      </c>
      <c r="J67">
        <f>IFERROR(VLOOKUP(Master[[#This Row],[Cell_ID]],Registre_Maintenance[],4,FALSE),"")</f>
        <v>23.932569000000001</v>
      </c>
      <c r="K67" t="str">
        <f>IFERROR(VLOOKUP(Master[[#This Row],[Cell_ID]],Registre_Maintenance[],5,FALSE),"")</f>
        <v>3G</v>
      </c>
      <c r="L67" t="str">
        <f>IFERROR(VLOOKUP(Master[[#This Row],[Cell_ID]],Registre_Maintenance[],6,FALSE),"")</f>
        <v>Nokia</v>
      </c>
      <c r="M67" s="1" t="str">
        <f>VLOOKUP(Master[[#This Row],[Province_RDC]],Client[],2,FALSE)</f>
        <v>CLI-01233</v>
      </c>
      <c r="N67" s="1">
        <f>VLOOKUP(Master[[#This Row],[Province_RDC]],Client[],3,FALSE)</f>
        <v>101</v>
      </c>
      <c r="O67" s="1" t="str">
        <f>VLOOKUP(Master[[#This Row],[Province_RDC]],Client[],4,FALSE)</f>
        <v>Pro Monde</v>
      </c>
      <c r="P67" s="1">
        <f>VLOOKUP(Master[[#This Row],[Province_RDC]],Client[],5,FALSE)</f>
        <v>333</v>
      </c>
      <c r="Q67" s="1">
        <f>VLOOKUP(Master[[#This Row],[Province_RDC]],Client[],6,FALSE)</f>
        <v>74.319999999999993</v>
      </c>
      <c r="R67" s="1">
        <f>VLOOKUP(Master[[#This Row],[Province_RDC]],Client[],7,FALSE)</f>
        <v>1</v>
      </c>
      <c r="S67" s="1" t="str">
        <f>IF(Master[[#This Row],[Type_Forfait]]="Pro Monde","B2B","B2C")</f>
        <v>B2B</v>
      </c>
      <c r="T67" s="1">
        <f>Master[[#This Row],[Anciennete_Mois]]/12</f>
        <v>8.4166666666666661</v>
      </c>
      <c r="U67" s="1">
        <f>Master[[#This Row],[Duree_Cumule_Panne_Min]]/60</f>
        <v>5.55</v>
      </c>
      <c r="V6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7" s="6">
        <f>Master[[#This Row],[Facture_Mensuelle]]*Master[[#This Row],[Remise]]</f>
        <v>33.443999999999996</v>
      </c>
    </row>
    <row r="68" spans="1:24" x14ac:dyDescent="0.25">
      <c r="A68" s="1" t="s">
        <v>1165</v>
      </c>
      <c r="B68" t="str">
        <f>IFERROR(VLOOKUP(Master[[#This Row],[Cell_ID]],Registre_Maintenance[],2,FALSE),"")</f>
        <v>Haut-Katanga</v>
      </c>
      <c r="C68" s="1" t="s">
        <v>1169</v>
      </c>
      <c r="D68" s="2">
        <v>45205.729166666657</v>
      </c>
      <c r="E68" s="3">
        <v>45205.729166666657</v>
      </c>
      <c r="F68">
        <v>106</v>
      </c>
      <c r="G68">
        <f>Master[[#This Row],[Duree_Panne_Min]]/60</f>
        <v>1.7666666666666666</v>
      </c>
      <c r="H68" s="1" t="s">
        <v>737</v>
      </c>
      <c r="I68">
        <f>IFERROR(VLOOKUP(Master[[#This Row],[Cell_ID]],Registre_Maintenance[],3,FALSE),"")</f>
        <v>-4.4958720000000003</v>
      </c>
      <c r="J68">
        <f>IFERROR(VLOOKUP(Master[[#This Row],[Cell_ID]],Registre_Maintenance[],4,FALSE),"")</f>
        <v>18.514112000000001</v>
      </c>
      <c r="K68" t="str">
        <f>IFERROR(VLOOKUP(Master[[#This Row],[Cell_ID]],Registre_Maintenance[],5,FALSE),"")</f>
        <v>4G</v>
      </c>
      <c r="L68" t="str">
        <f>IFERROR(VLOOKUP(Master[[#This Row],[Cell_ID]],Registre_Maintenance[],6,FALSE),"")</f>
        <v>Nokia</v>
      </c>
      <c r="M68" s="1" t="str">
        <f>VLOOKUP(Master[[#This Row],[Province_RDC]],Client[],2,FALSE)</f>
        <v>CLI-00076</v>
      </c>
      <c r="N68" s="1">
        <f>VLOOKUP(Master[[#This Row],[Province_RDC]],Client[],3,FALSE)</f>
        <v>46</v>
      </c>
      <c r="O68" s="1" t="str">
        <f>VLOOKUP(Master[[#This Row],[Province_RDC]],Client[],4,FALSE)</f>
        <v>Premium 5G 150Go</v>
      </c>
      <c r="P68" s="1">
        <f>VLOOKUP(Master[[#This Row],[Province_RDC]],Client[],5,FALSE)</f>
        <v>283</v>
      </c>
      <c r="Q68" s="1">
        <f>VLOOKUP(Master[[#This Row],[Province_RDC]],Client[],6,FALSE)</f>
        <v>56.05</v>
      </c>
      <c r="R68" s="1">
        <f>VLOOKUP(Master[[#This Row],[Province_RDC]],Client[],7,FALSE)</f>
        <v>1</v>
      </c>
      <c r="S68" s="1" t="str">
        <f>IF(Master[[#This Row],[Type_Forfait]]="Pro Monde","B2B","B2C")</f>
        <v>B2C</v>
      </c>
      <c r="T68" s="1">
        <f>Master[[#This Row],[Anciennete_Mois]]/12</f>
        <v>3.8333333333333335</v>
      </c>
      <c r="U68" s="1">
        <f>Master[[#This Row],[Duree_Cumule_Panne_Min]]/60</f>
        <v>4.7166666666666668</v>
      </c>
      <c r="V6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8" s="6">
        <f>Master[[#This Row],[Facture_Mensuelle]]*Master[[#This Row],[Remise]]</f>
        <v>25.2225</v>
      </c>
    </row>
    <row r="69" spans="1:24" x14ac:dyDescent="0.25">
      <c r="A69" s="1" t="s">
        <v>1382</v>
      </c>
      <c r="B69" t="str">
        <f>IFERROR(VLOOKUP(Master[[#This Row],[Cell_ID]],Registre_Maintenance[],2,FALSE),"")</f>
        <v>Haut-Katanga</v>
      </c>
      <c r="C69" s="1" t="s">
        <v>1383</v>
      </c>
      <c r="D69" s="2">
        <v>45203.603472222218</v>
      </c>
      <c r="E69" s="3">
        <v>45203.603472222218</v>
      </c>
      <c r="F69">
        <v>106</v>
      </c>
      <c r="G69">
        <f>Master[[#This Row],[Duree_Panne_Min]]/60</f>
        <v>1.7666666666666666</v>
      </c>
      <c r="H69" s="1" t="s">
        <v>735</v>
      </c>
      <c r="I69">
        <f>IFERROR(VLOOKUP(Master[[#This Row],[Cell_ID]],Registre_Maintenance[],3,FALSE),"")</f>
        <v>-5.1507670000000001</v>
      </c>
      <c r="J69">
        <f>IFERROR(VLOOKUP(Master[[#This Row],[Cell_ID]],Registre_Maintenance[],4,FALSE),"")</f>
        <v>28.075324999999999</v>
      </c>
      <c r="K69" t="str">
        <f>IFERROR(VLOOKUP(Master[[#This Row],[Cell_ID]],Registre_Maintenance[],5,FALSE),"")</f>
        <v>5G</v>
      </c>
      <c r="L69" t="str">
        <f>IFERROR(VLOOKUP(Master[[#This Row],[Cell_ID]],Registre_Maintenance[],6,FALSE),"")</f>
        <v>Huawei</v>
      </c>
      <c r="M69" s="1" t="str">
        <f>VLOOKUP(Master[[#This Row],[Province_RDC]],Client[],2,FALSE)</f>
        <v>CLI-00076</v>
      </c>
      <c r="N69" s="1">
        <f>VLOOKUP(Master[[#This Row],[Province_RDC]],Client[],3,FALSE)</f>
        <v>46</v>
      </c>
      <c r="O69" s="1" t="str">
        <f>VLOOKUP(Master[[#This Row],[Province_RDC]],Client[],4,FALSE)</f>
        <v>Premium 5G 150Go</v>
      </c>
      <c r="P69" s="1">
        <f>VLOOKUP(Master[[#This Row],[Province_RDC]],Client[],5,FALSE)</f>
        <v>283</v>
      </c>
      <c r="Q69" s="1">
        <f>VLOOKUP(Master[[#This Row],[Province_RDC]],Client[],6,FALSE)</f>
        <v>56.05</v>
      </c>
      <c r="R69" s="1">
        <f>VLOOKUP(Master[[#This Row],[Province_RDC]],Client[],7,FALSE)</f>
        <v>1</v>
      </c>
      <c r="S69" s="1" t="str">
        <f>IF(Master[[#This Row],[Type_Forfait]]="Pro Monde","B2B","B2C")</f>
        <v>B2C</v>
      </c>
      <c r="T69" s="1">
        <f>Master[[#This Row],[Anciennete_Mois]]/12</f>
        <v>3.8333333333333335</v>
      </c>
      <c r="U69" s="1">
        <f>Master[[#This Row],[Duree_Cumule_Panne_Min]]/60</f>
        <v>4.7166666666666668</v>
      </c>
      <c r="V6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6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69" s="6">
        <f>Master[[#This Row],[Facture_Mensuelle]]*Master[[#This Row],[Remise]]</f>
        <v>25.2225</v>
      </c>
    </row>
    <row r="70" spans="1:24" x14ac:dyDescent="0.25">
      <c r="A70" s="1" t="s">
        <v>1308</v>
      </c>
      <c r="B70" t="str">
        <f>IFERROR(VLOOKUP(Master[[#This Row],[Cell_ID]],Registre_Maintenance[],2,FALSE),"")</f>
        <v>Tshopo</v>
      </c>
      <c r="C70" s="1" t="s">
        <v>1318</v>
      </c>
      <c r="D70" s="2">
        <v>45228.515277777777</v>
      </c>
      <c r="E70" s="3">
        <v>45228.515277777777</v>
      </c>
      <c r="F70">
        <v>105</v>
      </c>
      <c r="G70">
        <f>Master[[#This Row],[Duree_Panne_Min]]/60</f>
        <v>1.75</v>
      </c>
      <c r="H70" s="1" t="s">
        <v>732</v>
      </c>
      <c r="I70">
        <f>IFERROR(VLOOKUP(Master[[#This Row],[Cell_ID]],Registre_Maintenance[],3,FALSE),"")</f>
        <v>-0.919767</v>
      </c>
      <c r="J70">
        <f>IFERROR(VLOOKUP(Master[[#This Row],[Cell_ID]],Registre_Maintenance[],4,FALSE),"")</f>
        <v>18.905538</v>
      </c>
      <c r="K70" t="str">
        <f>IFERROR(VLOOKUP(Master[[#This Row],[Cell_ID]],Registre_Maintenance[],5,FALSE),"")</f>
        <v>5G</v>
      </c>
      <c r="L70" t="str">
        <f>IFERROR(VLOOKUP(Master[[#This Row],[Cell_ID]],Registre_Maintenance[],6,FALSE),"")</f>
        <v>Ericsson</v>
      </c>
      <c r="M70" s="1" t="str">
        <f>VLOOKUP(Master[[#This Row],[Province_RDC]],Client[],2,FALSE)</f>
        <v>CLI-00745</v>
      </c>
      <c r="N70" s="1">
        <f>VLOOKUP(Master[[#This Row],[Province_RDC]],Client[],3,FALSE)</f>
        <v>6</v>
      </c>
      <c r="O70" s="1" t="str">
        <f>VLOOKUP(Master[[#This Row],[Province_RDC]],Client[],4,FALSE)</f>
        <v>Premium 5G 150Go</v>
      </c>
      <c r="P70" s="1">
        <f>VLOOKUP(Master[[#This Row],[Province_RDC]],Client[],5,FALSE)</f>
        <v>207</v>
      </c>
      <c r="Q70" s="1">
        <f>VLOOKUP(Master[[#This Row],[Province_RDC]],Client[],6,FALSE)</f>
        <v>61.55</v>
      </c>
      <c r="R70" s="1">
        <f>VLOOKUP(Master[[#This Row],[Province_RDC]],Client[],7,FALSE)</f>
        <v>0</v>
      </c>
      <c r="S70" s="1" t="str">
        <f>IF(Master[[#This Row],[Type_Forfait]]="Pro Monde","B2B","B2C")</f>
        <v>B2C</v>
      </c>
      <c r="T70" s="1">
        <f>Master[[#This Row],[Anciennete_Mois]]/12</f>
        <v>0.5</v>
      </c>
      <c r="U70" s="1">
        <f>Master[[#This Row],[Duree_Cumule_Panne_Min]]/60</f>
        <v>3.45</v>
      </c>
      <c r="V7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70" s="6">
        <f>Master[[#This Row],[Facture_Mensuelle]]*Master[[#This Row],[Remise]]</f>
        <v>0</v>
      </c>
    </row>
    <row r="71" spans="1:24" x14ac:dyDescent="0.25">
      <c r="A71" s="1" t="s">
        <v>1382</v>
      </c>
      <c r="B71" t="str">
        <f>IFERROR(VLOOKUP(Master[[#This Row],[Cell_ID]],Registre_Maintenance[],2,FALSE),"")</f>
        <v>Sud-Ubangi</v>
      </c>
      <c r="C71" s="1" t="s">
        <v>1388</v>
      </c>
      <c r="D71" s="2">
        <v>45219.438888888893</v>
      </c>
      <c r="E71" s="3">
        <v>45219.438888888893</v>
      </c>
      <c r="F71">
        <v>105</v>
      </c>
      <c r="G71">
        <f>Master[[#This Row],[Duree_Panne_Min]]/60</f>
        <v>1.75</v>
      </c>
      <c r="H71" s="1" t="s">
        <v>735</v>
      </c>
      <c r="I71">
        <f>IFERROR(VLOOKUP(Master[[#This Row],[Cell_ID]],Registre_Maintenance[],3,FALSE),"")</f>
        <v>-0.54908599999999996</v>
      </c>
      <c r="J71">
        <f>IFERROR(VLOOKUP(Master[[#This Row],[Cell_ID]],Registre_Maintenance[],4,FALSE),"")</f>
        <v>14.816867</v>
      </c>
      <c r="K71" t="str">
        <f>IFERROR(VLOOKUP(Master[[#This Row],[Cell_ID]],Registre_Maintenance[],5,FALSE),"")</f>
        <v>5G</v>
      </c>
      <c r="L71" t="str">
        <f>IFERROR(VLOOKUP(Master[[#This Row],[Cell_ID]],Registre_Maintenance[],6,FALSE),"")</f>
        <v>ZTE</v>
      </c>
      <c r="M71" s="1" t="str">
        <f>VLOOKUP(Master[[#This Row],[Province_RDC]],Client[],2,FALSE)</f>
        <v>CLI-00280</v>
      </c>
      <c r="N71" s="1">
        <f>VLOOKUP(Master[[#This Row],[Province_RDC]],Client[],3,FALSE)</f>
        <v>113</v>
      </c>
      <c r="O71" s="1" t="str">
        <f>VLOOKUP(Master[[#This Row],[Province_RDC]],Client[],4,FALSE)</f>
        <v>Illimité 50Go</v>
      </c>
      <c r="P71" s="1">
        <f>VLOOKUP(Master[[#This Row],[Province_RDC]],Client[],5,FALSE)</f>
        <v>380</v>
      </c>
      <c r="Q71" s="1">
        <f>VLOOKUP(Master[[#This Row],[Province_RDC]],Client[],6,FALSE)</f>
        <v>12.11</v>
      </c>
      <c r="R71" s="1">
        <f>VLOOKUP(Master[[#This Row],[Province_RDC]],Client[],7,FALSE)</f>
        <v>0</v>
      </c>
      <c r="S71" s="1" t="str">
        <f>IF(Master[[#This Row],[Type_Forfait]]="Pro Monde","B2B","B2C")</f>
        <v>B2C</v>
      </c>
      <c r="T71" s="1">
        <f>Master[[#This Row],[Anciennete_Mois]]/12</f>
        <v>9.4166666666666661</v>
      </c>
      <c r="U71" s="1">
        <f>Master[[#This Row],[Duree_Cumule_Panne_Min]]/60</f>
        <v>6.333333333333333</v>
      </c>
      <c r="V7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1" s="6">
        <f>Master[[#This Row],[Facture_Mensuelle]]*Master[[#This Row],[Remise]]</f>
        <v>5.4494999999999996</v>
      </c>
    </row>
    <row r="72" spans="1:24" x14ac:dyDescent="0.25">
      <c r="A72" s="1" t="s">
        <v>1261</v>
      </c>
      <c r="B72" t="str">
        <f>IFERROR(VLOOKUP(Master[[#This Row],[Cell_ID]],Registre_Maintenance[],2,FALSE),"")</f>
        <v>Kwilu</v>
      </c>
      <c r="C72" s="1" t="s">
        <v>1164</v>
      </c>
      <c r="D72" s="2">
        <v>45213.145138888889</v>
      </c>
      <c r="E72" s="3">
        <v>45213.145138888889</v>
      </c>
      <c r="F72">
        <v>105</v>
      </c>
      <c r="G72">
        <f>Master[[#This Row],[Duree_Panne_Min]]/60</f>
        <v>1.75</v>
      </c>
      <c r="H72" s="1" t="s">
        <v>735</v>
      </c>
      <c r="I72">
        <f>IFERROR(VLOOKUP(Master[[#This Row],[Cell_ID]],Registre_Maintenance[],3,FALSE),"")</f>
        <v>-10.939712999999999</v>
      </c>
      <c r="J72">
        <f>IFERROR(VLOOKUP(Master[[#This Row],[Cell_ID]],Registre_Maintenance[],4,FALSE),"")</f>
        <v>18.276230999999999</v>
      </c>
      <c r="K72" t="str">
        <f>IFERROR(VLOOKUP(Master[[#This Row],[Cell_ID]],Registre_Maintenance[],5,FALSE),"")</f>
        <v>4G</v>
      </c>
      <c r="L72" t="str">
        <f>IFERROR(VLOOKUP(Master[[#This Row],[Cell_ID]],Registre_Maintenance[],6,FALSE),"")</f>
        <v>ZTE</v>
      </c>
      <c r="M72" s="1" t="str">
        <f>VLOOKUP(Master[[#This Row],[Province_RDC]],Client[],2,FALSE)</f>
        <v>CLI-00996</v>
      </c>
      <c r="N72" s="1">
        <f>VLOOKUP(Master[[#This Row],[Province_RDC]],Client[],3,FALSE)</f>
        <v>119</v>
      </c>
      <c r="O72" s="1" t="str">
        <f>VLOOKUP(Master[[#This Row],[Province_RDC]],Client[],4,FALSE)</f>
        <v>Illimité 50Go</v>
      </c>
      <c r="P72" s="1">
        <f>VLOOKUP(Master[[#This Row],[Province_RDC]],Client[],5,FALSE)</f>
        <v>228</v>
      </c>
      <c r="Q72" s="1">
        <f>VLOOKUP(Master[[#This Row],[Province_RDC]],Client[],6,FALSE)</f>
        <v>94.72</v>
      </c>
      <c r="R72" s="1">
        <f>VLOOKUP(Master[[#This Row],[Province_RDC]],Client[],7,FALSE)</f>
        <v>3</v>
      </c>
      <c r="S72" s="1" t="str">
        <f>IF(Master[[#This Row],[Type_Forfait]]="Pro Monde","B2B","B2C")</f>
        <v>B2C</v>
      </c>
      <c r="T72" s="1">
        <f>Master[[#This Row],[Anciennete_Mois]]/12</f>
        <v>9.9166666666666661</v>
      </c>
      <c r="U72" s="1">
        <f>Master[[#This Row],[Duree_Cumule_Panne_Min]]/60</f>
        <v>3.8</v>
      </c>
      <c r="V7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7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72" s="6">
        <f>Master[[#This Row],[Facture_Mensuelle]]*Master[[#This Row],[Remise]]</f>
        <v>0</v>
      </c>
    </row>
    <row r="73" spans="1:24" x14ac:dyDescent="0.25">
      <c r="A73" s="1" t="s">
        <v>1193</v>
      </c>
      <c r="B73" t="str">
        <f>IFERROR(VLOOKUP(Master[[#This Row],[Cell_ID]],Registre_Maintenance[],2,FALSE),"")</f>
        <v>Haut-Uele</v>
      </c>
      <c r="C73" s="1" t="s">
        <v>873</v>
      </c>
      <c r="D73" s="2">
        <v>45230.323611111111</v>
      </c>
      <c r="E73" s="3">
        <v>45230.323611111111</v>
      </c>
      <c r="F73">
        <v>105</v>
      </c>
      <c r="G73">
        <f>Master[[#This Row],[Duree_Panne_Min]]/60</f>
        <v>1.75</v>
      </c>
      <c r="H73" s="1" t="s">
        <v>732</v>
      </c>
      <c r="I73">
        <f>IFERROR(VLOOKUP(Master[[#This Row],[Cell_ID]],Registre_Maintenance[],3,FALSE),"")</f>
        <v>-4.4351269999999996</v>
      </c>
      <c r="J73">
        <f>IFERROR(VLOOKUP(Master[[#This Row],[Cell_ID]],Registre_Maintenance[],4,FALSE),"")</f>
        <v>24.825467</v>
      </c>
      <c r="K73" t="str">
        <f>IFERROR(VLOOKUP(Master[[#This Row],[Cell_ID]],Registre_Maintenance[],5,FALSE),"")</f>
        <v>4G</v>
      </c>
      <c r="L73" t="str">
        <f>IFERROR(VLOOKUP(Master[[#This Row],[Cell_ID]],Registre_Maintenance[],6,FALSE),"")</f>
        <v>Huawei</v>
      </c>
      <c r="M73" s="1" t="str">
        <f>VLOOKUP(Master[[#This Row],[Province_RDC]],Client[],2,FALSE)</f>
        <v>CLI-00439</v>
      </c>
      <c r="N73" s="1">
        <f>VLOOKUP(Master[[#This Row],[Province_RDC]],Client[],3,FALSE)</f>
        <v>40</v>
      </c>
      <c r="O73" s="1" t="str">
        <f>VLOOKUP(Master[[#This Row],[Province_RDC]],Client[],4,FALSE)</f>
        <v>Premium 5G 150Go</v>
      </c>
      <c r="P73" s="1">
        <f>VLOOKUP(Master[[#This Row],[Province_RDC]],Client[],5,FALSE)</f>
        <v>345</v>
      </c>
      <c r="Q73" s="1">
        <f>VLOOKUP(Master[[#This Row],[Province_RDC]],Client[],6,FALSE)</f>
        <v>89.55</v>
      </c>
      <c r="R73" s="1">
        <f>VLOOKUP(Master[[#This Row],[Province_RDC]],Client[],7,FALSE)</f>
        <v>3</v>
      </c>
      <c r="S73" s="1" t="str">
        <f>IF(Master[[#This Row],[Type_Forfait]]="Pro Monde","B2B","B2C")</f>
        <v>B2C</v>
      </c>
      <c r="T73" s="1">
        <f>Master[[#This Row],[Anciennete_Mois]]/12</f>
        <v>3.3333333333333335</v>
      </c>
      <c r="U73" s="1">
        <f>Master[[#This Row],[Duree_Cumule_Panne_Min]]/60</f>
        <v>5.75</v>
      </c>
      <c r="V7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3" s="6">
        <f>Master[[#This Row],[Facture_Mensuelle]]*Master[[#This Row],[Remise]]</f>
        <v>40.297499999999999</v>
      </c>
    </row>
    <row r="74" spans="1:24" x14ac:dyDescent="0.25">
      <c r="A74" s="1" t="s">
        <v>1288</v>
      </c>
      <c r="B74" t="str">
        <f>IFERROR(VLOOKUP(Master[[#This Row],[Cell_ID]],Registre_Maintenance[],2,FALSE),"")</f>
        <v>Kongo-Central</v>
      </c>
      <c r="C74" s="1" t="s">
        <v>1291</v>
      </c>
      <c r="D74" s="2">
        <v>45225.171527777777</v>
      </c>
      <c r="E74" s="3">
        <v>45225.171527777777</v>
      </c>
      <c r="F74">
        <v>104</v>
      </c>
      <c r="G74">
        <f>Master[[#This Row],[Duree_Panne_Min]]/60</f>
        <v>1.7333333333333334</v>
      </c>
      <c r="H74" s="1" t="s">
        <v>735</v>
      </c>
      <c r="I74">
        <f>IFERROR(VLOOKUP(Master[[#This Row],[Cell_ID]],Registre_Maintenance[],3,FALSE),"")</f>
        <v>1.2463919999999999</v>
      </c>
      <c r="J74">
        <f>IFERROR(VLOOKUP(Master[[#This Row],[Cell_ID]],Registre_Maintenance[],4,FALSE),"")</f>
        <v>13.266916999999999</v>
      </c>
      <c r="K74" t="str">
        <f>IFERROR(VLOOKUP(Master[[#This Row],[Cell_ID]],Registre_Maintenance[],5,FALSE),"")</f>
        <v>5G</v>
      </c>
      <c r="L74" t="str">
        <f>IFERROR(VLOOKUP(Master[[#This Row],[Cell_ID]],Registre_Maintenance[],6,FALSE),"")</f>
        <v>Huawei</v>
      </c>
      <c r="M74" s="1" t="str">
        <f>VLOOKUP(Master[[#This Row],[Province_RDC]],Client[],2,FALSE)</f>
        <v>CLI-01233</v>
      </c>
      <c r="N74" s="1">
        <f>VLOOKUP(Master[[#This Row],[Province_RDC]],Client[],3,FALSE)</f>
        <v>101</v>
      </c>
      <c r="O74" s="1" t="str">
        <f>VLOOKUP(Master[[#This Row],[Province_RDC]],Client[],4,FALSE)</f>
        <v>Pro Monde</v>
      </c>
      <c r="P74" s="1">
        <f>VLOOKUP(Master[[#This Row],[Province_RDC]],Client[],5,FALSE)</f>
        <v>333</v>
      </c>
      <c r="Q74" s="1">
        <f>VLOOKUP(Master[[#This Row],[Province_RDC]],Client[],6,FALSE)</f>
        <v>74.319999999999993</v>
      </c>
      <c r="R74" s="1">
        <f>VLOOKUP(Master[[#This Row],[Province_RDC]],Client[],7,FALSE)</f>
        <v>1</v>
      </c>
      <c r="S74" s="1" t="str">
        <f>IF(Master[[#This Row],[Type_Forfait]]="Pro Monde","B2B","B2C")</f>
        <v>B2B</v>
      </c>
      <c r="T74" s="1">
        <f>Master[[#This Row],[Anciennete_Mois]]/12</f>
        <v>8.4166666666666661</v>
      </c>
      <c r="U74" s="1">
        <f>Master[[#This Row],[Duree_Cumule_Panne_Min]]/60</f>
        <v>5.55</v>
      </c>
      <c r="V7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4" s="6">
        <f>Master[[#This Row],[Facture_Mensuelle]]*Master[[#This Row],[Remise]]</f>
        <v>33.443999999999996</v>
      </c>
    </row>
    <row r="75" spans="1:24" x14ac:dyDescent="0.25">
      <c r="A75" s="1" t="s">
        <v>1382</v>
      </c>
      <c r="B75" t="str">
        <f>IFERROR(VLOOKUP(Master[[#This Row],[Cell_ID]],Registre_Maintenance[],2,FALSE),"")</f>
        <v>Kasai-Central</v>
      </c>
      <c r="C75" s="1" t="s">
        <v>1397</v>
      </c>
      <c r="D75" s="2">
        <v>45225.220833333333</v>
      </c>
      <c r="E75" s="3">
        <v>45225.220833333333</v>
      </c>
      <c r="F75">
        <v>104</v>
      </c>
      <c r="G75">
        <f>Master[[#This Row],[Duree_Panne_Min]]/60</f>
        <v>1.7333333333333334</v>
      </c>
      <c r="H75" s="1" t="s">
        <v>735</v>
      </c>
      <c r="I75">
        <f>IFERROR(VLOOKUP(Master[[#This Row],[Cell_ID]],Registre_Maintenance[],3,FALSE),"")</f>
        <v>-8.0800809999999998</v>
      </c>
      <c r="J75">
        <f>IFERROR(VLOOKUP(Master[[#This Row],[Cell_ID]],Registre_Maintenance[],4,FALSE),"")</f>
        <v>30.147970999999998</v>
      </c>
      <c r="K75" t="str">
        <f>IFERROR(VLOOKUP(Master[[#This Row],[Cell_ID]],Registre_Maintenance[],5,FALSE),"")</f>
        <v>5G</v>
      </c>
      <c r="L75" t="str">
        <f>IFERROR(VLOOKUP(Master[[#This Row],[Cell_ID]],Registre_Maintenance[],6,FALSE),"")</f>
        <v>Huawei</v>
      </c>
      <c r="M75" s="1" t="str">
        <f>VLOOKUP(Master[[#This Row],[Province_RDC]],Client[],2,FALSE)</f>
        <v>CLI-00060</v>
      </c>
      <c r="N75" s="1">
        <f>VLOOKUP(Master[[#This Row],[Province_RDC]],Client[],3,FALSE)</f>
        <v>72</v>
      </c>
      <c r="O75" s="1" t="str">
        <f>VLOOKUP(Master[[#This Row],[Province_RDC]],Client[],4,FALSE)</f>
        <v>Pro Monde</v>
      </c>
      <c r="P75" s="1">
        <f>VLOOKUP(Master[[#This Row],[Province_RDC]],Client[],5,FALSE)</f>
        <v>160</v>
      </c>
      <c r="Q75" s="1">
        <f>VLOOKUP(Master[[#This Row],[Province_RDC]],Client[],6,FALSE)</f>
        <v>90.13</v>
      </c>
      <c r="R75" s="1">
        <f>VLOOKUP(Master[[#This Row],[Province_RDC]],Client[],7,FALSE)</f>
        <v>2</v>
      </c>
      <c r="S75" s="1" t="str">
        <f>IF(Master[[#This Row],[Type_Forfait]]="Pro Monde","B2B","B2C")</f>
        <v>B2B</v>
      </c>
      <c r="T75" s="1">
        <f>Master[[#This Row],[Anciennete_Mois]]/12</f>
        <v>6</v>
      </c>
      <c r="U75" s="1">
        <f>Master[[#This Row],[Duree_Cumule_Panne_Min]]/60</f>
        <v>2.6666666666666665</v>
      </c>
      <c r="V7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7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75" s="6">
        <f>Master[[#This Row],[Facture_Mensuelle]]*Master[[#This Row],[Remise]]</f>
        <v>9.0129999999999999</v>
      </c>
    </row>
    <row r="76" spans="1:24" x14ac:dyDescent="0.25">
      <c r="A76" s="1" t="s">
        <v>1261</v>
      </c>
      <c r="B76" t="str">
        <f>IFERROR(VLOOKUP(Master[[#This Row],[Cell_ID]],Registre_Maintenance[],2,FALSE),"")</f>
        <v>Nord-Kivu</v>
      </c>
      <c r="C76" s="1" t="s">
        <v>1267</v>
      </c>
      <c r="D76" s="2">
        <v>45205.463888888888</v>
      </c>
      <c r="E76" s="3">
        <v>45205.463888888888</v>
      </c>
      <c r="F76">
        <v>103</v>
      </c>
      <c r="G76">
        <f>Master[[#This Row],[Duree_Panne_Min]]/60</f>
        <v>1.7166666666666666</v>
      </c>
      <c r="H76" s="1" t="s">
        <v>732</v>
      </c>
      <c r="I76">
        <f>IFERROR(VLOOKUP(Master[[#This Row],[Cell_ID]],Registre_Maintenance[],3,FALSE),"")</f>
        <v>-0.17258100000000001</v>
      </c>
      <c r="J76">
        <f>IFERROR(VLOOKUP(Master[[#This Row],[Cell_ID]],Registre_Maintenance[],4,FALSE),"")</f>
        <v>23.775555000000001</v>
      </c>
      <c r="K76" t="str">
        <f>IFERROR(VLOOKUP(Master[[#This Row],[Cell_ID]],Registre_Maintenance[],5,FALSE),"")</f>
        <v>5G</v>
      </c>
      <c r="L76" t="str">
        <f>IFERROR(VLOOKUP(Master[[#This Row],[Cell_ID]],Registre_Maintenance[],6,FALSE),"")</f>
        <v>Nokia</v>
      </c>
      <c r="M76" s="1" t="str">
        <f>VLOOKUP(Master[[#This Row],[Province_RDC]],Client[],2,FALSE)</f>
        <v>CLI-00837</v>
      </c>
      <c r="N76" s="1">
        <f>VLOOKUP(Master[[#This Row],[Province_RDC]],Client[],3,FALSE)</f>
        <v>16</v>
      </c>
      <c r="O76" s="1" t="str">
        <f>VLOOKUP(Master[[#This Row],[Province_RDC]],Client[],4,FALSE)</f>
        <v>Bloqué 5Go</v>
      </c>
      <c r="P76" s="1">
        <f>VLOOKUP(Master[[#This Row],[Province_RDC]],Client[],5,FALSE)</f>
        <v>390</v>
      </c>
      <c r="Q76" s="1">
        <f>VLOOKUP(Master[[#This Row],[Province_RDC]],Client[],6,FALSE)</f>
        <v>98.17</v>
      </c>
      <c r="R76" s="1">
        <f>VLOOKUP(Master[[#This Row],[Province_RDC]],Client[],7,FALSE)</f>
        <v>5</v>
      </c>
      <c r="S76" s="1" t="str">
        <f>IF(Master[[#This Row],[Type_Forfait]]="Pro Monde","B2B","B2C")</f>
        <v>B2C</v>
      </c>
      <c r="T76" s="1">
        <f>Master[[#This Row],[Anciennete_Mois]]/12</f>
        <v>1.3333333333333333</v>
      </c>
      <c r="U76" s="1">
        <f>Master[[#This Row],[Duree_Cumule_Panne_Min]]/60</f>
        <v>6.5</v>
      </c>
      <c r="V7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6" s="6">
        <f>Master[[#This Row],[Facture_Mensuelle]]*Master[[#This Row],[Remise]]</f>
        <v>44.176500000000004</v>
      </c>
    </row>
    <row r="77" spans="1:24" x14ac:dyDescent="0.25">
      <c r="A77" s="1" t="s">
        <v>1024</v>
      </c>
      <c r="B77" t="str">
        <f>IFERROR(VLOOKUP(Master[[#This Row],[Cell_ID]],Registre_Maintenance[],2,FALSE),"")</f>
        <v>Haut-Katanga</v>
      </c>
      <c r="C77" s="1" t="s">
        <v>1025</v>
      </c>
      <c r="D77" s="2">
        <v>45201.057638888888</v>
      </c>
      <c r="E77" s="3">
        <v>45201.057638888888</v>
      </c>
      <c r="F77">
        <v>103</v>
      </c>
      <c r="G77">
        <f>Master[[#This Row],[Duree_Panne_Min]]/60</f>
        <v>1.7166666666666666</v>
      </c>
      <c r="H77" s="1" t="s">
        <v>732</v>
      </c>
      <c r="I77">
        <f>IFERROR(VLOOKUP(Master[[#This Row],[Cell_ID]],Registre_Maintenance[],3,FALSE),"")</f>
        <v>-11.594525000000001</v>
      </c>
      <c r="J77">
        <f>IFERROR(VLOOKUP(Master[[#This Row],[Cell_ID]],Registre_Maintenance[],4,FALSE),"")</f>
        <v>29.744895</v>
      </c>
      <c r="K77" t="str">
        <f>IFERROR(VLOOKUP(Master[[#This Row],[Cell_ID]],Registre_Maintenance[],5,FALSE),"")</f>
        <v>3G</v>
      </c>
      <c r="L77" t="str">
        <f>IFERROR(VLOOKUP(Master[[#This Row],[Cell_ID]],Registre_Maintenance[],6,FALSE),"")</f>
        <v>ZTE</v>
      </c>
      <c r="M77" s="1" t="str">
        <f>VLOOKUP(Master[[#This Row],[Province_RDC]],Client[],2,FALSE)</f>
        <v>CLI-00076</v>
      </c>
      <c r="N77" s="1">
        <f>VLOOKUP(Master[[#This Row],[Province_RDC]],Client[],3,FALSE)</f>
        <v>46</v>
      </c>
      <c r="O77" s="1" t="str">
        <f>VLOOKUP(Master[[#This Row],[Province_RDC]],Client[],4,FALSE)</f>
        <v>Premium 5G 150Go</v>
      </c>
      <c r="P77" s="1">
        <f>VLOOKUP(Master[[#This Row],[Province_RDC]],Client[],5,FALSE)</f>
        <v>283</v>
      </c>
      <c r="Q77" s="1">
        <f>VLOOKUP(Master[[#This Row],[Province_RDC]],Client[],6,FALSE)</f>
        <v>56.05</v>
      </c>
      <c r="R77" s="1">
        <f>VLOOKUP(Master[[#This Row],[Province_RDC]],Client[],7,FALSE)</f>
        <v>1</v>
      </c>
      <c r="S77" s="1" t="str">
        <f>IF(Master[[#This Row],[Type_Forfait]]="Pro Monde","B2B","B2C")</f>
        <v>B2C</v>
      </c>
      <c r="T77" s="1">
        <f>Master[[#This Row],[Anciennete_Mois]]/12</f>
        <v>3.8333333333333335</v>
      </c>
      <c r="U77" s="1">
        <f>Master[[#This Row],[Duree_Cumule_Panne_Min]]/60</f>
        <v>4.7166666666666668</v>
      </c>
      <c r="V7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7" s="6">
        <f>Master[[#This Row],[Facture_Mensuelle]]*Master[[#This Row],[Remise]]</f>
        <v>25.2225</v>
      </c>
    </row>
    <row r="78" spans="1:24" x14ac:dyDescent="0.25">
      <c r="A78" s="1" t="s">
        <v>730</v>
      </c>
      <c r="B78" t="str">
        <f>IFERROR(VLOOKUP(Master[[#This Row],[Cell_ID]],Registre_Maintenance[],2,FALSE),"")</f>
        <v>Equateur</v>
      </c>
      <c r="C78" s="1" t="s">
        <v>773</v>
      </c>
      <c r="D78" s="2">
        <v>45202.290277777778</v>
      </c>
      <c r="E78" s="3">
        <v>45202.290277777778</v>
      </c>
      <c r="F78">
        <v>103</v>
      </c>
      <c r="G78">
        <f>Master[[#This Row],[Duree_Panne_Min]]/60</f>
        <v>1.7166666666666666</v>
      </c>
      <c r="H78" s="1" t="s">
        <v>735</v>
      </c>
      <c r="I78">
        <f>IFERROR(VLOOKUP(Master[[#This Row],[Cell_ID]],Registre_Maintenance[],3,FALSE),"")</f>
        <v>4.9250049999999996</v>
      </c>
      <c r="J78">
        <f>IFERROR(VLOOKUP(Master[[#This Row],[Cell_ID]],Registre_Maintenance[],4,FALSE),"")</f>
        <v>19.887931999999999</v>
      </c>
      <c r="K78" t="str">
        <f>IFERROR(VLOOKUP(Master[[#This Row],[Cell_ID]],Registre_Maintenance[],5,FALSE),"")</f>
        <v>4G</v>
      </c>
      <c r="L78" t="str">
        <f>IFERROR(VLOOKUP(Master[[#This Row],[Cell_ID]],Registre_Maintenance[],6,FALSE),"")</f>
        <v>Huawei</v>
      </c>
      <c r="M78" s="1" t="str">
        <f>VLOOKUP(Master[[#This Row],[Province_RDC]],Client[],2,FALSE)</f>
        <v>CLI-00643</v>
      </c>
      <c r="N78" s="1">
        <f>VLOOKUP(Master[[#This Row],[Province_RDC]],Client[],3,FALSE)</f>
        <v>14</v>
      </c>
      <c r="O78" s="1" t="str">
        <f>VLOOKUP(Master[[#This Row],[Province_RDC]],Client[],4,FALSE)</f>
        <v>Pro Monde</v>
      </c>
      <c r="P78" s="1">
        <f>VLOOKUP(Master[[#This Row],[Province_RDC]],Client[],5,FALSE)</f>
        <v>316</v>
      </c>
      <c r="Q78" s="1">
        <f>VLOOKUP(Master[[#This Row],[Province_RDC]],Client[],6,FALSE)</f>
        <v>62.34</v>
      </c>
      <c r="R78" s="1">
        <f>VLOOKUP(Master[[#This Row],[Province_RDC]],Client[],7,FALSE)</f>
        <v>4</v>
      </c>
      <c r="S78" s="1" t="str">
        <f>IF(Master[[#This Row],[Type_Forfait]]="Pro Monde","B2B","B2C")</f>
        <v>B2B</v>
      </c>
      <c r="T78" s="1">
        <f>Master[[#This Row],[Anciennete_Mois]]/12</f>
        <v>1.1666666666666667</v>
      </c>
      <c r="U78" s="1">
        <f>Master[[#This Row],[Duree_Cumule_Panne_Min]]/60</f>
        <v>5.2666666666666666</v>
      </c>
      <c r="V7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8" s="6">
        <f>Master[[#This Row],[Facture_Mensuelle]]*Master[[#This Row],[Remise]]</f>
        <v>28.053000000000001</v>
      </c>
    </row>
    <row r="79" spans="1:24" x14ac:dyDescent="0.25">
      <c r="A79" s="1" t="s">
        <v>1114</v>
      </c>
      <c r="B79" t="str">
        <f>IFERROR(VLOOKUP(Master[[#This Row],[Cell_ID]],Registre_Maintenance[],2,FALSE),"")</f>
        <v>Bas-Uele</v>
      </c>
      <c r="C79" s="1" t="s">
        <v>1123</v>
      </c>
      <c r="D79" s="2">
        <v>45230.868055555547</v>
      </c>
      <c r="E79" s="3">
        <v>45230.868055555547</v>
      </c>
      <c r="F79">
        <v>103</v>
      </c>
      <c r="G79">
        <f>Master[[#This Row],[Duree_Panne_Min]]/60</f>
        <v>1.7166666666666666</v>
      </c>
      <c r="H79" s="1" t="s">
        <v>737</v>
      </c>
      <c r="I79">
        <f>IFERROR(VLOOKUP(Master[[#This Row],[Cell_ID]],Registre_Maintenance[],3,FALSE),"")</f>
        <v>-2.8532869999999999</v>
      </c>
      <c r="J79">
        <f>IFERROR(VLOOKUP(Master[[#This Row],[Cell_ID]],Registre_Maintenance[],4,FALSE),"")</f>
        <v>22.117896000000002</v>
      </c>
      <c r="K79" t="str">
        <f>IFERROR(VLOOKUP(Master[[#This Row],[Cell_ID]],Registre_Maintenance[],5,FALSE),"")</f>
        <v>5G</v>
      </c>
      <c r="L79" t="str">
        <f>IFERROR(VLOOKUP(Master[[#This Row],[Cell_ID]],Registre_Maintenance[],6,FALSE),"")</f>
        <v>Huawei</v>
      </c>
      <c r="M79" s="1" t="str">
        <f>VLOOKUP(Master[[#This Row],[Province_RDC]],Client[],2,FALSE)</f>
        <v>CLI-01128</v>
      </c>
      <c r="N79" s="1">
        <f>VLOOKUP(Master[[#This Row],[Province_RDC]],Client[],3,FALSE)</f>
        <v>112</v>
      </c>
      <c r="O79" s="1" t="str">
        <f>VLOOKUP(Master[[#This Row],[Province_RDC]],Client[],4,FALSE)</f>
        <v>Premium 5G 150Go</v>
      </c>
      <c r="P79" s="1">
        <f>VLOOKUP(Master[[#This Row],[Province_RDC]],Client[],5,FALSE)</f>
        <v>460</v>
      </c>
      <c r="Q79" s="1">
        <f>VLOOKUP(Master[[#This Row],[Province_RDC]],Client[],6,FALSE)</f>
        <v>55.47</v>
      </c>
      <c r="R79" s="1">
        <f>VLOOKUP(Master[[#This Row],[Province_RDC]],Client[],7,FALSE)</f>
        <v>4</v>
      </c>
      <c r="S79" s="1" t="str">
        <f>IF(Master[[#This Row],[Type_Forfait]]="Pro Monde","B2B","B2C")</f>
        <v>B2C</v>
      </c>
      <c r="T79" s="1">
        <f>Master[[#This Row],[Anciennete_Mois]]/12</f>
        <v>9.3333333333333339</v>
      </c>
      <c r="U79" s="1">
        <f>Master[[#This Row],[Duree_Cumule_Panne_Min]]/60</f>
        <v>7.666666666666667</v>
      </c>
      <c r="V7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7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79" s="6">
        <f>Master[[#This Row],[Facture_Mensuelle]]*Master[[#This Row],[Remise]]</f>
        <v>24.961500000000001</v>
      </c>
    </row>
    <row r="80" spans="1:24" x14ac:dyDescent="0.25">
      <c r="A80" s="1" t="s">
        <v>1288</v>
      </c>
      <c r="B80" t="str">
        <f>IFERROR(VLOOKUP(Master[[#This Row],[Cell_ID]],Registre_Maintenance[],2,FALSE),"")</f>
        <v>Tshopo</v>
      </c>
      <c r="C80" s="1" t="s">
        <v>962</v>
      </c>
      <c r="D80" s="2">
        <v>45215.580555555563</v>
      </c>
      <c r="E80" s="3">
        <v>45215.580555555563</v>
      </c>
      <c r="F80">
        <v>102</v>
      </c>
      <c r="G80">
        <f>Master[[#This Row],[Duree_Panne_Min]]/60</f>
        <v>1.7</v>
      </c>
      <c r="H80" s="1" t="s">
        <v>737</v>
      </c>
      <c r="I80">
        <f>IFERROR(VLOOKUP(Master[[#This Row],[Cell_ID]],Registre_Maintenance[],3,FALSE),"")</f>
        <v>2.4425979999999998</v>
      </c>
      <c r="J80">
        <f>IFERROR(VLOOKUP(Master[[#This Row],[Cell_ID]],Registre_Maintenance[],4,FALSE),"")</f>
        <v>24.924308</v>
      </c>
      <c r="K80" t="str">
        <f>IFERROR(VLOOKUP(Master[[#This Row],[Cell_ID]],Registre_Maintenance[],5,FALSE),"")</f>
        <v>5G</v>
      </c>
      <c r="L80" t="str">
        <f>IFERROR(VLOOKUP(Master[[#This Row],[Cell_ID]],Registre_Maintenance[],6,FALSE),"")</f>
        <v>Ericsson</v>
      </c>
      <c r="M80" s="1" t="str">
        <f>VLOOKUP(Master[[#This Row],[Province_RDC]],Client[],2,FALSE)</f>
        <v>CLI-00745</v>
      </c>
      <c r="N80" s="1">
        <f>VLOOKUP(Master[[#This Row],[Province_RDC]],Client[],3,FALSE)</f>
        <v>6</v>
      </c>
      <c r="O80" s="1" t="str">
        <f>VLOOKUP(Master[[#This Row],[Province_RDC]],Client[],4,FALSE)</f>
        <v>Premium 5G 150Go</v>
      </c>
      <c r="P80" s="1">
        <f>VLOOKUP(Master[[#This Row],[Province_RDC]],Client[],5,FALSE)</f>
        <v>207</v>
      </c>
      <c r="Q80" s="1">
        <f>VLOOKUP(Master[[#This Row],[Province_RDC]],Client[],6,FALSE)</f>
        <v>61.55</v>
      </c>
      <c r="R80" s="1">
        <f>VLOOKUP(Master[[#This Row],[Province_RDC]],Client[],7,FALSE)</f>
        <v>0</v>
      </c>
      <c r="S80" s="1" t="str">
        <f>IF(Master[[#This Row],[Type_Forfait]]="Pro Monde","B2B","B2C")</f>
        <v>B2C</v>
      </c>
      <c r="T80" s="1">
        <f>Master[[#This Row],[Anciennete_Mois]]/12</f>
        <v>0.5</v>
      </c>
      <c r="U80" s="1">
        <f>Master[[#This Row],[Duree_Cumule_Panne_Min]]/60</f>
        <v>3.45</v>
      </c>
      <c r="V8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80" s="6">
        <f>Master[[#This Row],[Facture_Mensuelle]]*Master[[#This Row],[Remise]]</f>
        <v>0</v>
      </c>
    </row>
    <row r="81" spans="1:24" x14ac:dyDescent="0.25">
      <c r="A81" s="1" t="s">
        <v>1261</v>
      </c>
      <c r="B81" t="str">
        <f>IFERROR(VLOOKUP(Master[[#This Row],[Cell_ID]],Registre_Maintenance[],2,FALSE),"")</f>
        <v>Sud-Kivu</v>
      </c>
      <c r="C81" s="1" t="s">
        <v>1283</v>
      </c>
      <c r="D81" s="2">
        <v>45208.10833333333</v>
      </c>
      <c r="E81" s="3">
        <v>45208.10833333333</v>
      </c>
      <c r="F81">
        <v>102</v>
      </c>
      <c r="G81">
        <f>Master[[#This Row],[Duree_Panne_Min]]/60</f>
        <v>1.7</v>
      </c>
      <c r="H81" s="1" t="s">
        <v>735</v>
      </c>
      <c r="I81">
        <f>IFERROR(VLOOKUP(Master[[#This Row],[Cell_ID]],Registre_Maintenance[],3,FALSE),"")</f>
        <v>-1.4700059999999999</v>
      </c>
      <c r="J81">
        <f>IFERROR(VLOOKUP(Master[[#This Row],[Cell_ID]],Registre_Maintenance[],4,FALSE),"")</f>
        <v>18.680958</v>
      </c>
      <c r="K81" t="str">
        <f>IFERROR(VLOOKUP(Master[[#This Row],[Cell_ID]],Registre_Maintenance[],5,FALSE),"")</f>
        <v>3G</v>
      </c>
      <c r="L81" t="str">
        <f>IFERROR(VLOOKUP(Master[[#This Row],[Cell_ID]],Registre_Maintenance[],6,FALSE),"")</f>
        <v>Huawei</v>
      </c>
      <c r="M81" s="1" t="str">
        <f>VLOOKUP(Master[[#This Row],[Province_RDC]],Client[],2,FALSE)</f>
        <v>CLI-01855</v>
      </c>
      <c r="N81" s="1">
        <f>VLOOKUP(Master[[#This Row],[Province_RDC]],Client[],3,FALSE)</f>
        <v>101</v>
      </c>
      <c r="O81" s="1" t="str">
        <f>VLOOKUP(Master[[#This Row],[Province_RDC]],Client[],4,FALSE)</f>
        <v>Illimité 50Go</v>
      </c>
      <c r="P81" s="1">
        <f>VLOOKUP(Master[[#This Row],[Province_RDC]],Client[],5,FALSE)</f>
        <v>358</v>
      </c>
      <c r="Q81" s="1">
        <f>VLOOKUP(Master[[#This Row],[Province_RDC]],Client[],6,FALSE)</f>
        <v>29.24</v>
      </c>
      <c r="R81" s="1">
        <f>VLOOKUP(Master[[#This Row],[Province_RDC]],Client[],7,FALSE)</f>
        <v>3</v>
      </c>
      <c r="S81" s="1" t="str">
        <f>IF(Master[[#This Row],[Type_Forfait]]="Pro Monde","B2B","B2C")</f>
        <v>B2C</v>
      </c>
      <c r="T81" s="1">
        <f>Master[[#This Row],[Anciennete_Mois]]/12</f>
        <v>8.4166666666666661</v>
      </c>
      <c r="U81" s="1">
        <f>Master[[#This Row],[Duree_Cumule_Panne_Min]]/60</f>
        <v>5.9666666666666668</v>
      </c>
      <c r="V8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1" s="6">
        <f>Master[[#This Row],[Facture_Mensuelle]]*Master[[#This Row],[Remise]]</f>
        <v>13.157999999999999</v>
      </c>
    </row>
    <row r="82" spans="1:24" x14ac:dyDescent="0.25">
      <c r="A82" s="1" t="s">
        <v>1219</v>
      </c>
      <c r="B82" t="str">
        <f>IFERROR(VLOOKUP(Master[[#This Row],[Cell_ID]],Registre_Maintenance[],2,FALSE),"")</f>
        <v>Sud-Kivu</v>
      </c>
      <c r="C82" s="1" t="s">
        <v>843</v>
      </c>
      <c r="D82" s="2">
        <v>45203.224305555559</v>
      </c>
      <c r="E82" s="3">
        <v>45203.224305555559</v>
      </c>
      <c r="F82">
        <v>102</v>
      </c>
      <c r="G82">
        <f>Master[[#This Row],[Duree_Panne_Min]]/60</f>
        <v>1.7</v>
      </c>
      <c r="H82" s="1" t="s">
        <v>737</v>
      </c>
      <c r="I82">
        <f>IFERROR(VLOOKUP(Master[[#This Row],[Cell_ID]],Registre_Maintenance[],3,FALSE),"")</f>
        <v>-9.4702129999999993</v>
      </c>
      <c r="J82">
        <f>IFERROR(VLOOKUP(Master[[#This Row],[Cell_ID]],Registre_Maintenance[],4,FALSE),"")</f>
        <v>12.826158</v>
      </c>
      <c r="K82" t="str">
        <f>IFERROR(VLOOKUP(Master[[#This Row],[Cell_ID]],Registre_Maintenance[],5,FALSE),"")</f>
        <v>3G</v>
      </c>
      <c r="L82" t="str">
        <f>IFERROR(VLOOKUP(Master[[#This Row],[Cell_ID]],Registre_Maintenance[],6,FALSE),"")</f>
        <v>Ericsson</v>
      </c>
      <c r="M82" s="1" t="str">
        <f>VLOOKUP(Master[[#This Row],[Province_RDC]],Client[],2,FALSE)</f>
        <v>CLI-01855</v>
      </c>
      <c r="N82" s="1">
        <f>VLOOKUP(Master[[#This Row],[Province_RDC]],Client[],3,FALSE)</f>
        <v>101</v>
      </c>
      <c r="O82" s="1" t="str">
        <f>VLOOKUP(Master[[#This Row],[Province_RDC]],Client[],4,FALSE)</f>
        <v>Illimité 50Go</v>
      </c>
      <c r="P82" s="1">
        <f>VLOOKUP(Master[[#This Row],[Province_RDC]],Client[],5,FALSE)</f>
        <v>358</v>
      </c>
      <c r="Q82" s="1">
        <f>VLOOKUP(Master[[#This Row],[Province_RDC]],Client[],6,FALSE)</f>
        <v>29.24</v>
      </c>
      <c r="R82" s="1">
        <f>VLOOKUP(Master[[#This Row],[Province_RDC]],Client[],7,FALSE)</f>
        <v>3</v>
      </c>
      <c r="S82" s="1" t="str">
        <f>IF(Master[[#This Row],[Type_Forfait]]="Pro Monde","B2B","B2C")</f>
        <v>B2C</v>
      </c>
      <c r="T82" s="1">
        <f>Master[[#This Row],[Anciennete_Mois]]/12</f>
        <v>8.4166666666666661</v>
      </c>
      <c r="U82" s="1">
        <f>Master[[#This Row],[Duree_Cumule_Panne_Min]]/60</f>
        <v>5.9666666666666668</v>
      </c>
      <c r="V8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2" s="6">
        <f>Master[[#This Row],[Facture_Mensuelle]]*Master[[#This Row],[Remise]]</f>
        <v>13.157999999999999</v>
      </c>
    </row>
    <row r="83" spans="1:24" x14ac:dyDescent="0.25">
      <c r="A83" s="1" t="s">
        <v>902</v>
      </c>
      <c r="B83" t="str">
        <f>IFERROR(VLOOKUP(Master[[#This Row],[Cell_ID]],Registre_Maintenance[],2,FALSE),"")</f>
        <v>Kasai-Central</v>
      </c>
      <c r="C83" s="1" t="s">
        <v>909</v>
      </c>
      <c r="D83" s="2">
        <v>45218.378472222219</v>
      </c>
      <c r="E83" s="3">
        <v>45218.378472222219</v>
      </c>
      <c r="F83">
        <v>102</v>
      </c>
      <c r="G83">
        <f>Master[[#This Row],[Duree_Panne_Min]]/60</f>
        <v>1.7</v>
      </c>
      <c r="H83" s="1" t="s">
        <v>732</v>
      </c>
      <c r="I83">
        <f>IFERROR(VLOOKUP(Master[[#This Row],[Cell_ID]],Registre_Maintenance[],3,FALSE),"")</f>
        <v>-4.4451280000000004</v>
      </c>
      <c r="J83">
        <f>IFERROR(VLOOKUP(Master[[#This Row],[Cell_ID]],Registre_Maintenance[],4,FALSE),"")</f>
        <v>16.536944999999999</v>
      </c>
      <c r="K83" t="str">
        <f>IFERROR(VLOOKUP(Master[[#This Row],[Cell_ID]],Registre_Maintenance[],5,FALSE),"")</f>
        <v>4G</v>
      </c>
      <c r="L83" t="str">
        <f>IFERROR(VLOOKUP(Master[[#This Row],[Cell_ID]],Registre_Maintenance[],6,FALSE),"")</f>
        <v>Ericsson</v>
      </c>
      <c r="M83" s="1" t="str">
        <f>VLOOKUP(Master[[#This Row],[Province_RDC]],Client[],2,FALSE)</f>
        <v>CLI-00060</v>
      </c>
      <c r="N83" s="1">
        <f>VLOOKUP(Master[[#This Row],[Province_RDC]],Client[],3,FALSE)</f>
        <v>72</v>
      </c>
      <c r="O83" s="1" t="str">
        <f>VLOOKUP(Master[[#This Row],[Province_RDC]],Client[],4,FALSE)</f>
        <v>Pro Monde</v>
      </c>
      <c r="P83" s="1">
        <f>VLOOKUP(Master[[#This Row],[Province_RDC]],Client[],5,FALSE)</f>
        <v>160</v>
      </c>
      <c r="Q83" s="1">
        <f>VLOOKUP(Master[[#This Row],[Province_RDC]],Client[],6,FALSE)</f>
        <v>90.13</v>
      </c>
      <c r="R83" s="1">
        <f>VLOOKUP(Master[[#This Row],[Province_RDC]],Client[],7,FALSE)</f>
        <v>2</v>
      </c>
      <c r="S83" s="1" t="str">
        <f>IF(Master[[#This Row],[Type_Forfait]]="Pro Monde","B2B","B2C")</f>
        <v>B2B</v>
      </c>
      <c r="T83" s="1">
        <f>Master[[#This Row],[Anciennete_Mois]]/12</f>
        <v>6</v>
      </c>
      <c r="U83" s="1">
        <f>Master[[#This Row],[Duree_Cumule_Panne_Min]]/60</f>
        <v>2.6666666666666665</v>
      </c>
      <c r="V8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8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83" s="6">
        <f>Master[[#This Row],[Facture_Mensuelle]]*Master[[#This Row],[Remise]]</f>
        <v>9.0129999999999999</v>
      </c>
    </row>
    <row r="84" spans="1:24" x14ac:dyDescent="0.25">
      <c r="A84" s="1" t="s">
        <v>902</v>
      </c>
      <c r="B84" t="str">
        <f>IFERROR(VLOOKUP(Master[[#This Row],[Cell_ID]],Registre_Maintenance[],2,FALSE),"")</f>
        <v>Kasai</v>
      </c>
      <c r="C84" s="1" t="s">
        <v>765</v>
      </c>
      <c r="D84" s="2">
        <v>45205.052777777782</v>
      </c>
      <c r="E84" s="3">
        <v>45205.052777777782</v>
      </c>
      <c r="F84">
        <v>102</v>
      </c>
      <c r="G84">
        <f>Master[[#This Row],[Duree_Panne_Min]]/60</f>
        <v>1.7</v>
      </c>
      <c r="H84" s="1" t="s">
        <v>735</v>
      </c>
      <c r="I84">
        <f>IFERROR(VLOOKUP(Master[[#This Row],[Cell_ID]],Registre_Maintenance[],3,FALSE),"")</f>
        <v>-4.9789079999999997</v>
      </c>
      <c r="J84">
        <f>IFERROR(VLOOKUP(Master[[#This Row],[Cell_ID]],Registre_Maintenance[],4,FALSE),"")</f>
        <v>28.506295000000001</v>
      </c>
      <c r="K84" t="str">
        <f>IFERROR(VLOOKUP(Master[[#This Row],[Cell_ID]],Registre_Maintenance[],5,FALSE),"")</f>
        <v>4G</v>
      </c>
      <c r="L84" t="str">
        <f>IFERROR(VLOOKUP(Master[[#This Row],[Cell_ID]],Registre_Maintenance[],6,FALSE),"")</f>
        <v>Huawei</v>
      </c>
      <c r="M84" s="1" t="str">
        <f>VLOOKUP(Master[[#This Row],[Province_RDC]],Client[],2,FALSE)</f>
        <v>CLI-00559</v>
      </c>
      <c r="N84" s="1">
        <f>VLOOKUP(Master[[#This Row],[Province_RDC]],Client[],3,FALSE)</f>
        <v>99</v>
      </c>
      <c r="O84" s="1" t="str">
        <f>VLOOKUP(Master[[#This Row],[Province_RDC]],Client[],4,FALSE)</f>
        <v>Bloqué 5Go</v>
      </c>
      <c r="P84" s="1">
        <f>VLOOKUP(Master[[#This Row],[Province_RDC]],Client[],5,FALSE)</f>
        <v>369</v>
      </c>
      <c r="Q84" s="1">
        <f>VLOOKUP(Master[[#This Row],[Province_RDC]],Client[],6,FALSE)</f>
        <v>67.209999999999994</v>
      </c>
      <c r="R84" s="1">
        <f>VLOOKUP(Master[[#This Row],[Province_RDC]],Client[],7,FALSE)</f>
        <v>3</v>
      </c>
      <c r="S84" s="1" t="str">
        <f>IF(Master[[#This Row],[Type_Forfait]]="Pro Monde","B2B","B2C")</f>
        <v>B2C</v>
      </c>
      <c r="T84" s="1">
        <f>Master[[#This Row],[Anciennete_Mois]]/12</f>
        <v>8.25</v>
      </c>
      <c r="U84" s="1">
        <f>Master[[#This Row],[Duree_Cumule_Panne_Min]]/60</f>
        <v>6.15</v>
      </c>
      <c r="V8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4" s="6">
        <f>Master[[#This Row],[Facture_Mensuelle]]*Master[[#This Row],[Remise]]</f>
        <v>30.244499999999999</v>
      </c>
    </row>
    <row r="85" spans="1:24" x14ac:dyDescent="0.25">
      <c r="A85" s="1" t="s">
        <v>1261</v>
      </c>
      <c r="B85" t="str">
        <f>IFERROR(VLOOKUP(Master[[#This Row],[Cell_ID]],Registre_Maintenance[],2,FALSE),"")</f>
        <v>Haut-Lomami</v>
      </c>
      <c r="C85" s="1" t="s">
        <v>1271</v>
      </c>
      <c r="D85" s="2">
        <v>45222.777777777781</v>
      </c>
      <c r="E85" s="3">
        <v>45222.777777777781</v>
      </c>
      <c r="F85">
        <v>102</v>
      </c>
      <c r="G85">
        <f>Master[[#This Row],[Duree_Panne_Min]]/60</f>
        <v>1.7</v>
      </c>
      <c r="H85" s="1" t="s">
        <v>737</v>
      </c>
      <c r="I85">
        <f>IFERROR(VLOOKUP(Master[[#This Row],[Cell_ID]],Registre_Maintenance[],3,FALSE),"")</f>
        <v>-1.3938550000000001</v>
      </c>
      <c r="J85">
        <f>IFERROR(VLOOKUP(Master[[#This Row],[Cell_ID]],Registre_Maintenance[],4,FALSE),"")</f>
        <v>15.097554000000001</v>
      </c>
      <c r="K85" t="str">
        <f>IFERROR(VLOOKUP(Master[[#This Row],[Cell_ID]],Registre_Maintenance[],5,FALSE),"")</f>
        <v>4G</v>
      </c>
      <c r="L85" t="str">
        <f>IFERROR(VLOOKUP(Master[[#This Row],[Cell_ID]],Registre_Maintenance[],6,FALSE),"")</f>
        <v>Huawei</v>
      </c>
      <c r="M85" s="1" t="str">
        <f>VLOOKUP(Master[[#This Row],[Province_RDC]],Client[],2,FALSE)</f>
        <v>CLI-01325</v>
      </c>
      <c r="N85" s="1">
        <f>VLOOKUP(Master[[#This Row],[Province_RDC]],Client[],3,FALSE)</f>
        <v>44</v>
      </c>
      <c r="O85" s="1" t="str">
        <f>VLOOKUP(Master[[#This Row],[Province_RDC]],Client[],4,FALSE)</f>
        <v>Bloqué 5Go</v>
      </c>
      <c r="P85" s="1">
        <f>VLOOKUP(Master[[#This Row],[Province_RDC]],Client[],5,FALSE)</f>
        <v>348</v>
      </c>
      <c r="Q85" s="1">
        <f>VLOOKUP(Master[[#This Row],[Province_RDC]],Client[],6,FALSE)</f>
        <v>58.67</v>
      </c>
      <c r="R85" s="1">
        <f>VLOOKUP(Master[[#This Row],[Province_RDC]],Client[],7,FALSE)</f>
        <v>0</v>
      </c>
      <c r="S85" s="1" t="str">
        <f>IF(Master[[#This Row],[Type_Forfait]]="Pro Monde","B2B","B2C")</f>
        <v>B2C</v>
      </c>
      <c r="T85" s="1">
        <f>Master[[#This Row],[Anciennete_Mois]]/12</f>
        <v>3.6666666666666665</v>
      </c>
      <c r="U85" s="1">
        <f>Master[[#This Row],[Duree_Cumule_Panne_Min]]/60</f>
        <v>5.8</v>
      </c>
      <c r="V8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5" s="6">
        <f>Master[[#This Row],[Facture_Mensuelle]]*Master[[#This Row],[Remise]]</f>
        <v>26.401500000000002</v>
      </c>
    </row>
    <row r="86" spans="1:24" x14ac:dyDescent="0.25">
      <c r="A86" s="1" t="s">
        <v>861</v>
      </c>
      <c r="B86" t="str">
        <f>IFERROR(VLOOKUP(Master[[#This Row],[Cell_ID]],Registre_Maintenance[],2,FALSE),"")</f>
        <v>Tshopo</v>
      </c>
      <c r="C86" s="1" t="s">
        <v>885</v>
      </c>
      <c r="D86" s="2">
        <v>45203.22152777778</v>
      </c>
      <c r="E86" s="3">
        <v>45203.22152777778</v>
      </c>
      <c r="F86">
        <v>101</v>
      </c>
      <c r="G86">
        <f>Master[[#This Row],[Duree_Panne_Min]]/60</f>
        <v>1.6833333333333333</v>
      </c>
      <c r="H86" s="1" t="s">
        <v>732</v>
      </c>
      <c r="I86">
        <f>IFERROR(VLOOKUP(Master[[#This Row],[Cell_ID]],Registre_Maintenance[],3,FALSE),"")</f>
        <v>3.0603760000000002</v>
      </c>
      <c r="J86">
        <f>IFERROR(VLOOKUP(Master[[#This Row],[Cell_ID]],Registre_Maintenance[],4,FALSE),"")</f>
        <v>19.708034000000001</v>
      </c>
      <c r="K86" t="str">
        <f>IFERROR(VLOOKUP(Master[[#This Row],[Cell_ID]],Registre_Maintenance[],5,FALSE),"")</f>
        <v>3G</v>
      </c>
      <c r="L86" t="str">
        <f>IFERROR(VLOOKUP(Master[[#This Row],[Cell_ID]],Registre_Maintenance[],6,FALSE),"")</f>
        <v>ZTE</v>
      </c>
      <c r="M86" s="1" t="str">
        <f>VLOOKUP(Master[[#This Row],[Province_RDC]],Client[],2,FALSE)</f>
        <v>CLI-00745</v>
      </c>
      <c r="N86" s="1">
        <f>VLOOKUP(Master[[#This Row],[Province_RDC]],Client[],3,FALSE)</f>
        <v>6</v>
      </c>
      <c r="O86" s="1" t="str">
        <f>VLOOKUP(Master[[#This Row],[Province_RDC]],Client[],4,FALSE)</f>
        <v>Premium 5G 150Go</v>
      </c>
      <c r="P86" s="1">
        <f>VLOOKUP(Master[[#This Row],[Province_RDC]],Client[],5,FALSE)</f>
        <v>207</v>
      </c>
      <c r="Q86" s="1">
        <f>VLOOKUP(Master[[#This Row],[Province_RDC]],Client[],6,FALSE)</f>
        <v>61.55</v>
      </c>
      <c r="R86" s="1">
        <f>VLOOKUP(Master[[#This Row],[Province_RDC]],Client[],7,FALSE)</f>
        <v>0</v>
      </c>
      <c r="S86" s="1" t="str">
        <f>IF(Master[[#This Row],[Type_Forfait]]="Pro Monde","B2B","B2C")</f>
        <v>B2C</v>
      </c>
      <c r="T86" s="1">
        <f>Master[[#This Row],[Anciennete_Mois]]/12</f>
        <v>0.5</v>
      </c>
      <c r="U86" s="1">
        <f>Master[[#This Row],[Duree_Cumule_Panne_Min]]/60</f>
        <v>3.45</v>
      </c>
      <c r="V8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86" s="6">
        <f>Master[[#This Row],[Facture_Mensuelle]]*Master[[#This Row],[Remise]]</f>
        <v>0</v>
      </c>
    </row>
    <row r="87" spans="1:24" x14ac:dyDescent="0.25">
      <c r="A87" s="1" t="s">
        <v>939</v>
      </c>
      <c r="B87" t="str">
        <f>IFERROR(VLOOKUP(Master[[#This Row],[Cell_ID]],Registre_Maintenance[],2,FALSE),"")</f>
        <v>Nord-Kivu</v>
      </c>
      <c r="C87" s="1" t="s">
        <v>977</v>
      </c>
      <c r="D87" s="2">
        <v>45222.353472222218</v>
      </c>
      <c r="E87" s="3">
        <v>45222.353472222218</v>
      </c>
      <c r="F87">
        <v>101</v>
      </c>
      <c r="G87">
        <f>Master[[#This Row],[Duree_Panne_Min]]/60</f>
        <v>1.6833333333333333</v>
      </c>
      <c r="H87" s="1" t="s">
        <v>735</v>
      </c>
      <c r="I87">
        <f>IFERROR(VLOOKUP(Master[[#This Row],[Cell_ID]],Registre_Maintenance[],3,FALSE),"")</f>
        <v>-10.846306999999999</v>
      </c>
      <c r="J87">
        <f>IFERROR(VLOOKUP(Master[[#This Row],[Cell_ID]],Registre_Maintenance[],4,FALSE),"")</f>
        <v>19.201827999999999</v>
      </c>
      <c r="K87" t="str">
        <f>IFERROR(VLOOKUP(Master[[#This Row],[Cell_ID]],Registre_Maintenance[],5,FALSE),"")</f>
        <v>4G</v>
      </c>
      <c r="L87" t="str">
        <f>IFERROR(VLOOKUP(Master[[#This Row],[Cell_ID]],Registre_Maintenance[],6,FALSE),"")</f>
        <v>Ericsson</v>
      </c>
      <c r="M87" s="1" t="str">
        <f>VLOOKUP(Master[[#This Row],[Province_RDC]],Client[],2,FALSE)</f>
        <v>CLI-00837</v>
      </c>
      <c r="N87" s="1">
        <f>VLOOKUP(Master[[#This Row],[Province_RDC]],Client[],3,FALSE)</f>
        <v>16</v>
      </c>
      <c r="O87" s="1" t="str">
        <f>VLOOKUP(Master[[#This Row],[Province_RDC]],Client[],4,FALSE)</f>
        <v>Bloqué 5Go</v>
      </c>
      <c r="P87" s="1">
        <f>VLOOKUP(Master[[#This Row],[Province_RDC]],Client[],5,FALSE)</f>
        <v>390</v>
      </c>
      <c r="Q87" s="1">
        <f>VLOOKUP(Master[[#This Row],[Province_RDC]],Client[],6,FALSE)</f>
        <v>98.17</v>
      </c>
      <c r="R87" s="1">
        <f>VLOOKUP(Master[[#This Row],[Province_RDC]],Client[],7,FALSE)</f>
        <v>5</v>
      </c>
      <c r="S87" s="1" t="str">
        <f>IF(Master[[#This Row],[Type_Forfait]]="Pro Monde","B2B","B2C")</f>
        <v>B2C</v>
      </c>
      <c r="T87" s="1">
        <f>Master[[#This Row],[Anciennete_Mois]]/12</f>
        <v>1.3333333333333333</v>
      </c>
      <c r="U87" s="1">
        <f>Master[[#This Row],[Duree_Cumule_Panne_Min]]/60</f>
        <v>6.5</v>
      </c>
      <c r="V8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7" s="6">
        <f>Master[[#This Row],[Facture_Mensuelle]]*Master[[#This Row],[Remise]]</f>
        <v>44.176500000000004</v>
      </c>
    </row>
    <row r="88" spans="1:24" x14ac:dyDescent="0.25">
      <c r="A88" s="1" t="s">
        <v>823</v>
      </c>
      <c r="B88" t="str">
        <f>IFERROR(VLOOKUP(Master[[#This Row],[Cell_ID]],Registre_Maintenance[],2,FALSE),"")</f>
        <v>Nord-Kivu</v>
      </c>
      <c r="C88" s="1" t="s">
        <v>839</v>
      </c>
      <c r="D88" s="2">
        <v>45203.997916666667</v>
      </c>
      <c r="E88" s="3">
        <v>45203.997916666667</v>
      </c>
      <c r="F88">
        <v>101</v>
      </c>
      <c r="G88">
        <f>Master[[#This Row],[Duree_Panne_Min]]/60</f>
        <v>1.6833333333333333</v>
      </c>
      <c r="H88" s="1" t="s">
        <v>737</v>
      </c>
      <c r="I88">
        <f>IFERROR(VLOOKUP(Master[[#This Row],[Cell_ID]],Registre_Maintenance[],3,FALSE),"")</f>
        <v>-6.3148239999999998</v>
      </c>
      <c r="J88">
        <f>IFERROR(VLOOKUP(Master[[#This Row],[Cell_ID]],Registre_Maintenance[],4,FALSE),"")</f>
        <v>24.507498999999999</v>
      </c>
      <c r="K88" t="str">
        <f>IFERROR(VLOOKUP(Master[[#This Row],[Cell_ID]],Registre_Maintenance[],5,FALSE),"")</f>
        <v>3G</v>
      </c>
      <c r="L88" t="str">
        <f>IFERROR(VLOOKUP(Master[[#This Row],[Cell_ID]],Registre_Maintenance[],6,FALSE),"")</f>
        <v>ZTE</v>
      </c>
      <c r="M88" s="1" t="str">
        <f>VLOOKUP(Master[[#This Row],[Province_RDC]],Client[],2,FALSE)</f>
        <v>CLI-00837</v>
      </c>
      <c r="N88" s="1">
        <f>VLOOKUP(Master[[#This Row],[Province_RDC]],Client[],3,FALSE)</f>
        <v>16</v>
      </c>
      <c r="O88" s="1" t="str">
        <f>VLOOKUP(Master[[#This Row],[Province_RDC]],Client[],4,FALSE)</f>
        <v>Bloqué 5Go</v>
      </c>
      <c r="P88" s="1">
        <f>VLOOKUP(Master[[#This Row],[Province_RDC]],Client[],5,FALSE)</f>
        <v>390</v>
      </c>
      <c r="Q88" s="1">
        <f>VLOOKUP(Master[[#This Row],[Province_RDC]],Client[],6,FALSE)</f>
        <v>98.17</v>
      </c>
      <c r="R88" s="1">
        <f>VLOOKUP(Master[[#This Row],[Province_RDC]],Client[],7,FALSE)</f>
        <v>5</v>
      </c>
      <c r="S88" s="1" t="str">
        <f>IF(Master[[#This Row],[Type_Forfait]]="Pro Monde","B2B","B2C")</f>
        <v>B2C</v>
      </c>
      <c r="T88" s="1">
        <f>Master[[#This Row],[Anciennete_Mois]]/12</f>
        <v>1.3333333333333333</v>
      </c>
      <c r="U88" s="1">
        <f>Master[[#This Row],[Duree_Cumule_Panne_Min]]/60</f>
        <v>6.5</v>
      </c>
      <c r="V8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8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88" s="6">
        <f>Master[[#This Row],[Facture_Mensuelle]]*Master[[#This Row],[Remise]]</f>
        <v>44.176500000000004</v>
      </c>
    </row>
    <row r="89" spans="1:24" x14ac:dyDescent="0.25">
      <c r="A89" s="1" t="s">
        <v>1361</v>
      </c>
      <c r="B89" t="str">
        <f>IFERROR(VLOOKUP(Master[[#This Row],[Cell_ID]],Registre_Maintenance[],2,FALSE),"")</f>
        <v>Maniema</v>
      </c>
      <c r="C89" s="1" t="s">
        <v>1365</v>
      </c>
      <c r="D89" s="2">
        <v>45226.530555555553</v>
      </c>
      <c r="E89" s="3">
        <v>45226.530555555553</v>
      </c>
      <c r="F89">
        <v>101</v>
      </c>
      <c r="G89">
        <f>Master[[#This Row],[Duree_Panne_Min]]/60</f>
        <v>1.6833333333333333</v>
      </c>
      <c r="H89" s="1" t="s">
        <v>737</v>
      </c>
      <c r="I89">
        <f>IFERROR(VLOOKUP(Master[[#This Row],[Cell_ID]],Registre_Maintenance[],3,FALSE),"")</f>
        <v>-10.650321</v>
      </c>
      <c r="J89">
        <f>IFERROR(VLOOKUP(Master[[#This Row],[Cell_ID]],Registre_Maintenance[],4,FALSE),"")</f>
        <v>15.917044000000001</v>
      </c>
      <c r="K89" t="str">
        <f>IFERROR(VLOOKUP(Master[[#This Row],[Cell_ID]],Registre_Maintenance[],5,FALSE),"")</f>
        <v>4G</v>
      </c>
      <c r="L89" t="str">
        <f>IFERROR(VLOOKUP(Master[[#This Row],[Cell_ID]],Registre_Maintenance[],6,FALSE),"")</f>
        <v>Nokia</v>
      </c>
      <c r="M89" s="1" t="str">
        <f>VLOOKUP(Master[[#This Row],[Province_RDC]],Client[],2,FALSE)</f>
        <v>CLI-00185</v>
      </c>
      <c r="N89" s="1">
        <f>VLOOKUP(Master[[#This Row],[Province_RDC]],Client[],3,FALSE)</f>
        <v>81</v>
      </c>
      <c r="O89" s="1" t="str">
        <f>VLOOKUP(Master[[#This Row],[Province_RDC]],Client[],4,FALSE)</f>
        <v>Pro Monde</v>
      </c>
      <c r="P89" s="1">
        <f>VLOOKUP(Master[[#This Row],[Province_RDC]],Client[],5,FALSE)</f>
        <v>154</v>
      </c>
      <c r="Q89" s="1">
        <f>VLOOKUP(Master[[#This Row],[Province_RDC]],Client[],6,FALSE)</f>
        <v>19.47</v>
      </c>
      <c r="R89" s="1">
        <f>VLOOKUP(Master[[#This Row],[Province_RDC]],Client[],7,FALSE)</f>
        <v>3</v>
      </c>
      <c r="S89" s="1" t="str">
        <f>IF(Master[[#This Row],[Type_Forfait]]="Pro Monde","B2B","B2C")</f>
        <v>B2B</v>
      </c>
      <c r="T89" s="1">
        <f>Master[[#This Row],[Anciennete_Mois]]/12</f>
        <v>6.75</v>
      </c>
      <c r="U89" s="1">
        <f>Master[[#This Row],[Duree_Cumule_Panne_Min]]/60</f>
        <v>2.5666666666666669</v>
      </c>
      <c r="V8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8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89" s="6">
        <f>Master[[#This Row],[Facture_Mensuelle]]*Master[[#This Row],[Remise]]</f>
        <v>1.9470000000000001</v>
      </c>
    </row>
    <row r="90" spans="1:24" x14ac:dyDescent="0.25">
      <c r="A90" s="1" t="s">
        <v>902</v>
      </c>
      <c r="B90" t="str">
        <f>IFERROR(VLOOKUP(Master[[#This Row],[Cell_ID]],Registre_Maintenance[],2,FALSE),"")</f>
        <v>Lualaba</v>
      </c>
      <c r="C90" s="1" t="s">
        <v>910</v>
      </c>
      <c r="D90" s="2">
        <v>45207.149305555547</v>
      </c>
      <c r="E90" s="3">
        <v>45207.149305555547</v>
      </c>
      <c r="F90">
        <v>101</v>
      </c>
      <c r="G90">
        <f>Master[[#This Row],[Duree_Panne_Min]]/60</f>
        <v>1.6833333333333333</v>
      </c>
      <c r="H90" s="1" t="s">
        <v>737</v>
      </c>
      <c r="I90">
        <f>IFERROR(VLOOKUP(Master[[#This Row],[Cell_ID]],Registre_Maintenance[],3,FALSE),"")</f>
        <v>-10.872631999999999</v>
      </c>
      <c r="J90">
        <f>IFERROR(VLOOKUP(Master[[#This Row],[Cell_ID]],Registre_Maintenance[],4,FALSE),"")</f>
        <v>12.773279</v>
      </c>
      <c r="K90" t="str">
        <f>IFERROR(VLOOKUP(Master[[#This Row],[Cell_ID]],Registre_Maintenance[],5,FALSE),"")</f>
        <v>3G</v>
      </c>
      <c r="L90" t="str">
        <f>IFERROR(VLOOKUP(Master[[#This Row],[Cell_ID]],Registre_Maintenance[],6,FALSE),"")</f>
        <v>ZTE</v>
      </c>
      <c r="M90" s="1" t="str">
        <f>VLOOKUP(Master[[#This Row],[Province_RDC]],Client[],2,FALSE)</f>
        <v>CLI-01005</v>
      </c>
      <c r="N90" s="1">
        <f>VLOOKUP(Master[[#This Row],[Province_RDC]],Client[],3,FALSE)</f>
        <v>80</v>
      </c>
      <c r="O90" s="1" t="str">
        <f>VLOOKUP(Master[[#This Row],[Province_RDC]],Client[],4,FALSE)</f>
        <v>Illimité 50Go</v>
      </c>
      <c r="P90" s="1">
        <f>VLOOKUP(Master[[#This Row],[Province_RDC]],Client[],5,FALSE)</f>
        <v>155</v>
      </c>
      <c r="Q90" s="1">
        <f>VLOOKUP(Master[[#This Row],[Province_RDC]],Client[],6,FALSE)</f>
        <v>28.96</v>
      </c>
      <c r="R90" s="1">
        <f>VLOOKUP(Master[[#This Row],[Province_RDC]],Client[],7,FALSE)</f>
        <v>2</v>
      </c>
      <c r="S90" s="1" t="str">
        <f>IF(Master[[#This Row],[Type_Forfait]]="Pro Monde","B2B","B2C")</f>
        <v>B2C</v>
      </c>
      <c r="T90" s="1">
        <f>Master[[#This Row],[Anciennete_Mois]]/12</f>
        <v>6.666666666666667</v>
      </c>
      <c r="U90" s="1">
        <f>Master[[#This Row],[Duree_Cumule_Panne_Min]]/60</f>
        <v>2.5833333333333335</v>
      </c>
      <c r="V9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9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90" s="6">
        <f>Master[[#This Row],[Facture_Mensuelle]]*Master[[#This Row],[Remise]]</f>
        <v>0</v>
      </c>
    </row>
    <row r="91" spans="1:24" x14ac:dyDescent="0.25">
      <c r="A91" s="1" t="s">
        <v>1024</v>
      </c>
      <c r="B91" t="str">
        <f>IFERROR(VLOOKUP(Master[[#This Row],[Cell_ID]],Registre_Maintenance[],2,FALSE),"")</f>
        <v>Bas-Uele</v>
      </c>
      <c r="C91" s="1" t="s">
        <v>1053</v>
      </c>
      <c r="D91" s="2">
        <v>45220.893750000003</v>
      </c>
      <c r="E91" s="3">
        <v>45220.893750000003</v>
      </c>
      <c r="F91">
        <v>101</v>
      </c>
      <c r="G91">
        <f>Master[[#This Row],[Duree_Panne_Min]]/60</f>
        <v>1.6833333333333333</v>
      </c>
      <c r="H91" s="1" t="s">
        <v>737</v>
      </c>
      <c r="I91">
        <f>IFERROR(VLOOKUP(Master[[#This Row],[Cell_ID]],Registre_Maintenance[],3,FALSE),"")</f>
        <v>-2.2876210000000001</v>
      </c>
      <c r="J91">
        <f>IFERROR(VLOOKUP(Master[[#This Row],[Cell_ID]],Registre_Maintenance[],4,FALSE),"")</f>
        <v>27.582545</v>
      </c>
      <c r="K91" t="str">
        <f>IFERROR(VLOOKUP(Master[[#This Row],[Cell_ID]],Registre_Maintenance[],5,FALSE),"")</f>
        <v>4G</v>
      </c>
      <c r="L91" t="str">
        <f>IFERROR(VLOOKUP(Master[[#This Row],[Cell_ID]],Registre_Maintenance[],6,FALSE),"")</f>
        <v>Huawei</v>
      </c>
      <c r="M91" s="1" t="str">
        <f>VLOOKUP(Master[[#This Row],[Province_RDC]],Client[],2,FALSE)</f>
        <v>CLI-01128</v>
      </c>
      <c r="N91" s="1">
        <f>VLOOKUP(Master[[#This Row],[Province_RDC]],Client[],3,FALSE)</f>
        <v>112</v>
      </c>
      <c r="O91" s="1" t="str">
        <f>VLOOKUP(Master[[#This Row],[Province_RDC]],Client[],4,FALSE)</f>
        <v>Premium 5G 150Go</v>
      </c>
      <c r="P91" s="1">
        <f>VLOOKUP(Master[[#This Row],[Province_RDC]],Client[],5,FALSE)</f>
        <v>460</v>
      </c>
      <c r="Q91" s="1">
        <f>VLOOKUP(Master[[#This Row],[Province_RDC]],Client[],6,FALSE)</f>
        <v>55.47</v>
      </c>
      <c r="R91" s="1">
        <f>VLOOKUP(Master[[#This Row],[Province_RDC]],Client[],7,FALSE)</f>
        <v>4</v>
      </c>
      <c r="S91" s="1" t="str">
        <f>IF(Master[[#This Row],[Type_Forfait]]="Pro Monde","B2B","B2C")</f>
        <v>B2C</v>
      </c>
      <c r="T91" s="1">
        <f>Master[[#This Row],[Anciennete_Mois]]/12</f>
        <v>9.3333333333333339</v>
      </c>
      <c r="U91" s="1">
        <f>Master[[#This Row],[Duree_Cumule_Panne_Min]]/60</f>
        <v>7.666666666666667</v>
      </c>
      <c r="V9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1" s="6">
        <f>Master[[#This Row],[Facture_Mensuelle]]*Master[[#This Row],[Remise]]</f>
        <v>24.961500000000001</v>
      </c>
    </row>
    <row r="92" spans="1:24" x14ac:dyDescent="0.25">
      <c r="A92" s="1" t="s">
        <v>1138</v>
      </c>
      <c r="B92" t="str">
        <f>IFERROR(VLOOKUP(Master[[#This Row],[Cell_ID]],Registre_Maintenance[],2,FALSE),"")</f>
        <v>Tanganyika</v>
      </c>
      <c r="C92" s="1" t="s">
        <v>1141</v>
      </c>
      <c r="D92" s="2">
        <v>45215.457638888889</v>
      </c>
      <c r="E92" s="3">
        <v>45215.457638888889</v>
      </c>
      <c r="F92">
        <v>100</v>
      </c>
      <c r="G92">
        <f>Master[[#This Row],[Duree_Panne_Min]]/60</f>
        <v>1.6666666666666667</v>
      </c>
      <c r="H92" s="1" t="s">
        <v>732</v>
      </c>
      <c r="I92">
        <f>IFERROR(VLOOKUP(Master[[#This Row],[Cell_ID]],Registre_Maintenance[],3,FALSE),"")</f>
        <v>-11.793894</v>
      </c>
      <c r="J92">
        <f>IFERROR(VLOOKUP(Master[[#This Row],[Cell_ID]],Registre_Maintenance[],4,FALSE),"")</f>
        <v>20.433340999999999</v>
      </c>
      <c r="K92" t="str">
        <f>IFERROR(VLOOKUP(Master[[#This Row],[Cell_ID]],Registre_Maintenance[],5,FALSE),"")</f>
        <v>5G</v>
      </c>
      <c r="L92" t="str">
        <f>IFERROR(VLOOKUP(Master[[#This Row],[Cell_ID]],Registre_Maintenance[],6,FALSE),"")</f>
        <v>Nokia</v>
      </c>
      <c r="M92" s="1" t="str">
        <f>VLOOKUP(Master[[#This Row],[Province_RDC]],Client[],2,FALSE)</f>
        <v>CLI-01618</v>
      </c>
      <c r="N92" s="1">
        <f>VLOOKUP(Master[[#This Row],[Province_RDC]],Client[],3,FALSE)</f>
        <v>115</v>
      </c>
      <c r="O92" s="1" t="str">
        <f>VLOOKUP(Master[[#This Row],[Province_RDC]],Client[],4,FALSE)</f>
        <v>Bloqué 5Go</v>
      </c>
      <c r="P92" s="1">
        <f>VLOOKUP(Master[[#This Row],[Province_RDC]],Client[],5,FALSE)</f>
        <v>176</v>
      </c>
      <c r="Q92" s="1">
        <f>VLOOKUP(Master[[#This Row],[Province_RDC]],Client[],6,FALSE)</f>
        <v>33.28</v>
      </c>
      <c r="R92" s="1">
        <f>VLOOKUP(Master[[#This Row],[Province_RDC]],Client[],7,FALSE)</f>
        <v>4</v>
      </c>
      <c r="S92" s="1" t="str">
        <f>IF(Master[[#This Row],[Type_Forfait]]="Pro Monde","B2B","B2C")</f>
        <v>B2C</v>
      </c>
      <c r="T92" s="1">
        <f>Master[[#This Row],[Anciennete_Mois]]/12</f>
        <v>9.5833333333333339</v>
      </c>
      <c r="U92" s="1">
        <f>Master[[#This Row],[Duree_Cumule_Panne_Min]]/60</f>
        <v>2.9333333333333331</v>
      </c>
      <c r="V9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9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92" s="6">
        <f>Master[[#This Row],[Facture_Mensuelle]]*Master[[#This Row],[Remise]]</f>
        <v>0</v>
      </c>
    </row>
    <row r="93" spans="1:24" x14ac:dyDescent="0.25">
      <c r="A93" s="1" t="s">
        <v>939</v>
      </c>
      <c r="B93" t="str">
        <f>IFERROR(VLOOKUP(Master[[#This Row],[Cell_ID]],Registre_Maintenance[],2,FALSE),"")</f>
        <v>Sud-Kivu</v>
      </c>
      <c r="C93" s="1" t="s">
        <v>964</v>
      </c>
      <c r="D93" s="2">
        <v>45228.001388888893</v>
      </c>
      <c r="E93" s="3">
        <v>45228.001388888893</v>
      </c>
      <c r="F93">
        <v>100</v>
      </c>
      <c r="G93">
        <f>Master[[#This Row],[Duree_Panne_Min]]/60</f>
        <v>1.6666666666666667</v>
      </c>
      <c r="H93" s="1" t="s">
        <v>735</v>
      </c>
      <c r="I93">
        <f>IFERROR(VLOOKUP(Master[[#This Row],[Cell_ID]],Registre_Maintenance[],3,FALSE),"")</f>
        <v>-9.3900009999999998</v>
      </c>
      <c r="J93">
        <f>IFERROR(VLOOKUP(Master[[#This Row],[Cell_ID]],Registre_Maintenance[],4,FALSE),"")</f>
        <v>30.001517</v>
      </c>
      <c r="K93" t="str">
        <f>IFERROR(VLOOKUP(Master[[#This Row],[Cell_ID]],Registre_Maintenance[],5,FALSE),"")</f>
        <v>3G</v>
      </c>
      <c r="L93" t="str">
        <f>IFERROR(VLOOKUP(Master[[#This Row],[Cell_ID]],Registre_Maintenance[],6,FALSE),"")</f>
        <v>Nokia</v>
      </c>
      <c r="M93" s="1" t="str">
        <f>VLOOKUP(Master[[#This Row],[Province_RDC]],Client[],2,FALSE)</f>
        <v>CLI-01855</v>
      </c>
      <c r="N93" s="1">
        <f>VLOOKUP(Master[[#This Row],[Province_RDC]],Client[],3,FALSE)</f>
        <v>101</v>
      </c>
      <c r="O93" s="1" t="str">
        <f>VLOOKUP(Master[[#This Row],[Province_RDC]],Client[],4,FALSE)</f>
        <v>Illimité 50Go</v>
      </c>
      <c r="P93" s="1">
        <f>VLOOKUP(Master[[#This Row],[Province_RDC]],Client[],5,FALSE)</f>
        <v>358</v>
      </c>
      <c r="Q93" s="1">
        <f>VLOOKUP(Master[[#This Row],[Province_RDC]],Client[],6,FALSE)</f>
        <v>29.24</v>
      </c>
      <c r="R93" s="1">
        <f>VLOOKUP(Master[[#This Row],[Province_RDC]],Client[],7,FALSE)</f>
        <v>3</v>
      </c>
      <c r="S93" s="1" t="str">
        <f>IF(Master[[#This Row],[Type_Forfait]]="Pro Monde","B2B","B2C")</f>
        <v>B2C</v>
      </c>
      <c r="T93" s="1">
        <f>Master[[#This Row],[Anciennete_Mois]]/12</f>
        <v>8.4166666666666661</v>
      </c>
      <c r="U93" s="1">
        <f>Master[[#This Row],[Duree_Cumule_Panne_Min]]/60</f>
        <v>5.9666666666666668</v>
      </c>
      <c r="V9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3" s="6">
        <f>Master[[#This Row],[Facture_Mensuelle]]*Master[[#This Row],[Remise]]</f>
        <v>13.157999999999999</v>
      </c>
    </row>
    <row r="94" spans="1:24" x14ac:dyDescent="0.25">
      <c r="A94" s="1" t="s">
        <v>1059</v>
      </c>
      <c r="B94" t="str">
        <f>IFERROR(VLOOKUP(Master[[#This Row],[Cell_ID]],Registre_Maintenance[],2,FALSE),"")</f>
        <v>Kwilu</v>
      </c>
      <c r="C94" s="1" t="s">
        <v>1061</v>
      </c>
      <c r="D94" s="2">
        <v>45220.811805555553</v>
      </c>
      <c r="E94" s="3">
        <v>45220.811805555553</v>
      </c>
      <c r="F94">
        <v>100</v>
      </c>
      <c r="G94">
        <f>Master[[#This Row],[Duree_Panne_Min]]/60</f>
        <v>1.6666666666666667</v>
      </c>
      <c r="H94" s="1" t="s">
        <v>737</v>
      </c>
      <c r="I94">
        <f>IFERROR(VLOOKUP(Master[[#This Row],[Cell_ID]],Registre_Maintenance[],3,FALSE),"")</f>
        <v>-0.98830399999999996</v>
      </c>
      <c r="J94">
        <f>IFERROR(VLOOKUP(Master[[#This Row],[Cell_ID]],Registre_Maintenance[],4,FALSE),"")</f>
        <v>28.099966999999999</v>
      </c>
      <c r="K94" t="str">
        <f>IFERROR(VLOOKUP(Master[[#This Row],[Cell_ID]],Registre_Maintenance[],5,FALSE),"")</f>
        <v>3G</v>
      </c>
      <c r="L94" t="str">
        <f>IFERROR(VLOOKUP(Master[[#This Row],[Cell_ID]],Registre_Maintenance[],6,FALSE),"")</f>
        <v>Huawei</v>
      </c>
      <c r="M94" s="1" t="str">
        <f>VLOOKUP(Master[[#This Row],[Province_RDC]],Client[],2,FALSE)</f>
        <v>CLI-00996</v>
      </c>
      <c r="N94" s="1">
        <f>VLOOKUP(Master[[#This Row],[Province_RDC]],Client[],3,FALSE)</f>
        <v>119</v>
      </c>
      <c r="O94" s="1" t="str">
        <f>VLOOKUP(Master[[#This Row],[Province_RDC]],Client[],4,FALSE)</f>
        <v>Illimité 50Go</v>
      </c>
      <c r="P94" s="1">
        <f>VLOOKUP(Master[[#This Row],[Province_RDC]],Client[],5,FALSE)</f>
        <v>228</v>
      </c>
      <c r="Q94" s="1">
        <f>VLOOKUP(Master[[#This Row],[Province_RDC]],Client[],6,FALSE)</f>
        <v>94.72</v>
      </c>
      <c r="R94" s="1">
        <f>VLOOKUP(Master[[#This Row],[Province_RDC]],Client[],7,FALSE)</f>
        <v>3</v>
      </c>
      <c r="S94" s="1" t="str">
        <f>IF(Master[[#This Row],[Type_Forfait]]="Pro Monde","B2B","B2C")</f>
        <v>B2C</v>
      </c>
      <c r="T94" s="1">
        <f>Master[[#This Row],[Anciennete_Mois]]/12</f>
        <v>9.9166666666666661</v>
      </c>
      <c r="U94" s="1">
        <f>Master[[#This Row],[Duree_Cumule_Panne_Min]]/60</f>
        <v>3.8</v>
      </c>
      <c r="V9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9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94" s="6">
        <f>Master[[#This Row],[Facture_Mensuelle]]*Master[[#This Row],[Remise]]</f>
        <v>0</v>
      </c>
    </row>
    <row r="95" spans="1:24" x14ac:dyDescent="0.25">
      <c r="A95" s="1" t="s">
        <v>1241</v>
      </c>
      <c r="B95" t="str">
        <f>IFERROR(VLOOKUP(Master[[#This Row],[Cell_ID]],Registre_Maintenance[],2,FALSE),"")</f>
        <v>Haut-Uele</v>
      </c>
      <c r="C95" s="1" t="s">
        <v>1247</v>
      </c>
      <c r="D95" s="2">
        <v>45217.755555555559</v>
      </c>
      <c r="E95" s="3">
        <v>45217.755555555559</v>
      </c>
      <c r="F95">
        <v>100</v>
      </c>
      <c r="G95">
        <f>Master[[#This Row],[Duree_Panne_Min]]/60</f>
        <v>1.6666666666666667</v>
      </c>
      <c r="H95" s="1" t="s">
        <v>732</v>
      </c>
      <c r="I95">
        <f>IFERROR(VLOOKUP(Master[[#This Row],[Cell_ID]],Registre_Maintenance[],3,FALSE),"")</f>
        <v>-3.003879</v>
      </c>
      <c r="J95">
        <f>IFERROR(VLOOKUP(Master[[#This Row],[Cell_ID]],Registre_Maintenance[],4,FALSE),"")</f>
        <v>23.633893</v>
      </c>
      <c r="K95" t="str">
        <f>IFERROR(VLOOKUP(Master[[#This Row],[Cell_ID]],Registre_Maintenance[],5,FALSE),"")</f>
        <v>5G</v>
      </c>
      <c r="L95" t="str">
        <f>IFERROR(VLOOKUP(Master[[#This Row],[Cell_ID]],Registre_Maintenance[],6,FALSE),"")</f>
        <v>Ericsson</v>
      </c>
      <c r="M95" s="1" t="str">
        <f>VLOOKUP(Master[[#This Row],[Province_RDC]],Client[],2,FALSE)</f>
        <v>CLI-00439</v>
      </c>
      <c r="N95" s="1">
        <f>VLOOKUP(Master[[#This Row],[Province_RDC]],Client[],3,FALSE)</f>
        <v>40</v>
      </c>
      <c r="O95" s="1" t="str">
        <f>VLOOKUP(Master[[#This Row],[Province_RDC]],Client[],4,FALSE)</f>
        <v>Premium 5G 150Go</v>
      </c>
      <c r="P95" s="1">
        <f>VLOOKUP(Master[[#This Row],[Province_RDC]],Client[],5,FALSE)</f>
        <v>345</v>
      </c>
      <c r="Q95" s="1">
        <f>VLOOKUP(Master[[#This Row],[Province_RDC]],Client[],6,FALSE)</f>
        <v>89.55</v>
      </c>
      <c r="R95" s="1">
        <f>VLOOKUP(Master[[#This Row],[Province_RDC]],Client[],7,FALSE)</f>
        <v>3</v>
      </c>
      <c r="S95" s="1" t="str">
        <f>IF(Master[[#This Row],[Type_Forfait]]="Pro Monde","B2B","B2C")</f>
        <v>B2C</v>
      </c>
      <c r="T95" s="1">
        <f>Master[[#This Row],[Anciennete_Mois]]/12</f>
        <v>3.3333333333333335</v>
      </c>
      <c r="U95" s="1">
        <f>Master[[#This Row],[Duree_Cumule_Panne_Min]]/60</f>
        <v>5.75</v>
      </c>
      <c r="V9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5" s="6">
        <f>Master[[#This Row],[Facture_Mensuelle]]*Master[[#This Row],[Remise]]</f>
        <v>40.297499999999999</v>
      </c>
    </row>
    <row r="96" spans="1:24" x14ac:dyDescent="0.25">
      <c r="A96" s="1" t="s">
        <v>1024</v>
      </c>
      <c r="B96" t="str">
        <f>IFERROR(VLOOKUP(Master[[#This Row],[Cell_ID]],Registre_Maintenance[],2,FALSE),"")</f>
        <v>Kongo-Central</v>
      </c>
      <c r="C96" s="1" t="s">
        <v>1028</v>
      </c>
      <c r="D96" s="2">
        <v>45219.683333333327</v>
      </c>
      <c r="E96" s="3">
        <v>45219.683333333327</v>
      </c>
      <c r="F96">
        <v>99</v>
      </c>
      <c r="G96">
        <f>Master[[#This Row],[Duree_Panne_Min]]/60</f>
        <v>1.65</v>
      </c>
      <c r="H96" s="1" t="s">
        <v>735</v>
      </c>
      <c r="I96">
        <f>IFERROR(VLOOKUP(Master[[#This Row],[Cell_ID]],Registre_Maintenance[],3,FALSE),"")</f>
        <v>-9.5840350000000001</v>
      </c>
      <c r="J96">
        <f>IFERROR(VLOOKUP(Master[[#This Row],[Cell_ID]],Registre_Maintenance[],4,FALSE),"")</f>
        <v>15.966024000000001</v>
      </c>
      <c r="K96" t="str">
        <f>IFERROR(VLOOKUP(Master[[#This Row],[Cell_ID]],Registre_Maintenance[],5,FALSE),"")</f>
        <v>5G</v>
      </c>
      <c r="L96" t="str">
        <f>IFERROR(VLOOKUP(Master[[#This Row],[Cell_ID]],Registre_Maintenance[],6,FALSE),"")</f>
        <v>Nokia</v>
      </c>
      <c r="M96" s="1" t="str">
        <f>VLOOKUP(Master[[#This Row],[Province_RDC]],Client[],2,FALSE)</f>
        <v>CLI-01233</v>
      </c>
      <c r="N96" s="1">
        <f>VLOOKUP(Master[[#This Row],[Province_RDC]],Client[],3,FALSE)</f>
        <v>101</v>
      </c>
      <c r="O96" s="1" t="str">
        <f>VLOOKUP(Master[[#This Row],[Province_RDC]],Client[],4,FALSE)</f>
        <v>Pro Monde</v>
      </c>
      <c r="P96" s="1">
        <f>VLOOKUP(Master[[#This Row],[Province_RDC]],Client[],5,FALSE)</f>
        <v>333</v>
      </c>
      <c r="Q96" s="1">
        <f>VLOOKUP(Master[[#This Row],[Province_RDC]],Client[],6,FALSE)</f>
        <v>74.319999999999993</v>
      </c>
      <c r="R96" s="1">
        <f>VLOOKUP(Master[[#This Row],[Province_RDC]],Client[],7,FALSE)</f>
        <v>1</v>
      </c>
      <c r="S96" s="1" t="str">
        <f>IF(Master[[#This Row],[Type_Forfait]]="Pro Monde","B2B","B2C")</f>
        <v>B2B</v>
      </c>
      <c r="T96" s="1">
        <f>Master[[#This Row],[Anciennete_Mois]]/12</f>
        <v>8.4166666666666661</v>
      </c>
      <c r="U96" s="1">
        <f>Master[[#This Row],[Duree_Cumule_Panne_Min]]/60</f>
        <v>5.55</v>
      </c>
      <c r="V9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6" s="6">
        <f>Master[[#This Row],[Facture_Mensuelle]]*Master[[#This Row],[Remise]]</f>
        <v>33.443999999999996</v>
      </c>
    </row>
    <row r="97" spans="1:24" x14ac:dyDescent="0.25">
      <c r="A97" s="1" t="s">
        <v>1165</v>
      </c>
      <c r="B97" t="str">
        <f>IFERROR(VLOOKUP(Master[[#This Row],[Cell_ID]],Registre_Maintenance[],2,FALSE),"")</f>
        <v>Kinshasa</v>
      </c>
      <c r="C97" s="1" t="s">
        <v>1151</v>
      </c>
      <c r="D97" s="2">
        <v>45215.056944444441</v>
      </c>
      <c r="E97" s="3">
        <v>45215.056944444441</v>
      </c>
      <c r="F97">
        <v>99</v>
      </c>
      <c r="G97">
        <f>Master[[#This Row],[Duree_Panne_Min]]/60</f>
        <v>1.65</v>
      </c>
      <c r="H97" s="1" t="s">
        <v>735</v>
      </c>
      <c r="I97">
        <f>IFERROR(VLOOKUP(Master[[#This Row],[Cell_ID]],Registre_Maintenance[],3,FALSE),"")</f>
        <v>-2.6665070000000002</v>
      </c>
      <c r="J97">
        <f>IFERROR(VLOOKUP(Master[[#This Row],[Cell_ID]],Registre_Maintenance[],4,FALSE),"")</f>
        <v>18.623692999999999</v>
      </c>
      <c r="K97" t="str">
        <f>IFERROR(VLOOKUP(Master[[#This Row],[Cell_ID]],Registre_Maintenance[],5,FALSE),"")</f>
        <v>3G</v>
      </c>
      <c r="L97" t="str">
        <f>IFERROR(VLOOKUP(Master[[#This Row],[Cell_ID]],Registre_Maintenance[],6,FALSE),"")</f>
        <v>ZTE</v>
      </c>
      <c r="M97" s="1" t="str">
        <f>VLOOKUP(Master[[#This Row],[Province_RDC]],Client[],2,FALSE)</f>
        <v>CLI-00611</v>
      </c>
      <c r="N97" s="1">
        <f>VLOOKUP(Master[[#This Row],[Province_RDC]],Client[],3,FALSE)</f>
        <v>79</v>
      </c>
      <c r="O97" s="1" t="str">
        <f>VLOOKUP(Master[[#This Row],[Province_RDC]],Client[],4,FALSE)</f>
        <v>Premium 5G 150Go</v>
      </c>
      <c r="P97" s="1">
        <f>VLOOKUP(Master[[#This Row],[Province_RDC]],Client[],5,FALSE)</f>
        <v>226</v>
      </c>
      <c r="Q97" s="1">
        <f>VLOOKUP(Master[[#This Row],[Province_RDC]],Client[],6,FALSE)</f>
        <v>94.38</v>
      </c>
      <c r="R97" s="1">
        <f>VLOOKUP(Master[[#This Row],[Province_RDC]],Client[],7,FALSE)</f>
        <v>3</v>
      </c>
      <c r="S97" s="1" t="str">
        <f>IF(Master[[#This Row],[Type_Forfait]]="Pro Monde","B2B","B2C")</f>
        <v>B2C</v>
      </c>
      <c r="T97" s="1">
        <f>Master[[#This Row],[Anciennete_Mois]]/12</f>
        <v>6.583333333333333</v>
      </c>
      <c r="U97" s="1">
        <f>Master[[#This Row],[Duree_Cumule_Panne_Min]]/60</f>
        <v>3.7666666666666666</v>
      </c>
      <c r="V9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97" s="6">
        <f>Master[[#This Row],[Facture_Mensuelle]]*Master[[#This Row],[Remise]]</f>
        <v>0</v>
      </c>
    </row>
    <row r="98" spans="1:24" x14ac:dyDescent="0.25">
      <c r="A98" s="1" t="s">
        <v>1193</v>
      </c>
      <c r="B98" t="str">
        <f>IFERROR(VLOOKUP(Master[[#This Row],[Cell_ID]],Registre_Maintenance[],2,FALSE),"")</f>
        <v>Kinshasa</v>
      </c>
      <c r="C98" s="1" t="s">
        <v>1148</v>
      </c>
      <c r="D98" s="2">
        <v>45209.354861111111</v>
      </c>
      <c r="E98" s="3">
        <v>45209.354861111111</v>
      </c>
      <c r="F98">
        <v>99</v>
      </c>
      <c r="G98">
        <f>Master[[#This Row],[Duree_Panne_Min]]/60</f>
        <v>1.65</v>
      </c>
      <c r="H98" s="1" t="s">
        <v>735</v>
      </c>
      <c r="I98">
        <f>IFERROR(VLOOKUP(Master[[#This Row],[Cell_ID]],Registre_Maintenance[],3,FALSE),"")</f>
        <v>1.3006180000000001</v>
      </c>
      <c r="J98">
        <f>IFERROR(VLOOKUP(Master[[#This Row],[Cell_ID]],Registre_Maintenance[],4,FALSE),"")</f>
        <v>29.060970999999999</v>
      </c>
      <c r="K98" t="str">
        <f>IFERROR(VLOOKUP(Master[[#This Row],[Cell_ID]],Registre_Maintenance[],5,FALSE),"")</f>
        <v>3G</v>
      </c>
      <c r="L98" t="str">
        <f>IFERROR(VLOOKUP(Master[[#This Row],[Cell_ID]],Registre_Maintenance[],6,FALSE),"")</f>
        <v>ZTE</v>
      </c>
      <c r="M98" s="1" t="str">
        <f>VLOOKUP(Master[[#This Row],[Province_RDC]],Client[],2,FALSE)</f>
        <v>CLI-00611</v>
      </c>
      <c r="N98" s="1">
        <f>VLOOKUP(Master[[#This Row],[Province_RDC]],Client[],3,FALSE)</f>
        <v>79</v>
      </c>
      <c r="O98" s="1" t="str">
        <f>VLOOKUP(Master[[#This Row],[Province_RDC]],Client[],4,FALSE)</f>
        <v>Premium 5G 150Go</v>
      </c>
      <c r="P98" s="1">
        <f>VLOOKUP(Master[[#This Row],[Province_RDC]],Client[],5,FALSE)</f>
        <v>226</v>
      </c>
      <c r="Q98" s="1">
        <f>VLOOKUP(Master[[#This Row],[Province_RDC]],Client[],6,FALSE)</f>
        <v>94.38</v>
      </c>
      <c r="R98" s="1">
        <f>VLOOKUP(Master[[#This Row],[Province_RDC]],Client[],7,FALSE)</f>
        <v>3</v>
      </c>
      <c r="S98" s="1" t="str">
        <f>IF(Master[[#This Row],[Type_Forfait]]="Pro Monde","B2B","B2C")</f>
        <v>B2C</v>
      </c>
      <c r="T98" s="1">
        <f>Master[[#This Row],[Anciennete_Mois]]/12</f>
        <v>6.583333333333333</v>
      </c>
      <c r="U98" s="1">
        <f>Master[[#This Row],[Duree_Cumule_Panne_Min]]/60</f>
        <v>3.7666666666666666</v>
      </c>
      <c r="V9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98" s="6">
        <f>Master[[#This Row],[Facture_Mensuelle]]*Master[[#This Row],[Remise]]</f>
        <v>0</v>
      </c>
    </row>
    <row r="99" spans="1:24" x14ac:dyDescent="0.25">
      <c r="A99" s="1" t="s">
        <v>1261</v>
      </c>
      <c r="B99" t="str">
        <f>IFERROR(VLOOKUP(Master[[#This Row],[Cell_ID]],Registre_Maintenance[],2,FALSE),"")</f>
        <v>Kasai</v>
      </c>
      <c r="C99" s="1" t="s">
        <v>1264</v>
      </c>
      <c r="D99" s="2">
        <v>45209.907638888893</v>
      </c>
      <c r="E99" s="3">
        <v>45209.907638888893</v>
      </c>
      <c r="F99">
        <v>99</v>
      </c>
      <c r="G99">
        <f>Master[[#This Row],[Duree_Panne_Min]]/60</f>
        <v>1.65</v>
      </c>
      <c r="H99" s="1" t="s">
        <v>737</v>
      </c>
      <c r="I99">
        <f>IFERROR(VLOOKUP(Master[[#This Row],[Cell_ID]],Registre_Maintenance[],3,FALSE),"")</f>
        <v>-7.6757720000000003</v>
      </c>
      <c r="J99">
        <f>IFERROR(VLOOKUP(Master[[#This Row],[Cell_ID]],Registre_Maintenance[],4,FALSE),"")</f>
        <v>30.222971000000001</v>
      </c>
      <c r="K99" t="str">
        <f>IFERROR(VLOOKUP(Master[[#This Row],[Cell_ID]],Registre_Maintenance[],5,FALSE),"")</f>
        <v>5G</v>
      </c>
      <c r="L99" t="str">
        <f>IFERROR(VLOOKUP(Master[[#This Row],[Cell_ID]],Registre_Maintenance[],6,FALSE),"")</f>
        <v>Ericsson</v>
      </c>
      <c r="M99" s="1" t="str">
        <f>VLOOKUP(Master[[#This Row],[Province_RDC]],Client[],2,FALSE)</f>
        <v>CLI-00559</v>
      </c>
      <c r="N99" s="1">
        <f>VLOOKUP(Master[[#This Row],[Province_RDC]],Client[],3,FALSE)</f>
        <v>99</v>
      </c>
      <c r="O99" s="1" t="str">
        <f>VLOOKUP(Master[[#This Row],[Province_RDC]],Client[],4,FALSE)</f>
        <v>Bloqué 5Go</v>
      </c>
      <c r="P99" s="1">
        <f>VLOOKUP(Master[[#This Row],[Province_RDC]],Client[],5,FALSE)</f>
        <v>369</v>
      </c>
      <c r="Q99" s="1">
        <f>VLOOKUP(Master[[#This Row],[Province_RDC]],Client[],6,FALSE)</f>
        <v>67.209999999999994</v>
      </c>
      <c r="R99" s="1">
        <f>VLOOKUP(Master[[#This Row],[Province_RDC]],Client[],7,FALSE)</f>
        <v>3</v>
      </c>
      <c r="S99" s="1" t="str">
        <f>IF(Master[[#This Row],[Type_Forfait]]="Pro Monde","B2B","B2C")</f>
        <v>B2C</v>
      </c>
      <c r="T99" s="1">
        <f>Master[[#This Row],[Anciennete_Mois]]/12</f>
        <v>8.25</v>
      </c>
      <c r="U99" s="1">
        <f>Master[[#This Row],[Duree_Cumule_Panne_Min]]/60</f>
        <v>6.15</v>
      </c>
      <c r="V9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9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99" s="6">
        <f>Master[[#This Row],[Facture_Mensuelle]]*Master[[#This Row],[Remise]]</f>
        <v>30.244499999999999</v>
      </c>
    </row>
    <row r="100" spans="1:24" x14ac:dyDescent="0.25">
      <c r="A100" s="1" t="s">
        <v>1114</v>
      </c>
      <c r="B100" t="str">
        <f>IFERROR(VLOOKUP(Master[[#This Row],[Cell_ID]],Registre_Maintenance[],2,FALSE),"")</f>
        <v>Haut-Lomami</v>
      </c>
      <c r="C100" s="1" t="s">
        <v>1134</v>
      </c>
      <c r="D100" s="2">
        <v>45217.384722222218</v>
      </c>
      <c r="E100" s="3">
        <v>45217.384722222218</v>
      </c>
      <c r="F100">
        <v>99</v>
      </c>
      <c r="G100">
        <f>Master[[#This Row],[Duree_Panne_Min]]/60</f>
        <v>1.65</v>
      </c>
      <c r="H100" s="1" t="s">
        <v>735</v>
      </c>
      <c r="I100">
        <f>IFERROR(VLOOKUP(Master[[#This Row],[Cell_ID]],Registre_Maintenance[],3,FALSE),"")</f>
        <v>-4.8157019999999999</v>
      </c>
      <c r="J100">
        <f>IFERROR(VLOOKUP(Master[[#This Row],[Cell_ID]],Registre_Maintenance[],4,FALSE),"")</f>
        <v>27.679798000000002</v>
      </c>
      <c r="K100" t="str">
        <f>IFERROR(VLOOKUP(Master[[#This Row],[Cell_ID]],Registre_Maintenance[],5,FALSE),"")</f>
        <v>3G</v>
      </c>
      <c r="L100" t="str">
        <f>IFERROR(VLOOKUP(Master[[#This Row],[Cell_ID]],Registre_Maintenance[],6,FALSE),"")</f>
        <v>Ericsson</v>
      </c>
      <c r="M100" s="1" t="str">
        <f>VLOOKUP(Master[[#This Row],[Province_RDC]],Client[],2,FALSE)</f>
        <v>CLI-01325</v>
      </c>
      <c r="N100" s="1">
        <f>VLOOKUP(Master[[#This Row],[Province_RDC]],Client[],3,FALSE)</f>
        <v>44</v>
      </c>
      <c r="O100" s="1" t="str">
        <f>VLOOKUP(Master[[#This Row],[Province_RDC]],Client[],4,FALSE)</f>
        <v>Bloqué 5Go</v>
      </c>
      <c r="P100" s="1">
        <f>VLOOKUP(Master[[#This Row],[Province_RDC]],Client[],5,FALSE)</f>
        <v>348</v>
      </c>
      <c r="Q100" s="1">
        <f>VLOOKUP(Master[[#This Row],[Province_RDC]],Client[],6,FALSE)</f>
        <v>58.67</v>
      </c>
      <c r="R100" s="1">
        <f>VLOOKUP(Master[[#This Row],[Province_RDC]],Client[],7,FALSE)</f>
        <v>0</v>
      </c>
      <c r="S100" s="1" t="str">
        <f>IF(Master[[#This Row],[Type_Forfait]]="Pro Monde","B2B","B2C")</f>
        <v>B2C</v>
      </c>
      <c r="T100" s="1">
        <f>Master[[#This Row],[Anciennete_Mois]]/12</f>
        <v>3.6666666666666665</v>
      </c>
      <c r="U100" s="1">
        <f>Master[[#This Row],[Duree_Cumule_Panne_Min]]/60</f>
        <v>5.8</v>
      </c>
      <c r="V10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0" s="6">
        <f>Master[[#This Row],[Facture_Mensuelle]]*Master[[#This Row],[Remise]]</f>
        <v>26.401500000000002</v>
      </c>
    </row>
    <row r="101" spans="1:24" x14ac:dyDescent="0.25">
      <c r="A101" s="1" t="s">
        <v>1382</v>
      </c>
      <c r="B101" t="str">
        <f>IFERROR(VLOOKUP(Master[[#This Row],[Cell_ID]],Registre_Maintenance[],2,FALSE),"")</f>
        <v>Haut-Katanga</v>
      </c>
      <c r="C101" s="1" t="s">
        <v>1227</v>
      </c>
      <c r="D101" s="2">
        <v>45200.506249999999</v>
      </c>
      <c r="E101" s="3">
        <v>45200.506249999999</v>
      </c>
      <c r="F101">
        <v>99</v>
      </c>
      <c r="G101">
        <f>Master[[#This Row],[Duree_Panne_Min]]/60</f>
        <v>1.65</v>
      </c>
      <c r="H101" s="1" t="s">
        <v>732</v>
      </c>
      <c r="I101">
        <f>IFERROR(VLOOKUP(Master[[#This Row],[Cell_ID]],Registre_Maintenance[],3,FALSE),"")</f>
        <v>-10.945031</v>
      </c>
      <c r="J101">
        <f>IFERROR(VLOOKUP(Master[[#This Row],[Cell_ID]],Registre_Maintenance[],4,FALSE),"")</f>
        <v>27.922274000000002</v>
      </c>
      <c r="K101" t="str">
        <f>IFERROR(VLOOKUP(Master[[#This Row],[Cell_ID]],Registre_Maintenance[],5,FALSE),"")</f>
        <v>4G</v>
      </c>
      <c r="L101" t="str">
        <f>IFERROR(VLOOKUP(Master[[#This Row],[Cell_ID]],Registre_Maintenance[],6,FALSE),"")</f>
        <v>Ericsson</v>
      </c>
      <c r="M101" s="1" t="str">
        <f>VLOOKUP(Master[[#This Row],[Province_RDC]],Client[],2,FALSE)</f>
        <v>CLI-00076</v>
      </c>
      <c r="N101" s="1">
        <f>VLOOKUP(Master[[#This Row],[Province_RDC]],Client[],3,FALSE)</f>
        <v>46</v>
      </c>
      <c r="O101" s="1" t="str">
        <f>VLOOKUP(Master[[#This Row],[Province_RDC]],Client[],4,FALSE)</f>
        <v>Premium 5G 150Go</v>
      </c>
      <c r="P101" s="1">
        <f>VLOOKUP(Master[[#This Row],[Province_RDC]],Client[],5,FALSE)</f>
        <v>283</v>
      </c>
      <c r="Q101" s="1">
        <f>VLOOKUP(Master[[#This Row],[Province_RDC]],Client[],6,FALSE)</f>
        <v>56.05</v>
      </c>
      <c r="R101" s="1">
        <f>VLOOKUP(Master[[#This Row],[Province_RDC]],Client[],7,FALSE)</f>
        <v>1</v>
      </c>
      <c r="S101" s="1" t="str">
        <f>IF(Master[[#This Row],[Type_Forfait]]="Pro Monde","B2B","B2C")</f>
        <v>B2C</v>
      </c>
      <c r="T101" s="1">
        <f>Master[[#This Row],[Anciennete_Mois]]/12</f>
        <v>3.8333333333333335</v>
      </c>
      <c r="U101" s="1">
        <f>Master[[#This Row],[Duree_Cumule_Panne_Min]]/60</f>
        <v>4.7166666666666668</v>
      </c>
      <c r="V10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1" s="6">
        <f>Master[[#This Row],[Facture_Mensuelle]]*Master[[#This Row],[Remise]]</f>
        <v>25.2225</v>
      </c>
    </row>
    <row r="102" spans="1:24" x14ac:dyDescent="0.25">
      <c r="A102" s="1" t="s">
        <v>1261</v>
      </c>
      <c r="B102" t="str">
        <f>IFERROR(VLOOKUP(Master[[#This Row],[Cell_ID]],Registre_Maintenance[],2,FALSE),"")</f>
        <v>Equateur</v>
      </c>
      <c r="C102" s="1" t="s">
        <v>1124</v>
      </c>
      <c r="D102" s="2">
        <v>45230.50277777778</v>
      </c>
      <c r="E102" s="3">
        <v>45230.50277777778</v>
      </c>
      <c r="F102">
        <v>99</v>
      </c>
      <c r="G102">
        <f>Master[[#This Row],[Duree_Panne_Min]]/60</f>
        <v>1.65</v>
      </c>
      <c r="H102" s="1" t="s">
        <v>732</v>
      </c>
      <c r="I102">
        <f>IFERROR(VLOOKUP(Master[[#This Row],[Cell_ID]],Registre_Maintenance[],3,FALSE),"")</f>
        <v>-5.7200150000000001</v>
      </c>
      <c r="J102">
        <f>IFERROR(VLOOKUP(Master[[#This Row],[Cell_ID]],Registre_Maintenance[],4,FALSE),"")</f>
        <v>25.022109</v>
      </c>
      <c r="K102" t="str">
        <f>IFERROR(VLOOKUP(Master[[#This Row],[Cell_ID]],Registre_Maintenance[],5,FALSE),"")</f>
        <v>5G</v>
      </c>
      <c r="L102" t="str">
        <f>IFERROR(VLOOKUP(Master[[#This Row],[Cell_ID]],Registre_Maintenance[],6,FALSE),"")</f>
        <v>ZTE</v>
      </c>
      <c r="M102" s="1" t="str">
        <f>VLOOKUP(Master[[#This Row],[Province_RDC]],Client[],2,FALSE)</f>
        <v>CLI-00643</v>
      </c>
      <c r="N102" s="1">
        <f>VLOOKUP(Master[[#This Row],[Province_RDC]],Client[],3,FALSE)</f>
        <v>14</v>
      </c>
      <c r="O102" s="1" t="str">
        <f>VLOOKUP(Master[[#This Row],[Province_RDC]],Client[],4,FALSE)</f>
        <v>Pro Monde</v>
      </c>
      <c r="P102" s="1">
        <f>VLOOKUP(Master[[#This Row],[Province_RDC]],Client[],5,FALSE)</f>
        <v>316</v>
      </c>
      <c r="Q102" s="1">
        <f>VLOOKUP(Master[[#This Row],[Province_RDC]],Client[],6,FALSE)</f>
        <v>62.34</v>
      </c>
      <c r="R102" s="1">
        <f>VLOOKUP(Master[[#This Row],[Province_RDC]],Client[],7,FALSE)</f>
        <v>4</v>
      </c>
      <c r="S102" s="1" t="str">
        <f>IF(Master[[#This Row],[Type_Forfait]]="Pro Monde","B2B","B2C")</f>
        <v>B2B</v>
      </c>
      <c r="T102" s="1">
        <f>Master[[#This Row],[Anciennete_Mois]]/12</f>
        <v>1.1666666666666667</v>
      </c>
      <c r="U102" s="1">
        <f>Master[[#This Row],[Duree_Cumule_Panne_Min]]/60</f>
        <v>5.2666666666666666</v>
      </c>
      <c r="V10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2" s="6">
        <f>Master[[#This Row],[Facture_Mensuelle]]*Master[[#This Row],[Remise]]</f>
        <v>28.053000000000001</v>
      </c>
    </row>
    <row r="103" spans="1:24" x14ac:dyDescent="0.25">
      <c r="A103" s="1" t="s">
        <v>1345</v>
      </c>
      <c r="B103" t="str">
        <f>IFERROR(VLOOKUP(Master[[#This Row],[Cell_ID]],Registre_Maintenance[],2,FALSE),"")</f>
        <v>Tanganyika</v>
      </c>
      <c r="C103" s="1" t="s">
        <v>1353</v>
      </c>
      <c r="D103" s="2">
        <v>45224.104861111111</v>
      </c>
      <c r="E103" s="3">
        <v>45224.104861111111</v>
      </c>
      <c r="F103">
        <v>98</v>
      </c>
      <c r="G103">
        <f>Master[[#This Row],[Duree_Panne_Min]]/60</f>
        <v>1.6333333333333333</v>
      </c>
      <c r="H103" s="1" t="s">
        <v>737</v>
      </c>
      <c r="I103">
        <f>IFERROR(VLOOKUP(Master[[#This Row],[Cell_ID]],Registre_Maintenance[],3,FALSE),"")</f>
        <v>-7.0007840000000003</v>
      </c>
      <c r="J103">
        <f>IFERROR(VLOOKUP(Master[[#This Row],[Cell_ID]],Registre_Maintenance[],4,FALSE),"")</f>
        <v>22.787997000000001</v>
      </c>
      <c r="K103" t="str">
        <f>IFERROR(VLOOKUP(Master[[#This Row],[Cell_ID]],Registre_Maintenance[],5,FALSE),"")</f>
        <v>5G</v>
      </c>
      <c r="L103" t="str">
        <f>IFERROR(VLOOKUP(Master[[#This Row],[Cell_ID]],Registre_Maintenance[],6,FALSE),"")</f>
        <v>ZTE</v>
      </c>
      <c r="M103" s="1" t="str">
        <f>VLOOKUP(Master[[#This Row],[Province_RDC]],Client[],2,FALSE)</f>
        <v>CLI-01618</v>
      </c>
      <c r="N103" s="1">
        <f>VLOOKUP(Master[[#This Row],[Province_RDC]],Client[],3,FALSE)</f>
        <v>115</v>
      </c>
      <c r="O103" s="1" t="str">
        <f>VLOOKUP(Master[[#This Row],[Province_RDC]],Client[],4,FALSE)</f>
        <v>Bloqué 5Go</v>
      </c>
      <c r="P103" s="1">
        <f>VLOOKUP(Master[[#This Row],[Province_RDC]],Client[],5,FALSE)</f>
        <v>176</v>
      </c>
      <c r="Q103" s="1">
        <f>VLOOKUP(Master[[#This Row],[Province_RDC]],Client[],6,FALSE)</f>
        <v>33.28</v>
      </c>
      <c r="R103" s="1">
        <f>VLOOKUP(Master[[#This Row],[Province_RDC]],Client[],7,FALSE)</f>
        <v>4</v>
      </c>
      <c r="S103" s="1" t="str">
        <f>IF(Master[[#This Row],[Type_Forfait]]="Pro Monde","B2B","B2C")</f>
        <v>B2C</v>
      </c>
      <c r="T103" s="1">
        <f>Master[[#This Row],[Anciennete_Mois]]/12</f>
        <v>9.5833333333333339</v>
      </c>
      <c r="U103" s="1">
        <f>Master[[#This Row],[Duree_Cumule_Panne_Min]]/60</f>
        <v>2.9333333333333331</v>
      </c>
      <c r="V10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0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03" s="6">
        <f>Master[[#This Row],[Facture_Mensuelle]]*Master[[#This Row],[Remise]]</f>
        <v>0</v>
      </c>
    </row>
    <row r="104" spans="1:24" x14ac:dyDescent="0.25">
      <c r="A104" s="1" t="s">
        <v>861</v>
      </c>
      <c r="B104" t="str">
        <f>IFERROR(VLOOKUP(Master[[#This Row],[Cell_ID]],Registre_Maintenance[],2,FALSE),"")</f>
        <v>Nord-Ubangi</v>
      </c>
      <c r="C104" s="1" t="s">
        <v>865</v>
      </c>
      <c r="D104" s="2">
        <v>45226.623611111107</v>
      </c>
      <c r="E104" s="3">
        <v>45226.623611111107</v>
      </c>
      <c r="F104">
        <v>98</v>
      </c>
      <c r="G104">
        <f>Master[[#This Row],[Duree_Panne_Min]]/60</f>
        <v>1.6333333333333333</v>
      </c>
      <c r="H104" s="1" t="s">
        <v>737</v>
      </c>
      <c r="I104">
        <f>IFERROR(VLOOKUP(Master[[#This Row],[Cell_ID]],Registre_Maintenance[],3,FALSE),"")</f>
        <v>-7.9987219999999999</v>
      </c>
      <c r="J104">
        <f>IFERROR(VLOOKUP(Master[[#This Row],[Cell_ID]],Registre_Maintenance[],4,FALSE),"")</f>
        <v>12.779335</v>
      </c>
      <c r="K104" t="str">
        <f>IFERROR(VLOOKUP(Master[[#This Row],[Cell_ID]],Registre_Maintenance[],5,FALSE),"")</f>
        <v>5G</v>
      </c>
      <c r="L104" t="str">
        <f>IFERROR(VLOOKUP(Master[[#This Row],[Cell_ID]],Registre_Maintenance[],6,FALSE),"")</f>
        <v>Nokia</v>
      </c>
      <c r="M104" s="1" t="str">
        <f>VLOOKUP(Master[[#This Row],[Province_RDC]],Client[],2,FALSE)</f>
        <v>CLI-01170</v>
      </c>
      <c r="N104" s="1">
        <f>VLOOKUP(Master[[#This Row],[Province_RDC]],Client[],3,FALSE)</f>
        <v>98</v>
      </c>
      <c r="O104" s="1" t="str">
        <f>VLOOKUP(Master[[#This Row],[Province_RDC]],Client[],4,FALSE)</f>
        <v>Pro Monde</v>
      </c>
      <c r="P104" s="1">
        <f>VLOOKUP(Master[[#This Row],[Province_RDC]],Client[],5,FALSE)</f>
        <v>482</v>
      </c>
      <c r="Q104" s="1">
        <f>VLOOKUP(Master[[#This Row],[Province_RDC]],Client[],6,FALSE)</f>
        <v>55.04</v>
      </c>
      <c r="R104" s="1">
        <f>VLOOKUP(Master[[#This Row],[Province_RDC]],Client[],7,FALSE)</f>
        <v>5</v>
      </c>
      <c r="S104" s="1" t="str">
        <f>IF(Master[[#This Row],[Type_Forfait]]="Pro Monde","B2B","B2C")</f>
        <v>B2B</v>
      </c>
      <c r="T104" s="1">
        <f>Master[[#This Row],[Anciennete_Mois]]/12</f>
        <v>8.1666666666666661</v>
      </c>
      <c r="U104" s="1">
        <f>Master[[#This Row],[Duree_Cumule_Panne_Min]]/60</f>
        <v>8.0333333333333332</v>
      </c>
      <c r="V10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4" s="6">
        <f>Master[[#This Row],[Facture_Mensuelle]]*Master[[#This Row],[Remise]]</f>
        <v>24.768000000000001</v>
      </c>
    </row>
    <row r="105" spans="1:24" x14ac:dyDescent="0.25">
      <c r="A105" s="1" t="s">
        <v>1059</v>
      </c>
      <c r="B105" t="str">
        <f>IFERROR(VLOOKUP(Master[[#This Row],[Cell_ID]],Registre_Maintenance[],2,FALSE),"")</f>
        <v>Nord-Kivu</v>
      </c>
      <c r="C105" s="1" t="s">
        <v>797</v>
      </c>
      <c r="D105" s="2">
        <v>45208.959027777782</v>
      </c>
      <c r="E105" s="3">
        <v>45208.959027777782</v>
      </c>
      <c r="F105">
        <v>98</v>
      </c>
      <c r="G105">
        <f>Master[[#This Row],[Duree_Panne_Min]]/60</f>
        <v>1.6333333333333333</v>
      </c>
      <c r="H105" s="1" t="s">
        <v>737</v>
      </c>
      <c r="I105">
        <f>IFERROR(VLOOKUP(Master[[#This Row],[Cell_ID]],Registre_Maintenance[],3,FALSE),"")</f>
        <v>0.82868600000000003</v>
      </c>
      <c r="J105">
        <f>IFERROR(VLOOKUP(Master[[#This Row],[Cell_ID]],Registre_Maintenance[],4,FALSE),"")</f>
        <v>26.958843999999999</v>
      </c>
      <c r="K105" t="str">
        <f>IFERROR(VLOOKUP(Master[[#This Row],[Cell_ID]],Registre_Maintenance[],5,FALSE),"")</f>
        <v>5G</v>
      </c>
      <c r="L105" t="str">
        <f>IFERROR(VLOOKUP(Master[[#This Row],[Cell_ID]],Registre_Maintenance[],6,FALSE),"")</f>
        <v>ZTE</v>
      </c>
      <c r="M105" s="1" t="str">
        <f>VLOOKUP(Master[[#This Row],[Province_RDC]],Client[],2,FALSE)</f>
        <v>CLI-00837</v>
      </c>
      <c r="N105" s="1">
        <f>VLOOKUP(Master[[#This Row],[Province_RDC]],Client[],3,FALSE)</f>
        <v>16</v>
      </c>
      <c r="O105" s="1" t="str">
        <f>VLOOKUP(Master[[#This Row],[Province_RDC]],Client[],4,FALSE)</f>
        <v>Bloqué 5Go</v>
      </c>
      <c r="P105" s="1">
        <f>VLOOKUP(Master[[#This Row],[Province_RDC]],Client[],5,FALSE)</f>
        <v>390</v>
      </c>
      <c r="Q105" s="1">
        <f>VLOOKUP(Master[[#This Row],[Province_RDC]],Client[],6,FALSE)</f>
        <v>98.17</v>
      </c>
      <c r="R105" s="1">
        <f>VLOOKUP(Master[[#This Row],[Province_RDC]],Client[],7,FALSE)</f>
        <v>5</v>
      </c>
      <c r="S105" s="1" t="str">
        <f>IF(Master[[#This Row],[Type_Forfait]]="Pro Monde","B2B","B2C")</f>
        <v>B2C</v>
      </c>
      <c r="T105" s="1">
        <f>Master[[#This Row],[Anciennete_Mois]]/12</f>
        <v>1.3333333333333333</v>
      </c>
      <c r="U105" s="1">
        <f>Master[[#This Row],[Duree_Cumule_Panne_Min]]/60</f>
        <v>6.5</v>
      </c>
      <c r="V10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5" s="6">
        <f>Master[[#This Row],[Facture_Mensuelle]]*Master[[#This Row],[Remise]]</f>
        <v>44.176500000000004</v>
      </c>
    </row>
    <row r="106" spans="1:24" x14ac:dyDescent="0.25">
      <c r="A106" s="1" t="s">
        <v>1138</v>
      </c>
      <c r="B106" t="str">
        <f>IFERROR(VLOOKUP(Master[[#This Row],[Cell_ID]],Registre_Maintenance[],2,FALSE),"")</f>
        <v>Mai-Ndombe</v>
      </c>
      <c r="C106" s="1" t="s">
        <v>1154</v>
      </c>
      <c r="D106" s="2">
        <v>45214.697916666657</v>
      </c>
      <c r="E106" s="3">
        <v>45214.697916666657</v>
      </c>
      <c r="F106">
        <v>98</v>
      </c>
      <c r="G106">
        <f>Master[[#This Row],[Duree_Panne_Min]]/60</f>
        <v>1.6333333333333333</v>
      </c>
      <c r="H106" s="1" t="s">
        <v>737</v>
      </c>
      <c r="I106">
        <f>IFERROR(VLOOKUP(Master[[#This Row],[Cell_ID]],Registre_Maintenance[],3,FALSE),"")</f>
        <v>-12.192204</v>
      </c>
      <c r="J106">
        <f>IFERROR(VLOOKUP(Master[[#This Row],[Cell_ID]],Registre_Maintenance[],4,FALSE),"")</f>
        <v>28.468682000000001</v>
      </c>
      <c r="K106" t="str">
        <f>IFERROR(VLOOKUP(Master[[#This Row],[Cell_ID]],Registre_Maintenance[],5,FALSE),"")</f>
        <v>3G</v>
      </c>
      <c r="L106" t="str">
        <f>IFERROR(VLOOKUP(Master[[#This Row],[Cell_ID]],Registre_Maintenance[],6,FALSE),"")</f>
        <v>ZTE</v>
      </c>
      <c r="M106" s="1" t="str">
        <f>VLOOKUP(Master[[#This Row],[Province_RDC]],Client[],2,FALSE)</f>
        <v>CLI-00361</v>
      </c>
      <c r="N106" s="1">
        <f>VLOOKUP(Master[[#This Row],[Province_RDC]],Client[],3,FALSE)</f>
        <v>66</v>
      </c>
      <c r="O106" s="1" t="str">
        <f>VLOOKUP(Master[[#This Row],[Province_RDC]],Client[],4,FALSE)</f>
        <v>Illimité 50Go</v>
      </c>
      <c r="P106" s="1">
        <f>VLOOKUP(Master[[#This Row],[Province_RDC]],Client[],5,FALSE)</f>
        <v>270</v>
      </c>
      <c r="Q106" s="1">
        <f>VLOOKUP(Master[[#This Row],[Province_RDC]],Client[],6,FALSE)</f>
        <v>75.88</v>
      </c>
      <c r="R106" s="1">
        <f>VLOOKUP(Master[[#This Row],[Province_RDC]],Client[],7,FALSE)</f>
        <v>3</v>
      </c>
      <c r="S106" s="1" t="str">
        <f>IF(Master[[#This Row],[Type_Forfait]]="Pro Monde","B2B","B2C")</f>
        <v>B2C</v>
      </c>
      <c r="T106" s="1">
        <f>Master[[#This Row],[Anciennete_Mois]]/12</f>
        <v>5.5</v>
      </c>
      <c r="U106" s="1">
        <f>Master[[#This Row],[Duree_Cumule_Panne_Min]]/60</f>
        <v>4.5</v>
      </c>
      <c r="V10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6" s="6">
        <f>Master[[#This Row],[Facture_Mensuelle]]*Master[[#This Row],[Remise]]</f>
        <v>34.146000000000001</v>
      </c>
    </row>
    <row r="107" spans="1:24" x14ac:dyDescent="0.25">
      <c r="A107" s="1" t="s">
        <v>1261</v>
      </c>
      <c r="B107" t="str">
        <f>IFERROR(VLOOKUP(Master[[#This Row],[Cell_ID]],Registre_Maintenance[],2,FALSE),"")</f>
        <v>Kwango</v>
      </c>
      <c r="C107" s="1" t="s">
        <v>796</v>
      </c>
      <c r="D107" s="2">
        <v>45228.621527777781</v>
      </c>
      <c r="E107" s="3">
        <v>45228.621527777781</v>
      </c>
      <c r="F107">
        <v>98</v>
      </c>
      <c r="G107">
        <f>Master[[#This Row],[Duree_Panne_Min]]/60</f>
        <v>1.6333333333333333</v>
      </c>
      <c r="H107" s="1" t="s">
        <v>737</v>
      </c>
      <c r="I107">
        <f>IFERROR(VLOOKUP(Master[[#This Row],[Cell_ID]],Registre_Maintenance[],3,FALSE),"")</f>
        <v>-10.963041</v>
      </c>
      <c r="J107">
        <f>IFERROR(VLOOKUP(Master[[#This Row],[Cell_ID]],Registre_Maintenance[],4,FALSE),"")</f>
        <v>12.269857</v>
      </c>
      <c r="K107" t="str">
        <f>IFERROR(VLOOKUP(Master[[#This Row],[Cell_ID]],Registre_Maintenance[],5,FALSE),"")</f>
        <v>4G</v>
      </c>
      <c r="L107" t="str">
        <f>IFERROR(VLOOKUP(Master[[#This Row],[Cell_ID]],Registre_Maintenance[],6,FALSE),"")</f>
        <v>Huawei</v>
      </c>
      <c r="M107" s="1" t="str">
        <f>VLOOKUP(Master[[#This Row],[Province_RDC]],Client[],2,FALSE)</f>
        <v>CLI-00569</v>
      </c>
      <c r="N107" s="1">
        <f>VLOOKUP(Master[[#This Row],[Province_RDC]],Client[],3,FALSE)</f>
        <v>110</v>
      </c>
      <c r="O107" s="1" t="str">
        <f>VLOOKUP(Master[[#This Row],[Province_RDC]],Client[],4,FALSE)</f>
        <v>Pro Monde</v>
      </c>
      <c r="P107" s="1">
        <f>VLOOKUP(Master[[#This Row],[Province_RDC]],Client[],5,FALSE)</f>
        <v>423</v>
      </c>
      <c r="Q107" s="1">
        <f>VLOOKUP(Master[[#This Row],[Province_RDC]],Client[],6,FALSE)</f>
        <v>37.35</v>
      </c>
      <c r="R107" s="1">
        <f>VLOOKUP(Master[[#This Row],[Province_RDC]],Client[],7,FALSE)</f>
        <v>4</v>
      </c>
      <c r="S107" s="1" t="str">
        <f>IF(Master[[#This Row],[Type_Forfait]]="Pro Monde","B2B","B2C")</f>
        <v>B2B</v>
      </c>
      <c r="T107" s="1">
        <f>Master[[#This Row],[Anciennete_Mois]]/12</f>
        <v>9.1666666666666661</v>
      </c>
      <c r="U107" s="1">
        <f>Master[[#This Row],[Duree_Cumule_Panne_Min]]/60</f>
        <v>7.05</v>
      </c>
      <c r="V10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7" s="6">
        <f>Master[[#This Row],[Facture_Mensuelle]]*Master[[#This Row],[Remise]]</f>
        <v>16.807500000000001</v>
      </c>
    </row>
    <row r="108" spans="1:24" x14ac:dyDescent="0.25">
      <c r="A108" s="1" t="s">
        <v>1024</v>
      </c>
      <c r="B108" t="str">
        <f>IFERROR(VLOOKUP(Master[[#This Row],[Cell_ID]],Registre_Maintenance[],2,FALSE),"")</f>
        <v>Nord-Kivu</v>
      </c>
      <c r="C108" s="1" t="s">
        <v>995</v>
      </c>
      <c r="D108" s="2">
        <v>45219.181250000001</v>
      </c>
      <c r="E108" s="3">
        <v>45219.181250000001</v>
      </c>
      <c r="F108">
        <v>97</v>
      </c>
      <c r="G108">
        <f>Master[[#This Row],[Duree_Panne_Min]]/60</f>
        <v>1.6166666666666667</v>
      </c>
      <c r="H108" s="1" t="s">
        <v>735</v>
      </c>
      <c r="I108">
        <f>IFERROR(VLOOKUP(Master[[#This Row],[Cell_ID]],Registre_Maintenance[],3,FALSE),"")</f>
        <v>-4.1754939999999996</v>
      </c>
      <c r="J108">
        <f>IFERROR(VLOOKUP(Master[[#This Row],[Cell_ID]],Registre_Maintenance[],4,FALSE),"")</f>
        <v>16.704664999999999</v>
      </c>
      <c r="K108" t="str">
        <f>IFERROR(VLOOKUP(Master[[#This Row],[Cell_ID]],Registre_Maintenance[],5,FALSE),"")</f>
        <v>3G</v>
      </c>
      <c r="L108" t="str">
        <f>IFERROR(VLOOKUP(Master[[#This Row],[Cell_ID]],Registre_Maintenance[],6,FALSE),"")</f>
        <v>Ericsson</v>
      </c>
      <c r="M108" s="1" t="str">
        <f>VLOOKUP(Master[[#This Row],[Province_RDC]],Client[],2,FALSE)</f>
        <v>CLI-00837</v>
      </c>
      <c r="N108" s="1">
        <f>VLOOKUP(Master[[#This Row],[Province_RDC]],Client[],3,FALSE)</f>
        <v>16</v>
      </c>
      <c r="O108" s="1" t="str">
        <f>VLOOKUP(Master[[#This Row],[Province_RDC]],Client[],4,FALSE)</f>
        <v>Bloqué 5Go</v>
      </c>
      <c r="P108" s="1">
        <f>VLOOKUP(Master[[#This Row],[Province_RDC]],Client[],5,FALSE)</f>
        <v>390</v>
      </c>
      <c r="Q108" s="1">
        <f>VLOOKUP(Master[[#This Row],[Province_RDC]],Client[],6,FALSE)</f>
        <v>98.17</v>
      </c>
      <c r="R108" s="1">
        <f>VLOOKUP(Master[[#This Row],[Province_RDC]],Client[],7,FALSE)</f>
        <v>5</v>
      </c>
      <c r="S108" s="1" t="str">
        <f>IF(Master[[#This Row],[Type_Forfait]]="Pro Monde","B2B","B2C")</f>
        <v>B2C</v>
      </c>
      <c r="T108" s="1">
        <f>Master[[#This Row],[Anciennete_Mois]]/12</f>
        <v>1.3333333333333333</v>
      </c>
      <c r="U108" s="1">
        <f>Master[[#This Row],[Duree_Cumule_Panne_Min]]/60</f>
        <v>6.5</v>
      </c>
      <c r="V10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8" s="6">
        <f>Master[[#This Row],[Facture_Mensuelle]]*Master[[#This Row],[Remise]]</f>
        <v>44.176500000000004</v>
      </c>
    </row>
    <row r="109" spans="1:24" x14ac:dyDescent="0.25">
      <c r="A109" s="1" t="s">
        <v>1165</v>
      </c>
      <c r="B109" t="str">
        <f>IFERROR(VLOOKUP(Master[[#This Row],[Cell_ID]],Registre_Maintenance[],2,FALSE),"")</f>
        <v>Kasai-Oriental</v>
      </c>
      <c r="C109" s="1" t="s">
        <v>1171</v>
      </c>
      <c r="D109" s="2">
        <v>45201.726388888892</v>
      </c>
      <c r="E109" s="3">
        <v>45201.726388888892</v>
      </c>
      <c r="F109">
        <v>97</v>
      </c>
      <c r="G109">
        <f>Master[[#This Row],[Duree_Panne_Min]]/60</f>
        <v>1.6166666666666667</v>
      </c>
      <c r="H109" s="1" t="s">
        <v>735</v>
      </c>
      <c r="I109">
        <f>IFERROR(VLOOKUP(Master[[#This Row],[Cell_ID]],Registre_Maintenance[],3,FALSE),"")</f>
        <v>-4.3639070000000002</v>
      </c>
      <c r="J109">
        <f>IFERROR(VLOOKUP(Master[[#This Row],[Cell_ID]],Registre_Maintenance[],4,FALSE),"")</f>
        <v>16.283307000000001</v>
      </c>
      <c r="K109" t="str">
        <f>IFERROR(VLOOKUP(Master[[#This Row],[Cell_ID]],Registre_Maintenance[],5,FALSE),"")</f>
        <v>5G</v>
      </c>
      <c r="L109" t="str">
        <f>IFERROR(VLOOKUP(Master[[#This Row],[Cell_ID]],Registre_Maintenance[],6,FALSE),"")</f>
        <v>Huawei</v>
      </c>
      <c r="M109" s="1" t="str">
        <f>VLOOKUP(Master[[#This Row],[Province_RDC]],Client[],2,FALSE)</f>
        <v>CLI-01837</v>
      </c>
      <c r="N109" s="1">
        <f>VLOOKUP(Master[[#This Row],[Province_RDC]],Client[],3,FALSE)</f>
        <v>97</v>
      </c>
      <c r="O109" s="1" t="str">
        <f>VLOOKUP(Master[[#This Row],[Province_RDC]],Client[],4,FALSE)</f>
        <v>Pro Monde</v>
      </c>
      <c r="P109" s="1">
        <f>VLOOKUP(Master[[#This Row],[Province_RDC]],Client[],5,FALSE)</f>
        <v>319</v>
      </c>
      <c r="Q109" s="1">
        <f>VLOOKUP(Master[[#This Row],[Province_RDC]],Client[],6,FALSE)</f>
        <v>31.25</v>
      </c>
      <c r="R109" s="1">
        <f>VLOOKUP(Master[[#This Row],[Province_RDC]],Client[],7,FALSE)</f>
        <v>1</v>
      </c>
      <c r="S109" s="1" t="str">
        <f>IF(Master[[#This Row],[Type_Forfait]]="Pro Monde","B2B","B2C")</f>
        <v>B2B</v>
      </c>
      <c r="T109" s="1">
        <f>Master[[#This Row],[Anciennete_Mois]]/12</f>
        <v>8.0833333333333339</v>
      </c>
      <c r="U109" s="1">
        <f>Master[[#This Row],[Duree_Cumule_Panne_Min]]/60</f>
        <v>5.3166666666666664</v>
      </c>
      <c r="V10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0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09" s="6">
        <f>Master[[#This Row],[Facture_Mensuelle]]*Master[[#This Row],[Remise]]</f>
        <v>14.0625</v>
      </c>
    </row>
    <row r="110" spans="1:24" x14ac:dyDescent="0.25">
      <c r="A110" s="1" t="s">
        <v>730</v>
      </c>
      <c r="B110" t="str">
        <f>IFERROR(VLOOKUP(Master[[#This Row],[Cell_ID]],Registre_Maintenance[],2,FALSE),"")</f>
        <v>Kasai</v>
      </c>
      <c r="C110" s="1" t="s">
        <v>767</v>
      </c>
      <c r="D110" s="2">
        <v>45217.96875</v>
      </c>
      <c r="E110" s="3">
        <v>45217.96875</v>
      </c>
      <c r="F110">
        <v>97</v>
      </c>
      <c r="G110">
        <f>Master[[#This Row],[Duree_Panne_Min]]/60</f>
        <v>1.6166666666666667</v>
      </c>
      <c r="H110" s="1" t="s">
        <v>735</v>
      </c>
      <c r="I110">
        <f>IFERROR(VLOOKUP(Master[[#This Row],[Cell_ID]],Registre_Maintenance[],3,FALSE),"")</f>
        <v>-10.059846</v>
      </c>
      <c r="J110">
        <f>IFERROR(VLOOKUP(Master[[#This Row],[Cell_ID]],Registre_Maintenance[],4,FALSE),"")</f>
        <v>14.375757999999999</v>
      </c>
      <c r="K110" t="str">
        <f>IFERROR(VLOOKUP(Master[[#This Row],[Cell_ID]],Registre_Maintenance[],5,FALSE),"")</f>
        <v>4G</v>
      </c>
      <c r="L110" t="str">
        <f>IFERROR(VLOOKUP(Master[[#This Row],[Cell_ID]],Registre_Maintenance[],6,FALSE),"")</f>
        <v>Huawei</v>
      </c>
      <c r="M110" s="1" t="str">
        <f>VLOOKUP(Master[[#This Row],[Province_RDC]],Client[],2,FALSE)</f>
        <v>CLI-00559</v>
      </c>
      <c r="N110" s="1">
        <f>VLOOKUP(Master[[#This Row],[Province_RDC]],Client[],3,FALSE)</f>
        <v>99</v>
      </c>
      <c r="O110" s="1" t="str">
        <f>VLOOKUP(Master[[#This Row],[Province_RDC]],Client[],4,FALSE)</f>
        <v>Bloqué 5Go</v>
      </c>
      <c r="P110" s="1">
        <f>VLOOKUP(Master[[#This Row],[Province_RDC]],Client[],5,FALSE)</f>
        <v>369</v>
      </c>
      <c r="Q110" s="1">
        <f>VLOOKUP(Master[[#This Row],[Province_RDC]],Client[],6,FALSE)</f>
        <v>67.209999999999994</v>
      </c>
      <c r="R110" s="1">
        <f>VLOOKUP(Master[[#This Row],[Province_RDC]],Client[],7,FALSE)</f>
        <v>3</v>
      </c>
      <c r="S110" s="1" t="str">
        <f>IF(Master[[#This Row],[Type_Forfait]]="Pro Monde","B2B","B2C")</f>
        <v>B2C</v>
      </c>
      <c r="T110" s="1">
        <f>Master[[#This Row],[Anciennete_Mois]]/12</f>
        <v>8.25</v>
      </c>
      <c r="U110" s="1">
        <f>Master[[#This Row],[Duree_Cumule_Panne_Min]]/60</f>
        <v>6.15</v>
      </c>
      <c r="V11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0" s="6">
        <f>Master[[#This Row],[Facture_Mensuelle]]*Master[[#This Row],[Remise]]</f>
        <v>30.244499999999999</v>
      </c>
    </row>
    <row r="111" spans="1:24" x14ac:dyDescent="0.25">
      <c r="A111" s="1" t="s">
        <v>1404</v>
      </c>
      <c r="B111" t="str">
        <f>IFERROR(VLOOKUP(Master[[#This Row],[Cell_ID]],Registre_Maintenance[],2,FALSE),"")</f>
        <v>Haut-Uele</v>
      </c>
      <c r="C111" s="1" t="s">
        <v>1407</v>
      </c>
      <c r="D111" s="2">
        <v>45223.794444444437</v>
      </c>
      <c r="E111" s="3">
        <v>45223.794444444437</v>
      </c>
      <c r="F111">
        <v>97</v>
      </c>
      <c r="G111">
        <f>Master[[#This Row],[Duree_Panne_Min]]/60</f>
        <v>1.6166666666666667</v>
      </c>
      <c r="H111" s="1" t="s">
        <v>732</v>
      </c>
      <c r="I111">
        <f>IFERROR(VLOOKUP(Master[[#This Row],[Cell_ID]],Registre_Maintenance[],3,FALSE),"")</f>
        <v>1.0134879999999999</v>
      </c>
      <c r="J111">
        <f>IFERROR(VLOOKUP(Master[[#This Row],[Cell_ID]],Registre_Maintenance[],4,FALSE),"")</f>
        <v>20.363515</v>
      </c>
      <c r="K111" t="str">
        <f>IFERROR(VLOOKUP(Master[[#This Row],[Cell_ID]],Registre_Maintenance[],5,FALSE),"")</f>
        <v>4G</v>
      </c>
      <c r="L111" t="str">
        <f>IFERROR(VLOOKUP(Master[[#This Row],[Cell_ID]],Registre_Maintenance[],6,FALSE),"")</f>
        <v>Nokia</v>
      </c>
      <c r="M111" s="1" t="str">
        <f>VLOOKUP(Master[[#This Row],[Province_RDC]],Client[],2,FALSE)</f>
        <v>CLI-00439</v>
      </c>
      <c r="N111" s="1">
        <f>VLOOKUP(Master[[#This Row],[Province_RDC]],Client[],3,FALSE)</f>
        <v>40</v>
      </c>
      <c r="O111" s="1" t="str">
        <f>VLOOKUP(Master[[#This Row],[Province_RDC]],Client[],4,FALSE)</f>
        <v>Premium 5G 150Go</v>
      </c>
      <c r="P111" s="1">
        <f>VLOOKUP(Master[[#This Row],[Province_RDC]],Client[],5,FALSE)</f>
        <v>345</v>
      </c>
      <c r="Q111" s="1">
        <f>VLOOKUP(Master[[#This Row],[Province_RDC]],Client[],6,FALSE)</f>
        <v>89.55</v>
      </c>
      <c r="R111" s="1">
        <f>VLOOKUP(Master[[#This Row],[Province_RDC]],Client[],7,FALSE)</f>
        <v>3</v>
      </c>
      <c r="S111" s="1" t="str">
        <f>IF(Master[[#This Row],[Type_Forfait]]="Pro Monde","B2B","B2C")</f>
        <v>B2C</v>
      </c>
      <c r="T111" s="1">
        <f>Master[[#This Row],[Anciennete_Mois]]/12</f>
        <v>3.3333333333333335</v>
      </c>
      <c r="U111" s="1">
        <f>Master[[#This Row],[Duree_Cumule_Panne_Min]]/60</f>
        <v>5.75</v>
      </c>
      <c r="V11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1" s="6">
        <f>Master[[#This Row],[Facture_Mensuelle]]*Master[[#This Row],[Remise]]</f>
        <v>40.297499999999999</v>
      </c>
    </row>
    <row r="112" spans="1:24" x14ac:dyDescent="0.25">
      <c r="A112" s="1" t="s">
        <v>779</v>
      </c>
      <c r="B112" t="str">
        <f>IFERROR(VLOOKUP(Master[[#This Row],[Cell_ID]],Registre_Maintenance[],2,FALSE),"")</f>
        <v>Sud-Kivu</v>
      </c>
      <c r="C112" s="1" t="s">
        <v>819</v>
      </c>
      <c r="D112" s="2">
        <v>45221.84652777778</v>
      </c>
      <c r="E112" s="3">
        <v>45221.84652777778</v>
      </c>
      <c r="F112">
        <v>96</v>
      </c>
      <c r="G112">
        <f>Master[[#This Row],[Duree_Panne_Min]]/60</f>
        <v>1.6</v>
      </c>
      <c r="H112" s="1" t="s">
        <v>737</v>
      </c>
      <c r="I112">
        <f>IFERROR(VLOOKUP(Master[[#This Row],[Cell_ID]],Registre_Maintenance[],3,FALSE),"")</f>
        <v>-5.2526849999999996</v>
      </c>
      <c r="J112">
        <f>IFERROR(VLOOKUP(Master[[#This Row],[Cell_ID]],Registre_Maintenance[],4,FALSE),"")</f>
        <v>12.374528</v>
      </c>
      <c r="K112" t="str">
        <f>IFERROR(VLOOKUP(Master[[#This Row],[Cell_ID]],Registre_Maintenance[],5,FALSE),"")</f>
        <v>3G</v>
      </c>
      <c r="L112" t="str">
        <f>IFERROR(VLOOKUP(Master[[#This Row],[Cell_ID]],Registre_Maintenance[],6,FALSE),"")</f>
        <v>Nokia</v>
      </c>
      <c r="M112" s="1" t="str">
        <f>VLOOKUP(Master[[#This Row],[Province_RDC]],Client[],2,FALSE)</f>
        <v>CLI-01855</v>
      </c>
      <c r="N112" s="1">
        <f>VLOOKUP(Master[[#This Row],[Province_RDC]],Client[],3,FALSE)</f>
        <v>101</v>
      </c>
      <c r="O112" s="1" t="str">
        <f>VLOOKUP(Master[[#This Row],[Province_RDC]],Client[],4,FALSE)</f>
        <v>Illimité 50Go</v>
      </c>
      <c r="P112" s="1">
        <f>VLOOKUP(Master[[#This Row],[Province_RDC]],Client[],5,FALSE)</f>
        <v>358</v>
      </c>
      <c r="Q112" s="1">
        <f>VLOOKUP(Master[[#This Row],[Province_RDC]],Client[],6,FALSE)</f>
        <v>29.24</v>
      </c>
      <c r="R112" s="1">
        <f>VLOOKUP(Master[[#This Row],[Province_RDC]],Client[],7,FALSE)</f>
        <v>3</v>
      </c>
      <c r="S112" s="1" t="str">
        <f>IF(Master[[#This Row],[Type_Forfait]]="Pro Monde","B2B","B2C")</f>
        <v>B2C</v>
      </c>
      <c r="T112" s="1">
        <f>Master[[#This Row],[Anciennete_Mois]]/12</f>
        <v>8.4166666666666661</v>
      </c>
      <c r="U112" s="1">
        <f>Master[[#This Row],[Duree_Cumule_Panne_Min]]/60</f>
        <v>5.9666666666666668</v>
      </c>
      <c r="V11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2" s="6">
        <f>Master[[#This Row],[Facture_Mensuelle]]*Master[[#This Row],[Remise]]</f>
        <v>13.157999999999999</v>
      </c>
    </row>
    <row r="113" spans="1:24" x14ac:dyDescent="0.25">
      <c r="A113" s="1" t="s">
        <v>1345</v>
      </c>
      <c r="B113" t="str">
        <f>IFERROR(VLOOKUP(Master[[#This Row],[Cell_ID]],Registre_Maintenance[],2,FALSE),"")</f>
        <v>Kongo-Central</v>
      </c>
      <c r="C113" s="1" t="s">
        <v>1285</v>
      </c>
      <c r="D113" s="2">
        <v>45219.569444444453</v>
      </c>
      <c r="E113" s="3">
        <v>45219.569444444453</v>
      </c>
      <c r="F113">
        <v>96</v>
      </c>
      <c r="G113">
        <f>Master[[#This Row],[Duree_Panne_Min]]/60</f>
        <v>1.6</v>
      </c>
      <c r="H113" s="1" t="s">
        <v>732</v>
      </c>
      <c r="I113">
        <f>IFERROR(VLOOKUP(Master[[#This Row],[Cell_ID]],Registre_Maintenance[],3,FALSE),"")</f>
        <v>-7.1587569999999996</v>
      </c>
      <c r="J113">
        <f>IFERROR(VLOOKUP(Master[[#This Row],[Cell_ID]],Registre_Maintenance[],4,FALSE),"")</f>
        <v>18.975141000000001</v>
      </c>
      <c r="K113" t="str">
        <f>IFERROR(VLOOKUP(Master[[#This Row],[Cell_ID]],Registre_Maintenance[],5,FALSE),"")</f>
        <v>5G</v>
      </c>
      <c r="L113" t="str">
        <f>IFERROR(VLOOKUP(Master[[#This Row],[Cell_ID]],Registre_Maintenance[],6,FALSE),"")</f>
        <v>Ericsson</v>
      </c>
      <c r="M113" s="1" t="str">
        <f>VLOOKUP(Master[[#This Row],[Province_RDC]],Client[],2,FALSE)</f>
        <v>CLI-01233</v>
      </c>
      <c r="N113" s="1">
        <f>VLOOKUP(Master[[#This Row],[Province_RDC]],Client[],3,FALSE)</f>
        <v>101</v>
      </c>
      <c r="O113" s="1" t="str">
        <f>VLOOKUP(Master[[#This Row],[Province_RDC]],Client[],4,FALSE)</f>
        <v>Pro Monde</v>
      </c>
      <c r="P113" s="1">
        <f>VLOOKUP(Master[[#This Row],[Province_RDC]],Client[],5,FALSE)</f>
        <v>333</v>
      </c>
      <c r="Q113" s="1">
        <f>VLOOKUP(Master[[#This Row],[Province_RDC]],Client[],6,FALSE)</f>
        <v>74.319999999999993</v>
      </c>
      <c r="R113" s="1">
        <f>VLOOKUP(Master[[#This Row],[Province_RDC]],Client[],7,FALSE)</f>
        <v>1</v>
      </c>
      <c r="S113" s="1" t="str">
        <f>IF(Master[[#This Row],[Type_Forfait]]="Pro Monde","B2B","B2C")</f>
        <v>B2B</v>
      </c>
      <c r="T113" s="1">
        <f>Master[[#This Row],[Anciennete_Mois]]/12</f>
        <v>8.4166666666666661</v>
      </c>
      <c r="U113" s="1">
        <f>Master[[#This Row],[Duree_Cumule_Panne_Min]]/60</f>
        <v>5.55</v>
      </c>
      <c r="V11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3" s="6">
        <f>Master[[#This Row],[Facture_Mensuelle]]*Master[[#This Row],[Remise]]</f>
        <v>33.443999999999996</v>
      </c>
    </row>
    <row r="114" spans="1:24" x14ac:dyDescent="0.25">
      <c r="A114" s="1" t="s">
        <v>823</v>
      </c>
      <c r="B114" t="str">
        <f>IFERROR(VLOOKUP(Master[[#This Row],[Cell_ID]],Registre_Maintenance[],2,FALSE),"")</f>
        <v>Kinshasa</v>
      </c>
      <c r="C114" s="1" t="s">
        <v>829</v>
      </c>
      <c r="D114" s="2">
        <v>45210.568055555559</v>
      </c>
      <c r="E114" s="3">
        <v>45210.568055555559</v>
      </c>
      <c r="F114">
        <v>96</v>
      </c>
      <c r="G114">
        <f>Master[[#This Row],[Duree_Panne_Min]]/60</f>
        <v>1.6</v>
      </c>
      <c r="H114" s="1" t="s">
        <v>732</v>
      </c>
      <c r="I114">
        <f>IFERROR(VLOOKUP(Master[[#This Row],[Cell_ID]],Registre_Maintenance[],3,FALSE),"")</f>
        <v>-5.4126279999999998</v>
      </c>
      <c r="J114">
        <f>IFERROR(VLOOKUP(Master[[#This Row],[Cell_ID]],Registre_Maintenance[],4,FALSE),"")</f>
        <v>25.498235999999999</v>
      </c>
      <c r="K114" t="str">
        <f>IFERROR(VLOOKUP(Master[[#This Row],[Cell_ID]],Registre_Maintenance[],5,FALSE),"")</f>
        <v>5G</v>
      </c>
      <c r="L114" t="str">
        <f>IFERROR(VLOOKUP(Master[[#This Row],[Cell_ID]],Registre_Maintenance[],6,FALSE),"")</f>
        <v>ZTE</v>
      </c>
      <c r="M114" s="1" t="str">
        <f>VLOOKUP(Master[[#This Row],[Province_RDC]],Client[],2,FALSE)</f>
        <v>CLI-00611</v>
      </c>
      <c r="N114" s="1">
        <f>VLOOKUP(Master[[#This Row],[Province_RDC]],Client[],3,FALSE)</f>
        <v>79</v>
      </c>
      <c r="O114" s="1" t="str">
        <f>VLOOKUP(Master[[#This Row],[Province_RDC]],Client[],4,FALSE)</f>
        <v>Premium 5G 150Go</v>
      </c>
      <c r="P114" s="1">
        <f>VLOOKUP(Master[[#This Row],[Province_RDC]],Client[],5,FALSE)</f>
        <v>226</v>
      </c>
      <c r="Q114" s="1">
        <f>VLOOKUP(Master[[#This Row],[Province_RDC]],Client[],6,FALSE)</f>
        <v>94.38</v>
      </c>
      <c r="R114" s="1">
        <f>VLOOKUP(Master[[#This Row],[Province_RDC]],Client[],7,FALSE)</f>
        <v>3</v>
      </c>
      <c r="S114" s="1" t="str">
        <f>IF(Master[[#This Row],[Type_Forfait]]="Pro Monde","B2B","B2C")</f>
        <v>B2C</v>
      </c>
      <c r="T114" s="1">
        <f>Master[[#This Row],[Anciennete_Mois]]/12</f>
        <v>6.583333333333333</v>
      </c>
      <c r="U114" s="1">
        <f>Master[[#This Row],[Duree_Cumule_Panne_Min]]/60</f>
        <v>3.7666666666666666</v>
      </c>
      <c r="V11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14" s="6">
        <f>Master[[#This Row],[Facture_Mensuelle]]*Master[[#This Row],[Remise]]</f>
        <v>0</v>
      </c>
    </row>
    <row r="115" spans="1:24" x14ac:dyDescent="0.25">
      <c r="A115" s="1" t="s">
        <v>1330</v>
      </c>
      <c r="B115" t="str">
        <f>IFERROR(VLOOKUP(Master[[#This Row],[Cell_ID]],Registre_Maintenance[],2,FALSE),"")</f>
        <v>Haut-Katanga</v>
      </c>
      <c r="C115" s="1" t="s">
        <v>792</v>
      </c>
      <c r="D115" s="2">
        <v>45206.286805555559</v>
      </c>
      <c r="E115" s="3">
        <v>45206.286805555559</v>
      </c>
      <c r="F115">
        <v>96</v>
      </c>
      <c r="G115">
        <f>Master[[#This Row],[Duree_Panne_Min]]/60</f>
        <v>1.6</v>
      </c>
      <c r="H115" s="1" t="s">
        <v>735</v>
      </c>
      <c r="I115">
        <f>IFERROR(VLOOKUP(Master[[#This Row],[Cell_ID]],Registre_Maintenance[],3,FALSE),"")</f>
        <v>-5.5445120000000001</v>
      </c>
      <c r="J115">
        <f>IFERROR(VLOOKUP(Master[[#This Row],[Cell_ID]],Registre_Maintenance[],4,FALSE),"")</f>
        <v>27.547335</v>
      </c>
      <c r="K115" t="str">
        <f>IFERROR(VLOOKUP(Master[[#This Row],[Cell_ID]],Registre_Maintenance[],5,FALSE),"")</f>
        <v>4G</v>
      </c>
      <c r="L115" t="str">
        <f>IFERROR(VLOOKUP(Master[[#This Row],[Cell_ID]],Registre_Maintenance[],6,FALSE),"")</f>
        <v>Ericsson</v>
      </c>
      <c r="M115" s="1" t="str">
        <f>VLOOKUP(Master[[#This Row],[Province_RDC]],Client[],2,FALSE)</f>
        <v>CLI-00076</v>
      </c>
      <c r="N115" s="1">
        <f>VLOOKUP(Master[[#This Row],[Province_RDC]],Client[],3,FALSE)</f>
        <v>46</v>
      </c>
      <c r="O115" s="1" t="str">
        <f>VLOOKUP(Master[[#This Row],[Province_RDC]],Client[],4,FALSE)</f>
        <v>Premium 5G 150Go</v>
      </c>
      <c r="P115" s="1">
        <f>VLOOKUP(Master[[#This Row],[Province_RDC]],Client[],5,FALSE)</f>
        <v>283</v>
      </c>
      <c r="Q115" s="1">
        <f>VLOOKUP(Master[[#This Row],[Province_RDC]],Client[],6,FALSE)</f>
        <v>56.05</v>
      </c>
      <c r="R115" s="1">
        <f>VLOOKUP(Master[[#This Row],[Province_RDC]],Client[],7,FALSE)</f>
        <v>1</v>
      </c>
      <c r="S115" s="1" t="str">
        <f>IF(Master[[#This Row],[Type_Forfait]]="Pro Monde","B2B","B2C")</f>
        <v>B2C</v>
      </c>
      <c r="T115" s="1">
        <f>Master[[#This Row],[Anciennete_Mois]]/12</f>
        <v>3.8333333333333335</v>
      </c>
      <c r="U115" s="1">
        <f>Master[[#This Row],[Duree_Cumule_Panne_Min]]/60</f>
        <v>4.7166666666666668</v>
      </c>
      <c r="V11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5" s="6">
        <f>Master[[#This Row],[Facture_Mensuelle]]*Master[[#This Row],[Remise]]</f>
        <v>25.2225</v>
      </c>
    </row>
    <row r="116" spans="1:24" x14ac:dyDescent="0.25">
      <c r="A116" s="1" t="s">
        <v>1382</v>
      </c>
      <c r="B116" t="str">
        <f>IFERROR(VLOOKUP(Master[[#This Row],[Cell_ID]],Registre_Maintenance[],2,FALSE),"")</f>
        <v>Lomami</v>
      </c>
      <c r="C116" s="1" t="s">
        <v>749</v>
      </c>
      <c r="D116" s="2">
        <v>45224.482638888891</v>
      </c>
      <c r="E116" s="3">
        <v>45224.482638888891</v>
      </c>
      <c r="F116">
        <v>95</v>
      </c>
      <c r="G116">
        <f>Master[[#This Row],[Duree_Panne_Min]]/60</f>
        <v>1.5833333333333333</v>
      </c>
      <c r="H116" s="1" t="s">
        <v>735</v>
      </c>
      <c r="I116">
        <f>IFERROR(VLOOKUP(Master[[#This Row],[Cell_ID]],Registre_Maintenance[],3,FALSE),"")</f>
        <v>-2.2371569999999998</v>
      </c>
      <c r="J116">
        <f>IFERROR(VLOOKUP(Master[[#This Row],[Cell_ID]],Registre_Maintenance[],4,FALSE),"")</f>
        <v>25.926188</v>
      </c>
      <c r="K116" t="str">
        <f>IFERROR(VLOOKUP(Master[[#This Row],[Cell_ID]],Registre_Maintenance[],5,FALSE),"")</f>
        <v>3G</v>
      </c>
      <c r="L116" t="str">
        <f>IFERROR(VLOOKUP(Master[[#This Row],[Cell_ID]],Registre_Maintenance[],6,FALSE),"")</f>
        <v>Nokia</v>
      </c>
      <c r="M116" s="1" t="str">
        <f>VLOOKUP(Master[[#This Row],[Province_RDC]],Client[],2,FALSE)</f>
        <v>CLI-00505</v>
      </c>
      <c r="N116" s="1">
        <f>VLOOKUP(Master[[#This Row],[Province_RDC]],Client[],3,FALSE)</f>
        <v>59</v>
      </c>
      <c r="O116" s="1" t="str">
        <f>VLOOKUP(Master[[#This Row],[Province_RDC]],Client[],4,FALSE)</f>
        <v>Bloqué 5Go</v>
      </c>
      <c r="P116" s="1">
        <f>VLOOKUP(Master[[#This Row],[Province_RDC]],Client[],5,FALSE)</f>
        <v>196</v>
      </c>
      <c r="Q116" s="1">
        <f>VLOOKUP(Master[[#This Row],[Province_RDC]],Client[],6,FALSE)</f>
        <v>62.53</v>
      </c>
      <c r="R116" s="1">
        <f>VLOOKUP(Master[[#This Row],[Province_RDC]],Client[],7,FALSE)</f>
        <v>0</v>
      </c>
      <c r="S116" s="1" t="str">
        <f>IF(Master[[#This Row],[Type_Forfait]]="Pro Monde","B2B","B2C")</f>
        <v>B2C</v>
      </c>
      <c r="T116" s="1">
        <f>Master[[#This Row],[Anciennete_Mois]]/12</f>
        <v>4.916666666666667</v>
      </c>
      <c r="U116" s="1">
        <f>Master[[#This Row],[Duree_Cumule_Panne_Min]]/60</f>
        <v>3.2666666666666666</v>
      </c>
      <c r="V11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1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16" s="6">
        <f>Master[[#This Row],[Facture_Mensuelle]]*Master[[#This Row],[Remise]]</f>
        <v>0</v>
      </c>
    </row>
    <row r="117" spans="1:24" x14ac:dyDescent="0.25">
      <c r="A117" s="1" t="s">
        <v>1330</v>
      </c>
      <c r="B117" t="str">
        <f>IFERROR(VLOOKUP(Master[[#This Row],[Cell_ID]],Registre_Maintenance[],2,FALSE),"")</f>
        <v>Lomami</v>
      </c>
      <c r="C117" s="1" t="s">
        <v>1287</v>
      </c>
      <c r="D117" s="2">
        <v>45201.293055555558</v>
      </c>
      <c r="E117" s="3">
        <v>45201.293055555558</v>
      </c>
      <c r="F117">
        <v>95</v>
      </c>
      <c r="G117">
        <f>Master[[#This Row],[Duree_Panne_Min]]/60</f>
        <v>1.5833333333333333</v>
      </c>
      <c r="H117" s="1" t="s">
        <v>737</v>
      </c>
      <c r="I117">
        <f>IFERROR(VLOOKUP(Master[[#This Row],[Cell_ID]],Registre_Maintenance[],3,FALSE),"")</f>
        <v>-9.5619429999999994</v>
      </c>
      <c r="J117">
        <f>IFERROR(VLOOKUP(Master[[#This Row],[Cell_ID]],Registre_Maintenance[],4,FALSE),"")</f>
        <v>21.445726000000001</v>
      </c>
      <c r="K117" t="str">
        <f>IFERROR(VLOOKUP(Master[[#This Row],[Cell_ID]],Registre_Maintenance[],5,FALSE),"")</f>
        <v>4G</v>
      </c>
      <c r="L117" t="str">
        <f>IFERROR(VLOOKUP(Master[[#This Row],[Cell_ID]],Registre_Maintenance[],6,FALSE),"")</f>
        <v>Nokia</v>
      </c>
      <c r="M117" s="1" t="str">
        <f>VLOOKUP(Master[[#This Row],[Province_RDC]],Client[],2,FALSE)</f>
        <v>CLI-00505</v>
      </c>
      <c r="N117" s="1">
        <f>VLOOKUP(Master[[#This Row],[Province_RDC]],Client[],3,FALSE)</f>
        <v>59</v>
      </c>
      <c r="O117" s="1" t="str">
        <f>VLOOKUP(Master[[#This Row],[Province_RDC]],Client[],4,FALSE)</f>
        <v>Bloqué 5Go</v>
      </c>
      <c r="P117" s="1">
        <f>VLOOKUP(Master[[#This Row],[Province_RDC]],Client[],5,FALSE)</f>
        <v>196</v>
      </c>
      <c r="Q117" s="1">
        <f>VLOOKUP(Master[[#This Row],[Province_RDC]],Client[],6,FALSE)</f>
        <v>62.53</v>
      </c>
      <c r="R117" s="1">
        <f>VLOOKUP(Master[[#This Row],[Province_RDC]],Client[],7,FALSE)</f>
        <v>0</v>
      </c>
      <c r="S117" s="1" t="str">
        <f>IF(Master[[#This Row],[Type_Forfait]]="Pro Monde","B2B","B2C")</f>
        <v>B2C</v>
      </c>
      <c r="T117" s="1">
        <f>Master[[#This Row],[Anciennete_Mois]]/12</f>
        <v>4.916666666666667</v>
      </c>
      <c r="U117" s="1">
        <f>Master[[#This Row],[Duree_Cumule_Panne_Min]]/60</f>
        <v>3.2666666666666666</v>
      </c>
      <c r="V11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1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17" s="6">
        <f>Master[[#This Row],[Facture_Mensuelle]]*Master[[#This Row],[Remise]]</f>
        <v>0</v>
      </c>
    </row>
    <row r="118" spans="1:24" x14ac:dyDescent="0.25">
      <c r="A118" s="1" t="s">
        <v>1219</v>
      </c>
      <c r="B118" t="str">
        <f>IFERROR(VLOOKUP(Master[[#This Row],[Cell_ID]],Registre_Maintenance[],2,FALSE),"")</f>
        <v>Haut-Uele</v>
      </c>
      <c r="C118" s="1" t="s">
        <v>1139</v>
      </c>
      <c r="D118" s="2">
        <v>45219.527083333327</v>
      </c>
      <c r="E118" s="3">
        <v>45219.527083333327</v>
      </c>
      <c r="F118">
        <v>95</v>
      </c>
      <c r="G118">
        <f>Master[[#This Row],[Duree_Panne_Min]]/60</f>
        <v>1.5833333333333333</v>
      </c>
      <c r="H118" s="1" t="s">
        <v>732</v>
      </c>
      <c r="I118">
        <f>IFERROR(VLOOKUP(Master[[#This Row],[Cell_ID]],Registre_Maintenance[],3,FALSE),"")</f>
        <v>-7.1483749999999997</v>
      </c>
      <c r="J118">
        <f>IFERROR(VLOOKUP(Master[[#This Row],[Cell_ID]],Registre_Maintenance[],4,FALSE),"")</f>
        <v>26.014271000000001</v>
      </c>
      <c r="K118" t="str">
        <f>IFERROR(VLOOKUP(Master[[#This Row],[Cell_ID]],Registre_Maintenance[],5,FALSE),"")</f>
        <v>5G</v>
      </c>
      <c r="L118" t="str">
        <f>IFERROR(VLOOKUP(Master[[#This Row],[Cell_ID]],Registre_Maintenance[],6,FALSE),"")</f>
        <v>Huawei</v>
      </c>
      <c r="M118" s="1" t="str">
        <f>VLOOKUP(Master[[#This Row],[Province_RDC]],Client[],2,FALSE)</f>
        <v>CLI-00439</v>
      </c>
      <c r="N118" s="1">
        <f>VLOOKUP(Master[[#This Row],[Province_RDC]],Client[],3,FALSE)</f>
        <v>40</v>
      </c>
      <c r="O118" s="1" t="str">
        <f>VLOOKUP(Master[[#This Row],[Province_RDC]],Client[],4,FALSE)</f>
        <v>Premium 5G 150Go</v>
      </c>
      <c r="P118" s="1">
        <f>VLOOKUP(Master[[#This Row],[Province_RDC]],Client[],5,FALSE)</f>
        <v>345</v>
      </c>
      <c r="Q118" s="1">
        <f>VLOOKUP(Master[[#This Row],[Province_RDC]],Client[],6,FALSE)</f>
        <v>89.55</v>
      </c>
      <c r="R118" s="1">
        <f>VLOOKUP(Master[[#This Row],[Province_RDC]],Client[],7,FALSE)</f>
        <v>3</v>
      </c>
      <c r="S118" s="1" t="str">
        <f>IF(Master[[#This Row],[Type_Forfait]]="Pro Monde","B2B","B2C")</f>
        <v>B2C</v>
      </c>
      <c r="T118" s="1">
        <f>Master[[#This Row],[Anciennete_Mois]]/12</f>
        <v>3.3333333333333335</v>
      </c>
      <c r="U118" s="1">
        <f>Master[[#This Row],[Duree_Cumule_Panne_Min]]/60</f>
        <v>5.75</v>
      </c>
      <c r="V11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8" s="6">
        <f>Master[[#This Row],[Facture_Mensuelle]]*Master[[#This Row],[Remise]]</f>
        <v>40.297499999999999</v>
      </c>
    </row>
    <row r="119" spans="1:24" x14ac:dyDescent="0.25">
      <c r="A119" s="1" t="s">
        <v>999</v>
      </c>
      <c r="B119" t="str">
        <f>IFERROR(VLOOKUP(Master[[#This Row],[Cell_ID]],Registre_Maintenance[],2,FALSE),"")</f>
        <v>Haut-Lomami</v>
      </c>
      <c r="C119" s="1" t="s">
        <v>920</v>
      </c>
      <c r="D119" s="2">
        <v>45210.458333333343</v>
      </c>
      <c r="E119" s="3">
        <v>45210.458333333343</v>
      </c>
      <c r="F119">
        <v>95</v>
      </c>
      <c r="G119">
        <f>Master[[#This Row],[Duree_Panne_Min]]/60</f>
        <v>1.5833333333333333</v>
      </c>
      <c r="H119" s="1" t="s">
        <v>735</v>
      </c>
      <c r="I119">
        <f>IFERROR(VLOOKUP(Master[[#This Row],[Cell_ID]],Registre_Maintenance[],3,FALSE),"")</f>
        <v>-12.112682</v>
      </c>
      <c r="J119">
        <f>IFERROR(VLOOKUP(Master[[#This Row],[Cell_ID]],Registre_Maintenance[],4,FALSE),"")</f>
        <v>19.972052000000001</v>
      </c>
      <c r="K119" t="str">
        <f>IFERROR(VLOOKUP(Master[[#This Row],[Cell_ID]],Registre_Maintenance[],5,FALSE),"")</f>
        <v>4G</v>
      </c>
      <c r="L119" t="str">
        <f>IFERROR(VLOOKUP(Master[[#This Row],[Cell_ID]],Registre_Maintenance[],6,FALSE),"")</f>
        <v>Huawei</v>
      </c>
      <c r="M119" s="1" t="str">
        <f>VLOOKUP(Master[[#This Row],[Province_RDC]],Client[],2,FALSE)</f>
        <v>CLI-01325</v>
      </c>
      <c r="N119" s="1">
        <f>VLOOKUP(Master[[#This Row],[Province_RDC]],Client[],3,FALSE)</f>
        <v>44</v>
      </c>
      <c r="O119" s="1" t="str">
        <f>VLOOKUP(Master[[#This Row],[Province_RDC]],Client[],4,FALSE)</f>
        <v>Bloqué 5Go</v>
      </c>
      <c r="P119" s="1">
        <f>VLOOKUP(Master[[#This Row],[Province_RDC]],Client[],5,FALSE)</f>
        <v>348</v>
      </c>
      <c r="Q119" s="1">
        <f>VLOOKUP(Master[[#This Row],[Province_RDC]],Client[],6,FALSE)</f>
        <v>58.67</v>
      </c>
      <c r="R119" s="1">
        <f>VLOOKUP(Master[[#This Row],[Province_RDC]],Client[],7,FALSE)</f>
        <v>0</v>
      </c>
      <c r="S119" s="1" t="str">
        <f>IF(Master[[#This Row],[Type_Forfait]]="Pro Monde","B2B","B2C")</f>
        <v>B2C</v>
      </c>
      <c r="T119" s="1">
        <f>Master[[#This Row],[Anciennete_Mois]]/12</f>
        <v>3.6666666666666665</v>
      </c>
      <c r="U119" s="1">
        <f>Master[[#This Row],[Duree_Cumule_Panne_Min]]/60</f>
        <v>5.8</v>
      </c>
      <c r="V11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1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19" s="6">
        <f>Master[[#This Row],[Facture_Mensuelle]]*Master[[#This Row],[Remise]]</f>
        <v>26.401500000000002</v>
      </c>
    </row>
    <row r="120" spans="1:24" x14ac:dyDescent="0.25">
      <c r="A120" s="1" t="s">
        <v>779</v>
      </c>
      <c r="B120" t="str">
        <f>IFERROR(VLOOKUP(Master[[#This Row],[Cell_ID]],Registre_Maintenance[],2,FALSE),"")</f>
        <v>Haut-Katanga</v>
      </c>
      <c r="C120" s="1" t="s">
        <v>795</v>
      </c>
      <c r="D120" s="2">
        <v>45213.645833333343</v>
      </c>
      <c r="E120" s="3">
        <v>45213.645833333343</v>
      </c>
      <c r="F120">
        <v>95</v>
      </c>
      <c r="G120">
        <f>Master[[#This Row],[Duree_Panne_Min]]/60</f>
        <v>1.5833333333333333</v>
      </c>
      <c r="H120" s="1" t="s">
        <v>732</v>
      </c>
      <c r="I120">
        <f>IFERROR(VLOOKUP(Master[[#This Row],[Cell_ID]],Registre_Maintenance[],3,FALSE),"")</f>
        <v>-2.9417719999999998</v>
      </c>
      <c r="J120">
        <f>IFERROR(VLOOKUP(Master[[#This Row],[Cell_ID]],Registre_Maintenance[],4,FALSE),"")</f>
        <v>18.587305000000001</v>
      </c>
      <c r="K120" t="str">
        <f>IFERROR(VLOOKUP(Master[[#This Row],[Cell_ID]],Registre_Maintenance[],5,FALSE),"")</f>
        <v>5G</v>
      </c>
      <c r="L120" t="str">
        <f>IFERROR(VLOOKUP(Master[[#This Row],[Cell_ID]],Registre_Maintenance[],6,FALSE),"")</f>
        <v>Ericsson</v>
      </c>
      <c r="M120" s="1" t="str">
        <f>VLOOKUP(Master[[#This Row],[Province_RDC]],Client[],2,FALSE)</f>
        <v>CLI-00076</v>
      </c>
      <c r="N120" s="1">
        <f>VLOOKUP(Master[[#This Row],[Province_RDC]],Client[],3,FALSE)</f>
        <v>46</v>
      </c>
      <c r="O120" s="1" t="str">
        <f>VLOOKUP(Master[[#This Row],[Province_RDC]],Client[],4,FALSE)</f>
        <v>Premium 5G 150Go</v>
      </c>
      <c r="P120" s="1">
        <f>VLOOKUP(Master[[#This Row],[Province_RDC]],Client[],5,FALSE)</f>
        <v>283</v>
      </c>
      <c r="Q120" s="1">
        <f>VLOOKUP(Master[[#This Row],[Province_RDC]],Client[],6,FALSE)</f>
        <v>56.05</v>
      </c>
      <c r="R120" s="1">
        <f>VLOOKUP(Master[[#This Row],[Province_RDC]],Client[],7,FALSE)</f>
        <v>1</v>
      </c>
      <c r="S120" s="1" t="str">
        <f>IF(Master[[#This Row],[Type_Forfait]]="Pro Monde","B2B","B2C")</f>
        <v>B2C</v>
      </c>
      <c r="T120" s="1">
        <f>Master[[#This Row],[Anciennete_Mois]]/12</f>
        <v>3.8333333333333335</v>
      </c>
      <c r="U120" s="1">
        <f>Master[[#This Row],[Duree_Cumule_Panne_Min]]/60</f>
        <v>4.7166666666666668</v>
      </c>
      <c r="V12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0" s="6">
        <f>Master[[#This Row],[Facture_Mensuelle]]*Master[[#This Row],[Remise]]</f>
        <v>25.2225</v>
      </c>
    </row>
    <row r="121" spans="1:24" x14ac:dyDescent="0.25">
      <c r="A121" s="1" t="s">
        <v>823</v>
      </c>
      <c r="B121" t="str">
        <f>IFERROR(VLOOKUP(Master[[#This Row],[Cell_ID]],Registre_Maintenance[],2,FALSE),"")</f>
        <v>Nord-Kivu</v>
      </c>
      <c r="C121" s="1" t="s">
        <v>830</v>
      </c>
      <c r="D121" s="2">
        <v>45216.14166666667</v>
      </c>
      <c r="E121" s="3">
        <v>45216.14166666667</v>
      </c>
      <c r="F121">
        <v>94</v>
      </c>
      <c r="G121">
        <f>Master[[#This Row],[Duree_Panne_Min]]/60</f>
        <v>1.5666666666666667</v>
      </c>
      <c r="H121" s="1" t="s">
        <v>732</v>
      </c>
      <c r="I121">
        <f>IFERROR(VLOOKUP(Master[[#This Row],[Cell_ID]],Registre_Maintenance[],3,FALSE),"")</f>
        <v>1.8103860000000001</v>
      </c>
      <c r="J121">
        <f>IFERROR(VLOOKUP(Master[[#This Row],[Cell_ID]],Registre_Maintenance[],4,FALSE),"")</f>
        <v>15.175582</v>
      </c>
      <c r="K121" t="str">
        <f>IFERROR(VLOOKUP(Master[[#This Row],[Cell_ID]],Registre_Maintenance[],5,FALSE),"")</f>
        <v>3G</v>
      </c>
      <c r="L121" t="str">
        <f>IFERROR(VLOOKUP(Master[[#This Row],[Cell_ID]],Registre_Maintenance[],6,FALSE),"")</f>
        <v>Huawei</v>
      </c>
      <c r="M121" s="1" t="str">
        <f>VLOOKUP(Master[[#This Row],[Province_RDC]],Client[],2,FALSE)</f>
        <v>CLI-00837</v>
      </c>
      <c r="N121" s="1">
        <f>VLOOKUP(Master[[#This Row],[Province_RDC]],Client[],3,FALSE)</f>
        <v>16</v>
      </c>
      <c r="O121" s="1" t="str">
        <f>VLOOKUP(Master[[#This Row],[Province_RDC]],Client[],4,FALSE)</f>
        <v>Bloqué 5Go</v>
      </c>
      <c r="P121" s="1">
        <f>VLOOKUP(Master[[#This Row],[Province_RDC]],Client[],5,FALSE)</f>
        <v>390</v>
      </c>
      <c r="Q121" s="1">
        <f>VLOOKUP(Master[[#This Row],[Province_RDC]],Client[],6,FALSE)</f>
        <v>98.17</v>
      </c>
      <c r="R121" s="1">
        <f>VLOOKUP(Master[[#This Row],[Province_RDC]],Client[],7,FALSE)</f>
        <v>5</v>
      </c>
      <c r="S121" s="1" t="str">
        <f>IF(Master[[#This Row],[Type_Forfait]]="Pro Monde","B2B","B2C")</f>
        <v>B2C</v>
      </c>
      <c r="T121" s="1">
        <f>Master[[#This Row],[Anciennete_Mois]]/12</f>
        <v>1.3333333333333333</v>
      </c>
      <c r="U121" s="1">
        <f>Master[[#This Row],[Duree_Cumule_Panne_Min]]/60</f>
        <v>6.5</v>
      </c>
      <c r="V12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1" s="6">
        <f>Master[[#This Row],[Facture_Mensuelle]]*Master[[#This Row],[Remise]]</f>
        <v>44.176500000000004</v>
      </c>
    </row>
    <row r="122" spans="1:24" x14ac:dyDescent="0.25">
      <c r="A122" s="1" t="s">
        <v>1382</v>
      </c>
      <c r="B122" t="str">
        <f>IFERROR(VLOOKUP(Master[[#This Row],[Cell_ID]],Registre_Maintenance[],2,FALSE),"")</f>
        <v>Bas-Uele</v>
      </c>
      <c r="C122" s="1" t="s">
        <v>1384</v>
      </c>
      <c r="D122" s="2">
        <v>45204.625</v>
      </c>
      <c r="E122" s="3">
        <v>45204.625</v>
      </c>
      <c r="F122">
        <v>94</v>
      </c>
      <c r="G122">
        <f>Master[[#This Row],[Duree_Panne_Min]]/60</f>
        <v>1.5666666666666667</v>
      </c>
      <c r="H122" s="1" t="s">
        <v>737</v>
      </c>
      <c r="I122">
        <f>IFERROR(VLOOKUP(Master[[#This Row],[Cell_ID]],Registre_Maintenance[],3,FALSE),"")</f>
        <v>-1.6893210000000001</v>
      </c>
      <c r="J122">
        <f>IFERROR(VLOOKUP(Master[[#This Row],[Cell_ID]],Registre_Maintenance[],4,FALSE),"")</f>
        <v>30.446543999999999</v>
      </c>
      <c r="K122" t="str">
        <f>IFERROR(VLOOKUP(Master[[#This Row],[Cell_ID]],Registre_Maintenance[],5,FALSE),"")</f>
        <v>4G</v>
      </c>
      <c r="L122" t="str">
        <f>IFERROR(VLOOKUP(Master[[#This Row],[Cell_ID]],Registre_Maintenance[],6,FALSE),"")</f>
        <v>Huawei</v>
      </c>
      <c r="M122" s="1" t="str">
        <f>VLOOKUP(Master[[#This Row],[Province_RDC]],Client[],2,FALSE)</f>
        <v>CLI-01128</v>
      </c>
      <c r="N122" s="1">
        <f>VLOOKUP(Master[[#This Row],[Province_RDC]],Client[],3,FALSE)</f>
        <v>112</v>
      </c>
      <c r="O122" s="1" t="str">
        <f>VLOOKUP(Master[[#This Row],[Province_RDC]],Client[],4,FALSE)</f>
        <v>Premium 5G 150Go</v>
      </c>
      <c r="P122" s="1">
        <f>VLOOKUP(Master[[#This Row],[Province_RDC]],Client[],5,FALSE)</f>
        <v>460</v>
      </c>
      <c r="Q122" s="1">
        <f>VLOOKUP(Master[[#This Row],[Province_RDC]],Client[],6,FALSE)</f>
        <v>55.47</v>
      </c>
      <c r="R122" s="1">
        <f>VLOOKUP(Master[[#This Row],[Province_RDC]],Client[],7,FALSE)</f>
        <v>4</v>
      </c>
      <c r="S122" s="1" t="str">
        <f>IF(Master[[#This Row],[Type_Forfait]]="Pro Monde","B2B","B2C")</f>
        <v>B2C</v>
      </c>
      <c r="T122" s="1">
        <f>Master[[#This Row],[Anciennete_Mois]]/12</f>
        <v>9.3333333333333339</v>
      </c>
      <c r="U122" s="1">
        <f>Master[[#This Row],[Duree_Cumule_Panne_Min]]/60</f>
        <v>7.666666666666667</v>
      </c>
      <c r="V12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2" s="6">
        <f>Master[[#This Row],[Facture_Mensuelle]]*Master[[#This Row],[Remise]]</f>
        <v>24.961500000000001</v>
      </c>
    </row>
    <row r="123" spans="1:24" x14ac:dyDescent="0.25">
      <c r="A123" s="1" t="s">
        <v>1261</v>
      </c>
      <c r="B123" t="str">
        <f>IFERROR(VLOOKUP(Master[[#This Row],[Cell_ID]],Registre_Maintenance[],2,FALSE),"")</f>
        <v>Nord-Kivu</v>
      </c>
      <c r="C123" s="1" t="s">
        <v>797</v>
      </c>
      <c r="D123" s="2">
        <v>45229.065972222219</v>
      </c>
      <c r="E123" s="3">
        <v>45229.065972222219</v>
      </c>
      <c r="F123">
        <v>93</v>
      </c>
      <c r="G123">
        <f>Master[[#This Row],[Duree_Panne_Min]]/60</f>
        <v>1.55</v>
      </c>
      <c r="H123" s="1" t="s">
        <v>732</v>
      </c>
      <c r="I123">
        <f>IFERROR(VLOOKUP(Master[[#This Row],[Cell_ID]],Registre_Maintenance[],3,FALSE),"")</f>
        <v>0.82868600000000003</v>
      </c>
      <c r="J123">
        <f>IFERROR(VLOOKUP(Master[[#This Row],[Cell_ID]],Registre_Maintenance[],4,FALSE),"")</f>
        <v>26.958843999999999</v>
      </c>
      <c r="K123" t="str">
        <f>IFERROR(VLOOKUP(Master[[#This Row],[Cell_ID]],Registre_Maintenance[],5,FALSE),"")</f>
        <v>5G</v>
      </c>
      <c r="L123" t="str">
        <f>IFERROR(VLOOKUP(Master[[#This Row],[Cell_ID]],Registre_Maintenance[],6,FALSE),"")</f>
        <v>ZTE</v>
      </c>
      <c r="M123" s="1" t="str">
        <f>VLOOKUP(Master[[#This Row],[Province_RDC]],Client[],2,FALSE)</f>
        <v>CLI-00837</v>
      </c>
      <c r="N123" s="1">
        <f>VLOOKUP(Master[[#This Row],[Province_RDC]],Client[],3,FALSE)</f>
        <v>16</v>
      </c>
      <c r="O123" s="1" t="str">
        <f>VLOOKUP(Master[[#This Row],[Province_RDC]],Client[],4,FALSE)</f>
        <v>Bloqué 5Go</v>
      </c>
      <c r="P123" s="1">
        <f>VLOOKUP(Master[[#This Row],[Province_RDC]],Client[],5,FALSE)</f>
        <v>390</v>
      </c>
      <c r="Q123" s="1">
        <f>VLOOKUP(Master[[#This Row],[Province_RDC]],Client[],6,FALSE)</f>
        <v>98.17</v>
      </c>
      <c r="R123" s="1">
        <f>VLOOKUP(Master[[#This Row],[Province_RDC]],Client[],7,FALSE)</f>
        <v>5</v>
      </c>
      <c r="S123" s="1" t="str">
        <f>IF(Master[[#This Row],[Type_Forfait]]="Pro Monde","B2B","B2C")</f>
        <v>B2C</v>
      </c>
      <c r="T123" s="1">
        <f>Master[[#This Row],[Anciennete_Mois]]/12</f>
        <v>1.3333333333333333</v>
      </c>
      <c r="U123" s="1">
        <f>Master[[#This Row],[Duree_Cumule_Panne_Min]]/60</f>
        <v>6.5</v>
      </c>
      <c r="V12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3" s="6">
        <f>Master[[#This Row],[Facture_Mensuelle]]*Master[[#This Row],[Remise]]</f>
        <v>44.176500000000004</v>
      </c>
    </row>
    <row r="124" spans="1:24" x14ac:dyDescent="0.25">
      <c r="A124" s="1" t="s">
        <v>1059</v>
      </c>
      <c r="B124" t="str">
        <f>IFERROR(VLOOKUP(Master[[#This Row],[Cell_ID]],Registre_Maintenance[],2,FALSE),"")</f>
        <v>Lualaba</v>
      </c>
      <c r="C124" s="1" t="s">
        <v>1066</v>
      </c>
      <c r="D124" s="2">
        <v>45211.316666666673</v>
      </c>
      <c r="E124" s="3">
        <v>45211.316666666673</v>
      </c>
      <c r="F124">
        <v>93</v>
      </c>
      <c r="G124">
        <f>Master[[#This Row],[Duree_Panne_Min]]/60</f>
        <v>1.55</v>
      </c>
      <c r="H124" s="1" t="s">
        <v>737</v>
      </c>
      <c r="I124">
        <f>IFERROR(VLOOKUP(Master[[#This Row],[Cell_ID]],Registre_Maintenance[],3,FALSE),"")</f>
        <v>1.286548</v>
      </c>
      <c r="J124">
        <f>IFERROR(VLOOKUP(Master[[#This Row],[Cell_ID]],Registre_Maintenance[],4,FALSE),"")</f>
        <v>29.823702999999998</v>
      </c>
      <c r="K124" t="str">
        <f>IFERROR(VLOOKUP(Master[[#This Row],[Cell_ID]],Registre_Maintenance[],5,FALSE),"")</f>
        <v>4G</v>
      </c>
      <c r="L124" t="str">
        <f>IFERROR(VLOOKUP(Master[[#This Row],[Cell_ID]],Registre_Maintenance[],6,FALSE),"")</f>
        <v>ZTE</v>
      </c>
      <c r="M124" s="1" t="str">
        <f>VLOOKUP(Master[[#This Row],[Province_RDC]],Client[],2,FALSE)</f>
        <v>CLI-01005</v>
      </c>
      <c r="N124" s="1">
        <f>VLOOKUP(Master[[#This Row],[Province_RDC]],Client[],3,FALSE)</f>
        <v>80</v>
      </c>
      <c r="O124" s="1" t="str">
        <f>VLOOKUP(Master[[#This Row],[Province_RDC]],Client[],4,FALSE)</f>
        <v>Illimité 50Go</v>
      </c>
      <c r="P124" s="1">
        <f>VLOOKUP(Master[[#This Row],[Province_RDC]],Client[],5,FALSE)</f>
        <v>155</v>
      </c>
      <c r="Q124" s="1">
        <f>VLOOKUP(Master[[#This Row],[Province_RDC]],Client[],6,FALSE)</f>
        <v>28.96</v>
      </c>
      <c r="R124" s="1">
        <f>VLOOKUP(Master[[#This Row],[Province_RDC]],Client[],7,FALSE)</f>
        <v>2</v>
      </c>
      <c r="S124" s="1" t="str">
        <f>IF(Master[[#This Row],[Type_Forfait]]="Pro Monde","B2B","B2C")</f>
        <v>B2C</v>
      </c>
      <c r="T124" s="1">
        <f>Master[[#This Row],[Anciennete_Mois]]/12</f>
        <v>6.666666666666667</v>
      </c>
      <c r="U124" s="1">
        <f>Master[[#This Row],[Duree_Cumule_Panne_Min]]/60</f>
        <v>2.5833333333333335</v>
      </c>
      <c r="V12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2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24" s="6">
        <f>Master[[#This Row],[Facture_Mensuelle]]*Master[[#This Row],[Remise]]</f>
        <v>0</v>
      </c>
    </row>
    <row r="125" spans="1:24" x14ac:dyDescent="0.25">
      <c r="A125" s="1" t="s">
        <v>1382</v>
      </c>
      <c r="B125" t="str">
        <f>IFERROR(VLOOKUP(Master[[#This Row],[Cell_ID]],Registre_Maintenance[],2,FALSE),"")</f>
        <v>Kasai-Central</v>
      </c>
      <c r="C125" s="1" t="s">
        <v>1386</v>
      </c>
      <c r="D125" s="2">
        <v>45217.578472222223</v>
      </c>
      <c r="E125" s="3">
        <v>45217.578472222223</v>
      </c>
      <c r="F125">
        <v>93</v>
      </c>
      <c r="G125">
        <f>Master[[#This Row],[Duree_Panne_Min]]/60</f>
        <v>1.55</v>
      </c>
      <c r="H125" s="1" t="s">
        <v>735</v>
      </c>
      <c r="I125">
        <f>IFERROR(VLOOKUP(Master[[#This Row],[Cell_ID]],Registre_Maintenance[],3,FALSE),"")</f>
        <v>-10.735106</v>
      </c>
      <c r="J125">
        <f>IFERROR(VLOOKUP(Master[[#This Row],[Cell_ID]],Registre_Maintenance[],4,FALSE),"")</f>
        <v>27.868673999999999</v>
      </c>
      <c r="K125" t="str">
        <f>IFERROR(VLOOKUP(Master[[#This Row],[Cell_ID]],Registre_Maintenance[],5,FALSE),"")</f>
        <v>3G</v>
      </c>
      <c r="L125" t="str">
        <f>IFERROR(VLOOKUP(Master[[#This Row],[Cell_ID]],Registre_Maintenance[],6,FALSE),"")</f>
        <v>Ericsson</v>
      </c>
      <c r="M125" s="1" t="str">
        <f>VLOOKUP(Master[[#This Row],[Province_RDC]],Client[],2,FALSE)</f>
        <v>CLI-00060</v>
      </c>
      <c r="N125" s="1">
        <f>VLOOKUP(Master[[#This Row],[Province_RDC]],Client[],3,FALSE)</f>
        <v>72</v>
      </c>
      <c r="O125" s="1" t="str">
        <f>VLOOKUP(Master[[#This Row],[Province_RDC]],Client[],4,FALSE)</f>
        <v>Pro Monde</v>
      </c>
      <c r="P125" s="1">
        <f>VLOOKUP(Master[[#This Row],[Province_RDC]],Client[],5,FALSE)</f>
        <v>160</v>
      </c>
      <c r="Q125" s="1">
        <f>VLOOKUP(Master[[#This Row],[Province_RDC]],Client[],6,FALSE)</f>
        <v>90.13</v>
      </c>
      <c r="R125" s="1">
        <f>VLOOKUP(Master[[#This Row],[Province_RDC]],Client[],7,FALSE)</f>
        <v>2</v>
      </c>
      <c r="S125" s="1" t="str">
        <f>IF(Master[[#This Row],[Type_Forfait]]="Pro Monde","B2B","B2C")</f>
        <v>B2B</v>
      </c>
      <c r="T125" s="1">
        <f>Master[[#This Row],[Anciennete_Mois]]/12</f>
        <v>6</v>
      </c>
      <c r="U125" s="1">
        <f>Master[[#This Row],[Duree_Cumule_Panne_Min]]/60</f>
        <v>2.6666666666666665</v>
      </c>
      <c r="V12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2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25" s="6">
        <f>Master[[#This Row],[Facture_Mensuelle]]*Master[[#This Row],[Remise]]</f>
        <v>9.0129999999999999</v>
      </c>
    </row>
    <row r="126" spans="1:24" x14ac:dyDescent="0.25">
      <c r="A126" s="1" t="s">
        <v>902</v>
      </c>
      <c r="B126" t="str">
        <f>IFERROR(VLOOKUP(Master[[#This Row],[Cell_ID]],Registre_Maintenance[],2,FALSE),"")</f>
        <v>Kasai-Central</v>
      </c>
      <c r="C126" s="1" t="s">
        <v>863</v>
      </c>
      <c r="D126" s="2">
        <v>45209.824305555558</v>
      </c>
      <c r="E126" s="3">
        <v>45209.824305555558</v>
      </c>
      <c r="F126">
        <v>93</v>
      </c>
      <c r="G126">
        <f>Master[[#This Row],[Duree_Panne_Min]]/60</f>
        <v>1.55</v>
      </c>
      <c r="H126" s="1" t="s">
        <v>737</v>
      </c>
      <c r="I126">
        <f>IFERROR(VLOOKUP(Master[[#This Row],[Cell_ID]],Registre_Maintenance[],3,FALSE),"")</f>
        <v>-10.414493</v>
      </c>
      <c r="J126">
        <f>IFERROR(VLOOKUP(Master[[#This Row],[Cell_ID]],Registre_Maintenance[],4,FALSE),"")</f>
        <v>12.333356999999999</v>
      </c>
      <c r="K126" t="str">
        <f>IFERROR(VLOOKUP(Master[[#This Row],[Cell_ID]],Registre_Maintenance[],5,FALSE),"")</f>
        <v>3G</v>
      </c>
      <c r="L126" t="str">
        <f>IFERROR(VLOOKUP(Master[[#This Row],[Cell_ID]],Registre_Maintenance[],6,FALSE),"")</f>
        <v>Ericsson</v>
      </c>
      <c r="M126" s="1" t="str">
        <f>VLOOKUP(Master[[#This Row],[Province_RDC]],Client[],2,FALSE)</f>
        <v>CLI-00060</v>
      </c>
      <c r="N126" s="1">
        <f>VLOOKUP(Master[[#This Row],[Province_RDC]],Client[],3,FALSE)</f>
        <v>72</v>
      </c>
      <c r="O126" s="1" t="str">
        <f>VLOOKUP(Master[[#This Row],[Province_RDC]],Client[],4,FALSE)</f>
        <v>Pro Monde</v>
      </c>
      <c r="P126" s="1">
        <f>VLOOKUP(Master[[#This Row],[Province_RDC]],Client[],5,FALSE)</f>
        <v>160</v>
      </c>
      <c r="Q126" s="1">
        <f>VLOOKUP(Master[[#This Row],[Province_RDC]],Client[],6,FALSE)</f>
        <v>90.13</v>
      </c>
      <c r="R126" s="1">
        <f>VLOOKUP(Master[[#This Row],[Province_RDC]],Client[],7,FALSE)</f>
        <v>2</v>
      </c>
      <c r="S126" s="1" t="str">
        <f>IF(Master[[#This Row],[Type_Forfait]]="Pro Monde","B2B","B2C")</f>
        <v>B2B</v>
      </c>
      <c r="T126" s="1">
        <f>Master[[#This Row],[Anciennete_Mois]]/12</f>
        <v>6</v>
      </c>
      <c r="U126" s="1">
        <f>Master[[#This Row],[Duree_Cumule_Panne_Min]]/60</f>
        <v>2.6666666666666665</v>
      </c>
      <c r="V12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2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26" s="6">
        <f>Master[[#This Row],[Facture_Mensuelle]]*Master[[#This Row],[Remise]]</f>
        <v>9.0129999999999999</v>
      </c>
    </row>
    <row r="127" spans="1:24" x14ac:dyDescent="0.25">
      <c r="A127" s="1" t="s">
        <v>1241</v>
      </c>
      <c r="B127" t="str">
        <f>IFERROR(VLOOKUP(Master[[#This Row],[Cell_ID]],Registre_Maintenance[],2,FALSE),"")</f>
        <v>Nord-Ubangi</v>
      </c>
      <c r="C127" s="1" t="s">
        <v>1249</v>
      </c>
      <c r="D127" s="2">
        <v>45220.584027777782</v>
      </c>
      <c r="E127" s="3">
        <v>45220.584027777782</v>
      </c>
      <c r="F127">
        <v>92</v>
      </c>
      <c r="G127">
        <f>Master[[#This Row],[Duree_Panne_Min]]/60</f>
        <v>1.5333333333333334</v>
      </c>
      <c r="H127" s="1" t="s">
        <v>737</v>
      </c>
      <c r="I127">
        <f>IFERROR(VLOOKUP(Master[[#This Row],[Cell_ID]],Registre_Maintenance[],3,FALSE),"")</f>
        <v>-11.588665000000001</v>
      </c>
      <c r="J127">
        <f>IFERROR(VLOOKUP(Master[[#This Row],[Cell_ID]],Registre_Maintenance[],4,FALSE),"")</f>
        <v>15.241552</v>
      </c>
      <c r="K127" t="str">
        <f>IFERROR(VLOOKUP(Master[[#This Row],[Cell_ID]],Registre_Maintenance[],5,FALSE),"")</f>
        <v>4G</v>
      </c>
      <c r="L127" t="str">
        <f>IFERROR(VLOOKUP(Master[[#This Row],[Cell_ID]],Registre_Maintenance[],6,FALSE),"")</f>
        <v>Nokia</v>
      </c>
      <c r="M127" s="1" t="str">
        <f>VLOOKUP(Master[[#This Row],[Province_RDC]],Client[],2,FALSE)</f>
        <v>CLI-01170</v>
      </c>
      <c r="N127" s="1">
        <f>VLOOKUP(Master[[#This Row],[Province_RDC]],Client[],3,FALSE)</f>
        <v>98</v>
      </c>
      <c r="O127" s="1" t="str">
        <f>VLOOKUP(Master[[#This Row],[Province_RDC]],Client[],4,FALSE)</f>
        <v>Pro Monde</v>
      </c>
      <c r="P127" s="1">
        <f>VLOOKUP(Master[[#This Row],[Province_RDC]],Client[],5,FALSE)</f>
        <v>482</v>
      </c>
      <c r="Q127" s="1">
        <f>VLOOKUP(Master[[#This Row],[Province_RDC]],Client[],6,FALSE)</f>
        <v>55.04</v>
      </c>
      <c r="R127" s="1">
        <f>VLOOKUP(Master[[#This Row],[Province_RDC]],Client[],7,FALSE)</f>
        <v>5</v>
      </c>
      <c r="S127" s="1" t="str">
        <f>IF(Master[[#This Row],[Type_Forfait]]="Pro Monde","B2B","B2C")</f>
        <v>B2B</v>
      </c>
      <c r="T127" s="1">
        <f>Master[[#This Row],[Anciennete_Mois]]/12</f>
        <v>8.1666666666666661</v>
      </c>
      <c r="U127" s="1">
        <f>Master[[#This Row],[Duree_Cumule_Panne_Min]]/60</f>
        <v>8.0333333333333332</v>
      </c>
      <c r="V12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7" s="6">
        <f>Master[[#This Row],[Facture_Mensuelle]]*Master[[#This Row],[Remise]]</f>
        <v>24.768000000000001</v>
      </c>
    </row>
    <row r="128" spans="1:24" x14ac:dyDescent="0.25">
      <c r="A128" s="1" t="s">
        <v>730</v>
      </c>
      <c r="B128" t="str">
        <f>IFERROR(VLOOKUP(Master[[#This Row],[Cell_ID]],Registre_Maintenance[],2,FALSE),"")</f>
        <v>Kwilu</v>
      </c>
      <c r="C128" s="1" t="s">
        <v>769</v>
      </c>
      <c r="D128" s="2">
        <v>45208.863888888889</v>
      </c>
      <c r="E128" s="3">
        <v>45208.863888888889</v>
      </c>
      <c r="F128">
        <v>92</v>
      </c>
      <c r="G128">
        <f>Master[[#This Row],[Duree_Panne_Min]]/60</f>
        <v>1.5333333333333334</v>
      </c>
      <c r="H128" s="1" t="s">
        <v>732</v>
      </c>
      <c r="I128">
        <f>IFERROR(VLOOKUP(Master[[#This Row],[Cell_ID]],Registre_Maintenance[],3,FALSE),"")</f>
        <v>-0.77432100000000004</v>
      </c>
      <c r="J128">
        <f>IFERROR(VLOOKUP(Master[[#This Row],[Cell_ID]],Registre_Maintenance[],4,FALSE),"")</f>
        <v>18.628658999999999</v>
      </c>
      <c r="K128" t="str">
        <f>IFERROR(VLOOKUP(Master[[#This Row],[Cell_ID]],Registre_Maintenance[],5,FALSE),"")</f>
        <v>4G</v>
      </c>
      <c r="L128" t="str">
        <f>IFERROR(VLOOKUP(Master[[#This Row],[Cell_ID]],Registre_Maintenance[],6,FALSE),"")</f>
        <v>Huawei</v>
      </c>
      <c r="M128" s="1" t="str">
        <f>VLOOKUP(Master[[#This Row],[Province_RDC]],Client[],2,FALSE)</f>
        <v>CLI-00996</v>
      </c>
      <c r="N128" s="1">
        <f>VLOOKUP(Master[[#This Row],[Province_RDC]],Client[],3,FALSE)</f>
        <v>119</v>
      </c>
      <c r="O128" s="1" t="str">
        <f>VLOOKUP(Master[[#This Row],[Province_RDC]],Client[],4,FALSE)</f>
        <v>Illimité 50Go</v>
      </c>
      <c r="P128" s="1">
        <f>VLOOKUP(Master[[#This Row],[Province_RDC]],Client[],5,FALSE)</f>
        <v>228</v>
      </c>
      <c r="Q128" s="1">
        <f>VLOOKUP(Master[[#This Row],[Province_RDC]],Client[],6,FALSE)</f>
        <v>94.72</v>
      </c>
      <c r="R128" s="1">
        <f>VLOOKUP(Master[[#This Row],[Province_RDC]],Client[],7,FALSE)</f>
        <v>3</v>
      </c>
      <c r="S128" s="1" t="str">
        <f>IF(Master[[#This Row],[Type_Forfait]]="Pro Monde","B2B","B2C")</f>
        <v>B2C</v>
      </c>
      <c r="T128" s="1">
        <f>Master[[#This Row],[Anciennete_Mois]]/12</f>
        <v>9.9166666666666661</v>
      </c>
      <c r="U128" s="1">
        <f>Master[[#This Row],[Duree_Cumule_Panne_Min]]/60</f>
        <v>3.8</v>
      </c>
      <c r="V12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2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28" s="6">
        <f>Master[[#This Row],[Facture_Mensuelle]]*Master[[#This Row],[Remise]]</f>
        <v>0</v>
      </c>
    </row>
    <row r="129" spans="1:24" x14ac:dyDescent="0.25">
      <c r="A129" s="1" t="s">
        <v>1330</v>
      </c>
      <c r="B129" t="str">
        <f>IFERROR(VLOOKUP(Master[[#This Row],[Cell_ID]],Registre_Maintenance[],2,FALSE),"")</f>
        <v>Haut-Lomami</v>
      </c>
      <c r="C129" s="1" t="s">
        <v>1337</v>
      </c>
      <c r="D129" s="2">
        <v>45227.297222222223</v>
      </c>
      <c r="E129" s="3">
        <v>45227.297222222223</v>
      </c>
      <c r="F129">
        <v>92</v>
      </c>
      <c r="G129">
        <f>Master[[#This Row],[Duree_Panne_Min]]/60</f>
        <v>1.5333333333333334</v>
      </c>
      <c r="H129" s="1" t="s">
        <v>737</v>
      </c>
      <c r="I129">
        <f>IFERROR(VLOOKUP(Master[[#This Row],[Cell_ID]],Registre_Maintenance[],3,FALSE),"")</f>
        <v>-5.5559329999999996</v>
      </c>
      <c r="J129">
        <f>IFERROR(VLOOKUP(Master[[#This Row],[Cell_ID]],Registre_Maintenance[],4,FALSE),"")</f>
        <v>13.508692999999999</v>
      </c>
      <c r="K129" t="str">
        <f>IFERROR(VLOOKUP(Master[[#This Row],[Cell_ID]],Registre_Maintenance[],5,FALSE),"")</f>
        <v>3G</v>
      </c>
      <c r="L129" t="str">
        <f>IFERROR(VLOOKUP(Master[[#This Row],[Cell_ID]],Registre_Maintenance[],6,FALSE),"")</f>
        <v>Nokia</v>
      </c>
      <c r="M129" s="1" t="str">
        <f>VLOOKUP(Master[[#This Row],[Province_RDC]],Client[],2,FALSE)</f>
        <v>CLI-01325</v>
      </c>
      <c r="N129" s="1">
        <f>VLOOKUP(Master[[#This Row],[Province_RDC]],Client[],3,FALSE)</f>
        <v>44</v>
      </c>
      <c r="O129" s="1" t="str">
        <f>VLOOKUP(Master[[#This Row],[Province_RDC]],Client[],4,FALSE)</f>
        <v>Bloqué 5Go</v>
      </c>
      <c r="P129" s="1">
        <f>VLOOKUP(Master[[#This Row],[Province_RDC]],Client[],5,FALSE)</f>
        <v>348</v>
      </c>
      <c r="Q129" s="1">
        <f>VLOOKUP(Master[[#This Row],[Province_RDC]],Client[],6,FALSE)</f>
        <v>58.67</v>
      </c>
      <c r="R129" s="1">
        <f>VLOOKUP(Master[[#This Row],[Province_RDC]],Client[],7,FALSE)</f>
        <v>0</v>
      </c>
      <c r="S129" s="1" t="str">
        <f>IF(Master[[#This Row],[Type_Forfait]]="Pro Monde","B2B","B2C")</f>
        <v>B2C</v>
      </c>
      <c r="T129" s="1">
        <f>Master[[#This Row],[Anciennete_Mois]]/12</f>
        <v>3.6666666666666665</v>
      </c>
      <c r="U129" s="1">
        <f>Master[[#This Row],[Duree_Cumule_Panne_Min]]/60</f>
        <v>5.8</v>
      </c>
      <c r="V12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2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29" s="6">
        <f>Master[[#This Row],[Facture_Mensuelle]]*Master[[#This Row],[Remise]]</f>
        <v>26.401500000000002</v>
      </c>
    </row>
    <row r="130" spans="1:24" x14ac:dyDescent="0.25">
      <c r="A130" s="1" t="s">
        <v>939</v>
      </c>
      <c r="B130" t="str">
        <f>IFERROR(VLOOKUP(Master[[#This Row],[Cell_ID]],Registre_Maintenance[],2,FALSE),"")</f>
        <v>Kwango</v>
      </c>
      <c r="C130" s="1" t="s">
        <v>976</v>
      </c>
      <c r="D130" s="2">
        <v>45209.852083333331</v>
      </c>
      <c r="E130" s="3">
        <v>45209.852083333331</v>
      </c>
      <c r="F130">
        <v>91</v>
      </c>
      <c r="G130">
        <f>Master[[#This Row],[Duree_Panne_Min]]/60</f>
        <v>1.5166666666666666</v>
      </c>
      <c r="H130" s="1" t="s">
        <v>737</v>
      </c>
      <c r="I130">
        <f>IFERROR(VLOOKUP(Master[[#This Row],[Cell_ID]],Registre_Maintenance[],3,FALSE),"")</f>
        <v>-12.431227</v>
      </c>
      <c r="J130">
        <f>IFERROR(VLOOKUP(Master[[#This Row],[Cell_ID]],Registre_Maintenance[],4,FALSE),"")</f>
        <v>18.414290999999999</v>
      </c>
      <c r="K130" t="str">
        <f>IFERROR(VLOOKUP(Master[[#This Row],[Cell_ID]],Registre_Maintenance[],5,FALSE),"")</f>
        <v>5G</v>
      </c>
      <c r="L130" t="str">
        <f>IFERROR(VLOOKUP(Master[[#This Row],[Cell_ID]],Registre_Maintenance[],6,FALSE),"")</f>
        <v>Huawei</v>
      </c>
      <c r="M130" s="1" t="str">
        <f>VLOOKUP(Master[[#This Row],[Province_RDC]],Client[],2,FALSE)</f>
        <v>CLI-00569</v>
      </c>
      <c r="N130" s="1">
        <f>VLOOKUP(Master[[#This Row],[Province_RDC]],Client[],3,FALSE)</f>
        <v>110</v>
      </c>
      <c r="O130" s="1" t="str">
        <f>VLOOKUP(Master[[#This Row],[Province_RDC]],Client[],4,FALSE)</f>
        <v>Pro Monde</v>
      </c>
      <c r="P130" s="1">
        <f>VLOOKUP(Master[[#This Row],[Province_RDC]],Client[],5,FALSE)</f>
        <v>423</v>
      </c>
      <c r="Q130" s="1">
        <f>VLOOKUP(Master[[#This Row],[Province_RDC]],Client[],6,FALSE)</f>
        <v>37.35</v>
      </c>
      <c r="R130" s="1">
        <f>VLOOKUP(Master[[#This Row],[Province_RDC]],Client[],7,FALSE)</f>
        <v>4</v>
      </c>
      <c r="S130" s="1" t="str">
        <f>IF(Master[[#This Row],[Type_Forfait]]="Pro Monde","B2B","B2C")</f>
        <v>B2B</v>
      </c>
      <c r="T130" s="1">
        <f>Master[[#This Row],[Anciennete_Mois]]/12</f>
        <v>9.1666666666666661</v>
      </c>
      <c r="U130" s="1">
        <f>Master[[#This Row],[Duree_Cumule_Panne_Min]]/60</f>
        <v>7.05</v>
      </c>
      <c r="V13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0" s="6">
        <f>Master[[#This Row],[Facture_Mensuelle]]*Master[[#This Row],[Remise]]</f>
        <v>16.807500000000001</v>
      </c>
    </row>
    <row r="131" spans="1:24" x14ac:dyDescent="0.25">
      <c r="A131" s="1" t="s">
        <v>1330</v>
      </c>
      <c r="B131" t="str">
        <f>IFERROR(VLOOKUP(Master[[#This Row],[Cell_ID]],Registre_Maintenance[],2,FALSE),"")</f>
        <v>Ituri</v>
      </c>
      <c r="C131" s="1" t="s">
        <v>1068</v>
      </c>
      <c r="D131" s="2">
        <v>45201.245833333327</v>
      </c>
      <c r="E131" s="3">
        <v>45201.245833333327</v>
      </c>
      <c r="F131">
        <v>91</v>
      </c>
      <c r="G131">
        <f>Master[[#This Row],[Duree_Panne_Min]]/60</f>
        <v>1.5166666666666666</v>
      </c>
      <c r="H131" s="1" t="s">
        <v>735</v>
      </c>
      <c r="I131">
        <f>IFERROR(VLOOKUP(Master[[#This Row],[Cell_ID]],Registre_Maintenance[],3,FALSE),"")</f>
        <v>-0.34051900000000002</v>
      </c>
      <c r="J131">
        <f>IFERROR(VLOOKUP(Master[[#This Row],[Cell_ID]],Registre_Maintenance[],4,FALSE),"")</f>
        <v>17.079799000000001</v>
      </c>
      <c r="K131" t="str">
        <f>IFERROR(VLOOKUP(Master[[#This Row],[Cell_ID]],Registre_Maintenance[],5,FALSE),"")</f>
        <v>5G</v>
      </c>
      <c r="L131" t="str">
        <f>IFERROR(VLOOKUP(Master[[#This Row],[Cell_ID]],Registre_Maintenance[],6,FALSE),"")</f>
        <v>Ericsson</v>
      </c>
      <c r="M131" s="1" t="str">
        <f>VLOOKUP(Master[[#This Row],[Province_RDC]],Client[],2,FALSE)</f>
        <v>CLI-00041</v>
      </c>
      <c r="N131" s="1">
        <f>VLOOKUP(Master[[#This Row],[Province_RDC]],Client[],3,FALSE)</f>
        <v>103</v>
      </c>
      <c r="O131" s="1" t="str">
        <f>VLOOKUP(Master[[#This Row],[Province_RDC]],Client[],4,FALSE)</f>
        <v>Pro Monde</v>
      </c>
      <c r="P131" s="1">
        <f>VLOOKUP(Master[[#This Row],[Province_RDC]],Client[],5,FALSE)</f>
        <v>105</v>
      </c>
      <c r="Q131" s="1">
        <f>VLOOKUP(Master[[#This Row],[Province_RDC]],Client[],6,FALSE)</f>
        <v>61.52</v>
      </c>
      <c r="R131" s="1">
        <f>VLOOKUP(Master[[#This Row],[Province_RDC]],Client[],7,FALSE)</f>
        <v>3</v>
      </c>
      <c r="S131" s="1" t="str">
        <f>IF(Master[[#This Row],[Type_Forfait]]="Pro Monde","B2B","B2C")</f>
        <v>B2B</v>
      </c>
      <c r="T131" s="1">
        <f>Master[[#This Row],[Anciennete_Mois]]/12</f>
        <v>8.5833333333333339</v>
      </c>
      <c r="U131" s="1">
        <f>Master[[#This Row],[Duree_Cumule_Panne_Min]]/60</f>
        <v>1.75</v>
      </c>
      <c r="V13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3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31" s="6">
        <f>Master[[#This Row],[Facture_Mensuelle]]*Master[[#This Row],[Remise]]</f>
        <v>6.152000000000001</v>
      </c>
    </row>
    <row r="132" spans="1:24" x14ac:dyDescent="0.25">
      <c r="A132" s="1" t="s">
        <v>1114</v>
      </c>
      <c r="B132" t="str">
        <f>IFERROR(VLOOKUP(Master[[#This Row],[Cell_ID]],Registre_Maintenance[],2,FALSE),"")</f>
        <v>Bas-Uele</v>
      </c>
      <c r="C132" s="1" t="s">
        <v>901</v>
      </c>
      <c r="D132" s="2">
        <v>45222.763194444437</v>
      </c>
      <c r="E132" s="3">
        <v>45222.763194444437</v>
      </c>
      <c r="F132">
        <v>91</v>
      </c>
      <c r="G132">
        <f>Master[[#This Row],[Duree_Panne_Min]]/60</f>
        <v>1.5166666666666666</v>
      </c>
      <c r="H132" s="1" t="s">
        <v>737</v>
      </c>
      <c r="I132">
        <f>IFERROR(VLOOKUP(Master[[#This Row],[Cell_ID]],Registre_Maintenance[],3,FALSE),"")</f>
        <v>-3.6945459999999999</v>
      </c>
      <c r="J132">
        <f>IFERROR(VLOOKUP(Master[[#This Row],[Cell_ID]],Registre_Maintenance[],4,FALSE),"")</f>
        <v>16.809108999999999</v>
      </c>
      <c r="K132" t="str">
        <f>IFERROR(VLOOKUP(Master[[#This Row],[Cell_ID]],Registre_Maintenance[],5,FALSE),"")</f>
        <v>5G</v>
      </c>
      <c r="L132" t="str">
        <f>IFERROR(VLOOKUP(Master[[#This Row],[Cell_ID]],Registre_Maintenance[],6,FALSE),"")</f>
        <v>ZTE</v>
      </c>
      <c r="M132" s="1" t="str">
        <f>VLOOKUP(Master[[#This Row],[Province_RDC]],Client[],2,FALSE)</f>
        <v>CLI-01128</v>
      </c>
      <c r="N132" s="1">
        <f>VLOOKUP(Master[[#This Row],[Province_RDC]],Client[],3,FALSE)</f>
        <v>112</v>
      </c>
      <c r="O132" s="1" t="str">
        <f>VLOOKUP(Master[[#This Row],[Province_RDC]],Client[],4,FALSE)</f>
        <v>Premium 5G 150Go</v>
      </c>
      <c r="P132" s="1">
        <f>VLOOKUP(Master[[#This Row],[Province_RDC]],Client[],5,FALSE)</f>
        <v>460</v>
      </c>
      <c r="Q132" s="1">
        <f>VLOOKUP(Master[[#This Row],[Province_RDC]],Client[],6,FALSE)</f>
        <v>55.47</v>
      </c>
      <c r="R132" s="1">
        <f>VLOOKUP(Master[[#This Row],[Province_RDC]],Client[],7,FALSE)</f>
        <v>4</v>
      </c>
      <c r="S132" s="1" t="str">
        <f>IF(Master[[#This Row],[Type_Forfait]]="Pro Monde","B2B","B2C")</f>
        <v>B2C</v>
      </c>
      <c r="T132" s="1">
        <f>Master[[#This Row],[Anciennete_Mois]]/12</f>
        <v>9.3333333333333339</v>
      </c>
      <c r="U132" s="1">
        <f>Master[[#This Row],[Duree_Cumule_Panne_Min]]/60</f>
        <v>7.666666666666667</v>
      </c>
      <c r="V13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2" s="6">
        <f>Master[[#This Row],[Facture_Mensuelle]]*Master[[#This Row],[Remise]]</f>
        <v>24.961500000000001</v>
      </c>
    </row>
    <row r="133" spans="1:24" x14ac:dyDescent="0.25">
      <c r="A133" s="1" t="s">
        <v>999</v>
      </c>
      <c r="B133" t="str">
        <f>IFERROR(VLOOKUP(Master[[#This Row],[Cell_ID]],Registre_Maintenance[],2,FALSE),"")</f>
        <v>Maniema</v>
      </c>
      <c r="C133" s="1" t="s">
        <v>890</v>
      </c>
      <c r="D133" s="2">
        <v>45216.26666666667</v>
      </c>
      <c r="E133" s="3">
        <v>45216.26666666667</v>
      </c>
      <c r="F133">
        <v>90</v>
      </c>
      <c r="G133">
        <f>Master[[#This Row],[Duree_Panne_Min]]/60</f>
        <v>1.5</v>
      </c>
      <c r="H133" s="1" t="s">
        <v>737</v>
      </c>
      <c r="I133">
        <f>IFERROR(VLOOKUP(Master[[#This Row],[Cell_ID]],Registre_Maintenance[],3,FALSE),"")</f>
        <v>-2.3743210000000001</v>
      </c>
      <c r="J133">
        <f>IFERROR(VLOOKUP(Master[[#This Row],[Cell_ID]],Registre_Maintenance[],4,FALSE),"")</f>
        <v>22.399491000000001</v>
      </c>
      <c r="K133" t="str">
        <f>IFERROR(VLOOKUP(Master[[#This Row],[Cell_ID]],Registre_Maintenance[],5,FALSE),"")</f>
        <v>5G</v>
      </c>
      <c r="L133" t="str">
        <f>IFERROR(VLOOKUP(Master[[#This Row],[Cell_ID]],Registre_Maintenance[],6,FALSE),"")</f>
        <v>Ericsson</v>
      </c>
      <c r="M133" s="1" t="str">
        <f>VLOOKUP(Master[[#This Row],[Province_RDC]],Client[],2,FALSE)</f>
        <v>CLI-00185</v>
      </c>
      <c r="N133" s="1">
        <f>VLOOKUP(Master[[#This Row],[Province_RDC]],Client[],3,FALSE)</f>
        <v>81</v>
      </c>
      <c r="O133" s="1" t="str">
        <f>VLOOKUP(Master[[#This Row],[Province_RDC]],Client[],4,FALSE)</f>
        <v>Pro Monde</v>
      </c>
      <c r="P133" s="1">
        <f>VLOOKUP(Master[[#This Row],[Province_RDC]],Client[],5,FALSE)</f>
        <v>154</v>
      </c>
      <c r="Q133" s="1">
        <f>VLOOKUP(Master[[#This Row],[Province_RDC]],Client[],6,FALSE)</f>
        <v>19.47</v>
      </c>
      <c r="R133" s="1">
        <f>VLOOKUP(Master[[#This Row],[Province_RDC]],Client[],7,FALSE)</f>
        <v>3</v>
      </c>
      <c r="S133" s="1" t="str">
        <f>IF(Master[[#This Row],[Type_Forfait]]="Pro Monde","B2B","B2C")</f>
        <v>B2B</v>
      </c>
      <c r="T133" s="1">
        <f>Master[[#This Row],[Anciennete_Mois]]/12</f>
        <v>6.75</v>
      </c>
      <c r="U133" s="1">
        <f>Master[[#This Row],[Duree_Cumule_Panne_Min]]/60</f>
        <v>2.5666666666666669</v>
      </c>
      <c r="V13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3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33" s="6">
        <f>Master[[#This Row],[Facture_Mensuelle]]*Master[[#This Row],[Remise]]</f>
        <v>1.9470000000000001</v>
      </c>
    </row>
    <row r="134" spans="1:24" x14ac:dyDescent="0.25">
      <c r="A134" s="1" t="s">
        <v>1165</v>
      </c>
      <c r="B134" t="str">
        <f>IFERROR(VLOOKUP(Master[[#This Row],[Cell_ID]],Registre_Maintenance[],2,FALSE),"")</f>
        <v>Lualaba</v>
      </c>
      <c r="C134" s="1" t="s">
        <v>1117</v>
      </c>
      <c r="D134" s="2">
        <v>45204.26458333333</v>
      </c>
      <c r="E134" s="3">
        <v>45204.26458333333</v>
      </c>
      <c r="F134">
        <v>90</v>
      </c>
      <c r="G134">
        <f>Master[[#This Row],[Duree_Panne_Min]]/60</f>
        <v>1.5</v>
      </c>
      <c r="H134" s="1" t="s">
        <v>737</v>
      </c>
      <c r="I134">
        <f>IFERROR(VLOOKUP(Master[[#This Row],[Cell_ID]],Registre_Maintenance[],3,FALSE),"")</f>
        <v>2.0392079999999999</v>
      </c>
      <c r="J134">
        <f>IFERROR(VLOOKUP(Master[[#This Row],[Cell_ID]],Registre_Maintenance[],4,FALSE),"")</f>
        <v>19.090841999999999</v>
      </c>
      <c r="K134" t="str">
        <f>IFERROR(VLOOKUP(Master[[#This Row],[Cell_ID]],Registre_Maintenance[],5,FALSE),"")</f>
        <v>4G</v>
      </c>
      <c r="L134" t="str">
        <f>IFERROR(VLOOKUP(Master[[#This Row],[Cell_ID]],Registre_Maintenance[],6,FALSE),"")</f>
        <v>Nokia</v>
      </c>
      <c r="M134" s="1" t="str">
        <f>VLOOKUP(Master[[#This Row],[Province_RDC]],Client[],2,FALSE)</f>
        <v>CLI-01005</v>
      </c>
      <c r="N134" s="1">
        <f>VLOOKUP(Master[[#This Row],[Province_RDC]],Client[],3,FALSE)</f>
        <v>80</v>
      </c>
      <c r="O134" s="1" t="str">
        <f>VLOOKUP(Master[[#This Row],[Province_RDC]],Client[],4,FALSE)</f>
        <v>Illimité 50Go</v>
      </c>
      <c r="P134" s="1">
        <f>VLOOKUP(Master[[#This Row],[Province_RDC]],Client[],5,FALSE)</f>
        <v>155</v>
      </c>
      <c r="Q134" s="1">
        <f>VLOOKUP(Master[[#This Row],[Province_RDC]],Client[],6,FALSE)</f>
        <v>28.96</v>
      </c>
      <c r="R134" s="1">
        <f>VLOOKUP(Master[[#This Row],[Province_RDC]],Client[],7,FALSE)</f>
        <v>2</v>
      </c>
      <c r="S134" s="1" t="str">
        <f>IF(Master[[#This Row],[Type_Forfait]]="Pro Monde","B2B","B2C")</f>
        <v>B2C</v>
      </c>
      <c r="T134" s="1">
        <f>Master[[#This Row],[Anciennete_Mois]]/12</f>
        <v>6.666666666666667</v>
      </c>
      <c r="U134" s="1">
        <f>Master[[#This Row],[Duree_Cumule_Panne_Min]]/60</f>
        <v>2.5833333333333335</v>
      </c>
      <c r="V13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3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34" s="6">
        <f>Master[[#This Row],[Facture_Mensuelle]]*Master[[#This Row],[Remise]]</f>
        <v>0</v>
      </c>
    </row>
    <row r="135" spans="1:24" x14ac:dyDescent="0.25">
      <c r="A135" s="1" t="s">
        <v>978</v>
      </c>
      <c r="B135" t="str">
        <f>IFERROR(VLOOKUP(Master[[#This Row],[Cell_ID]],Registre_Maintenance[],2,FALSE),"")</f>
        <v>Kwango</v>
      </c>
      <c r="C135" s="1" t="s">
        <v>994</v>
      </c>
      <c r="D135" s="2">
        <v>45218.286111111112</v>
      </c>
      <c r="E135" s="3">
        <v>45218.286111111112</v>
      </c>
      <c r="F135">
        <v>89</v>
      </c>
      <c r="G135">
        <f>Master[[#This Row],[Duree_Panne_Min]]/60</f>
        <v>1.4833333333333334</v>
      </c>
      <c r="H135" s="1" t="s">
        <v>732</v>
      </c>
      <c r="I135">
        <f>IFERROR(VLOOKUP(Master[[#This Row],[Cell_ID]],Registre_Maintenance[],3,FALSE),"")</f>
        <v>-7.5129409999999996</v>
      </c>
      <c r="J135">
        <f>IFERROR(VLOOKUP(Master[[#This Row],[Cell_ID]],Registre_Maintenance[],4,FALSE),"")</f>
        <v>18.701522000000001</v>
      </c>
      <c r="K135" t="str">
        <f>IFERROR(VLOOKUP(Master[[#This Row],[Cell_ID]],Registre_Maintenance[],5,FALSE),"")</f>
        <v>4G</v>
      </c>
      <c r="L135" t="str">
        <f>IFERROR(VLOOKUP(Master[[#This Row],[Cell_ID]],Registre_Maintenance[],6,FALSE),"")</f>
        <v>Nokia</v>
      </c>
      <c r="M135" s="1" t="str">
        <f>VLOOKUP(Master[[#This Row],[Province_RDC]],Client[],2,FALSE)</f>
        <v>CLI-00569</v>
      </c>
      <c r="N135" s="1">
        <f>VLOOKUP(Master[[#This Row],[Province_RDC]],Client[],3,FALSE)</f>
        <v>110</v>
      </c>
      <c r="O135" s="1" t="str">
        <f>VLOOKUP(Master[[#This Row],[Province_RDC]],Client[],4,FALSE)</f>
        <v>Pro Monde</v>
      </c>
      <c r="P135" s="1">
        <f>VLOOKUP(Master[[#This Row],[Province_RDC]],Client[],5,FALSE)</f>
        <v>423</v>
      </c>
      <c r="Q135" s="1">
        <f>VLOOKUP(Master[[#This Row],[Province_RDC]],Client[],6,FALSE)</f>
        <v>37.35</v>
      </c>
      <c r="R135" s="1">
        <f>VLOOKUP(Master[[#This Row],[Province_RDC]],Client[],7,FALSE)</f>
        <v>4</v>
      </c>
      <c r="S135" s="1" t="str">
        <f>IF(Master[[#This Row],[Type_Forfait]]="Pro Monde","B2B","B2C")</f>
        <v>B2B</v>
      </c>
      <c r="T135" s="1">
        <f>Master[[#This Row],[Anciennete_Mois]]/12</f>
        <v>9.1666666666666661</v>
      </c>
      <c r="U135" s="1">
        <f>Master[[#This Row],[Duree_Cumule_Panne_Min]]/60</f>
        <v>7.05</v>
      </c>
      <c r="V13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5" s="6">
        <f>Master[[#This Row],[Facture_Mensuelle]]*Master[[#This Row],[Remise]]</f>
        <v>16.807500000000001</v>
      </c>
    </row>
    <row r="136" spans="1:24" x14ac:dyDescent="0.25">
      <c r="A136" s="1" t="s">
        <v>1059</v>
      </c>
      <c r="B136" t="str">
        <f>IFERROR(VLOOKUP(Master[[#This Row],[Cell_ID]],Registre_Maintenance[],2,FALSE),"")</f>
        <v>Haut-Lomami</v>
      </c>
      <c r="C136" s="1" t="s">
        <v>1032</v>
      </c>
      <c r="D136" s="2">
        <v>45225.288888888892</v>
      </c>
      <c r="E136" s="3">
        <v>45225.288888888892</v>
      </c>
      <c r="F136">
        <v>89</v>
      </c>
      <c r="G136">
        <f>Master[[#This Row],[Duree_Panne_Min]]/60</f>
        <v>1.4833333333333334</v>
      </c>
      <c r="H136" s="1" t="s">
        <v>732</v>
      </c>
      <c r="I136">
        <f>IFERROR(VLOOKUP(Master[[#This Row],[Cell_ID]],Registre_Maintenance[],3,FALSE),"")</f>
        <v>0.16327700000000001</v>
      </c>
      <c r="J136">
        <f>IFERROR(VLOOKUP(Master[[#This Row],[Cell_ID]],Registre_Maintenance[],4,FALSE),"")</f>
        <v>14.871577</v>
      </c>
      <c r="K136" t="str">
        <f>IFERROR(VLOOKUP(Master[[#This Row],[Cell_ID]],Registre_Maintenance[],5,FALSE),"")</f>
        <v>4G</v>
      </c>
      <c r="L136" t="str">
        <f>IFERROR(VLOOKUP(Master[[#This Row],[Cell_ID]],Registre_Maintenance[],6,FALSE),"")</f>
        <v>Huawei</v>
      </c>
      <c r="M136" s="1" t="str">
        <f>VLOOKUP(Master[[#This Row],[Province_RDC]],Client[],2,FALSE)</f>
        <v>CLI-01325</v>
      </c>
      <c r="N136" s="1">
        <f>VLOOKUP(Master[[#This Row],[Province_RDC]],Client[],3,FALSE)</f>
        <v>44</v>
      </c>
      <c r="O136" s="1" t="str">
        <f>VLOOKUP(Master[[#This Row],[Province_RDC]],Client[],4,FALSE)</f>
        <v>Bloqué 5Go</v>
      </c>
      <c r="P136" s="1">
        <f>VLOOKUP(Master[[#This Row],[Province_RDC]],Client[],5,FALSE)</f>
        <v>348</v>
      </c>
      <c r="Q136" s="1">
        <f>VLOOKUP(Master[[#This Row],[Province_RDC]],Client[],6,FALSE)</f>
        <v>58.67</v>
      </c>
      <c r="R136" s="1">
        <f>VLOOKUP(Master[[#This Row],[Province_RDC]],Client[],7,FALSE)</f>
        <v>0</v>
      </c>
      <c r="S136" s="1" t="str">
        <f>IF(Master[[#This Row],[Type_Forfait]]="Pro Monde","B2B","B2C")</f>
        <v>B2C</v>
      </c>
      <c r="T136" s="1">
        <f>Master[[#This Row],[Anciennete_Mois]]/12</f>
        <v>3.6666666666666665</v>
      </c>
      <c r="U136" s="1">
        <f>Master[[#This Row],[Duree_Cumule_Panne_Min]]/60</f>
        <v>5.8</v>
      </c>
      <c r="V13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6" s="6">
        <f>Master[[#This Row],[Facture_Mensuelle]]*Master[[#This Row],[Remise]]</f>
        <v>26.401500000000002</v>
      </c>
    </row>
    <row r="137" spans="1:24" x14ac:dyDescent="0.25">
      <c r="A137" s="1" t="s">
        <v>779</v>
      </c>
      <c r="B137" t="str">
        <f>IFERROR(VLOOKUP(Master[[#This Row],[Cell_ID]],Registre_Maintenance[],2,FALSE),"")</f>
        <v>Haut-Katanga</v>
      </c>
      <c r="C137" s="1" t="s">
        <v>805</v>
      </c>
      <c r="D137" s="2">
        <v>45223.418749999997</v>
      </c>
      <c r="E137" s="3">
        <v>45223.418749999997</v>
      </c>
      <c r="F137">
        <v>89</v>
      </c>
      <c r="G137">
        <f>Master[[#This Row],[Duree_Panne_Min]]/60</f>
        <v>1.4833333333333334</v>
      </c>
      <c r="H137" s="1" t="s">
        <v>732</v>
      </c>
      <c r="I137">
        <f>IFERROR(VLOOKUP(Master[[#This Row],[Cell_ID]],Registre_Maintenance[],3,FALSE),"")</f>
        <v>4.4712560000000003</v>
      </c>
      <c r="J137">
        <f>IFERROR(VLOOKUP(Master[[#This Row],[Cell_ID]],Registre_Maintenance[],4,FALSE),"")</f>
        <v>27.107028</v>
      </c>
      <c r="K137" t="str">
        <f>IFERROR(VLOOKUP(Master[[#This Row],[Cell_ID]],Registre_Maintenance[],5,FALSE),"")</f>
        <v>3G</v>
      </c>
      <c r="L137" t="str">
        <f>IFERROR(VLOOKUP(Master[[#This Row],[Cell_ID]],Registre_Maintenance[],6,FALSE),"")</f>
        <v>Ericsson</v>
      </c>
      <c r="M137" s="1" t="str">
        <f>VLOOKUP(Master[[#This Row],[Province_RDC]],Client[],2,FALSE)</f>
        <v>CLI-00076</v>
      </c>
      <c r="N137" s="1">
        <f>VLOOKUP(Master[[#This Row],[Province_RDC]],Client[],3,FALSE)</f>
        <v>46</v>
      </c>
      <c r="O137" s="1" t="str">
        <f>VLOOKUP(Master[[#This Row],[Province_RDC]],Client[],4,FALSE)</f>
        <v>Premium 5G 150Go</v>
      </c>
      <c r="P137" s="1">
        <f>VLOOKUP(Master[[#This Row],[Province_RDC]],Client[],5,FALSE)</f>
        <v>283</v>
      </c>
      <c r="Q137" s="1">
        <f>VLOOKUP(Master[[#This Row],[Province_RDC]],Client[],6,FALSE)</f>
        <v>56.05</v>
      </c>
      <c r="R137" s="1">
        <f>VLOOKUP(Master[[#This Row],[Province_RDC]],Client[],7,FALSE)</f>
        <v>1</v>
      </c>
      <c r="S137" s="1" t="str">
        <f>IF(Master[[#This Row],[Type_Forfait]]="Pro Monde","B2B","B2C")</f>
        <v>B2C</v>
      </c>
      <c r="T137" s="1">
        <f>Master[[#This Row],[Anciennete_Mois]]/12</f>
        <v>3.8333333333333335</v>
      </c>
      <c r="U137" s="1">
        <f>Master[[#This Row],[Duree_Cumule_Panne_Min]]/60</f>
        <v>4.7166666666666668</v>
      </c>
      <c r="V13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7" s="6">
        <f>Master[[#This Row],[Facture_Mensuelle]]*Master[[#This Row],[Remise]]</f>
        <v>25.2225</v>
      </c>
    </row>
    <row r="138" spans="1:24" x14ac:dyDescent="0.25">
      <c r="A138" s="1" t="s">
        <v>1345</v>
      </c>
      <c r="B138" t="str">
        <f>IFERROR(VLOOKUP(Master[[#This Row],[Cell_ID]],Registre_Maintenance[],2,FALSE),"")</f>
        <v>Bas-Uele</v>
      </c>
      <c r="C138" s="1" t="s">
        <v>1360</v>
      </c>
      <c r="D138" s="2">
        <v>45230.395138888889</v>
      </c>
      <c r="E138" s="3">
        <v>45230.395138888889</v>
      </c>
      <c r="F138">
        <v>89</v>
      </c>
      <c r="G138">
        <f>Master[[#This Row],[Duree_Panne_Min]]/60</f>
        <v>1.4833333333333334</v>
      </c>
      <c r="H138" s="1" t="s">
        <v>737</v>
      </c>
      <c r="I138">
        <f>IFERROR(VLOOKUP(Master[[#This Row],[Cell_ID]],Registre_Maintenance[],3,FALSE),"")</f>
        <v>-7.3952039999999997</v>
      </c>
      <c r="J138">
        <f>IFERROR(VLOOKUP(Master[[#This Row],[Cell_ID]],Registre_Maintenance[],4,FALSE),"")</f>
        <v>21.651043999999999</v>
      </c>
      <c r="K138" t="str">
        <f>IFERROR(VLOOKUP(Master[[#This Row],[Cell_ID]],Registre_Maintenance[],5,FALSE),"")</f>
        <v>4G</v>
      </c>
      <c r="L138" t="str">
        <f>IFERROR(VLOOKUP(Master[[#This Row],[Cell_ID]],Registre_Maintenance[],6,FALSE),"")</f>
        <v>Huawei</v>
      </c>
      <c r="M138" s="1" t="str">
        <f>VLOOKUP(Master[[#This Row],[Province_RDC]],Client[],2,FALSE)</f>
        <v>CLI-01128</v>
      </c>
      <c r="N138" s="1">
        <f>VLOOKUP(Master[[#This Row],[Province_RDC]],Client[],3,FALSE)</f>
        <v>112</v>
      </c>
      <c r="O138" s="1" t="str">
        <f>VLOOKUP(Master[[#This Row],[Province_RDC]],Client[],4,FALSE)</f>
        <v>Premium 5G 150Go</v>
      </c>
      <c r="P138" s="1">
        <f>VLOOKUP(Master[[#This Row],[Province_RDC]],Client[],5,FALSE)</f>
        <v>460</v>
      </c>
      <c r="Q138" s="1">
        <f>VLOOKUP(Master[[#This Row],[Province_RDC]],Client[],6,FALSE)</f>
        <v>55.47</v>
      </c>
      <c r="R138" s="1">
        <f>VLOOKUP(Master[[#This Row],[Province_RDC]],Client[],7,FALSE)</f>
        <v>4</v>
      </c>
      <c r="S138" s="1" t="str">
        <f>IF(Master[[#This Row],[Type_Forfait]]="Pro Monde","B2B","B2C")</f>
        <v>B2C</v>
      </c>
      <c r="T138" s="1">
        <f>Master[[#This Row],[Anciennete_Mois]]/12</f>
        <v>9.3333333333333339</v>
      </c>
      <c r="U138" s="1">
        <f>Master[[#This Row],[Duree_Cumule_Panne_Min]]/60</f>
        <v>7.666666666666667</v>
      </c>
      <c r="V13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3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38" s="6">
        <f>Master[[#This Row],[Facture_Mensuelle]]*Master[[#This Row],[Remise]]</f>
        <v>24.961500000000001</v>
      </c>
    </row>
    <row r="139" spans="1:24" x14ac:dyDescent="0.25">
      <c r="A139" s="1" t="s">
        <v>1241</v>
      </c>
      <c r="B139" t="str">
        <f>IFERROR(VLOOKUP(Master[[#This Row],[Cell_ID]],Registre_Maintenance[],2,FALSE),"")</f>
        <v>Lualaba</v>
      </c>
      <c r="C139" s="1" t="s">
        <v>1192</v>
      </c>
      <c r="D139" s="2">
        <v>45223.611111111109</v>
      </c>
      <c r="E139" s="3">
        <v>45223.611111111109</v>
      </c>
      <c r="F139">
        <v>88</v>
      </c>
      <c r="G139">
        <f>Master[[#This Row],[Duree_Panne_Min]]/60</f>
        <v>1.4666666666666666</v>
      </c>
      <c r="H139" s="1" t="s">
        <v>732</v>
      </c>
      <c r="I139">
        <f>IFERROR(VLOOKUP(Master[[#This Row],[Cell_ID]],Registre_Maintenance[],3,FALSE),"")</f>
        <v>-8.0301989999999996</v>
      </c>
      <c r="J139">
        <f>IFERROR(VLOOKUP(Master[[#This Row],[Cell_ID]],Registre_Maintenance[],4,FALSE),"")</f>
        <v>24.122495000000001</v>
      </c>
      <c r="K139" t="str">
        <f>IFERROR(VLOOKUP(Master[[#This Row],[Cell_ID]],Registre_Maintenance[],5,FALSE),"")</f>
        <v>5G</v>
      </c>
      <c r="L139" t="str">
        <f>IFERROR(VLOOKUP(Master[[#This Row],[Cell_ID]],Registre_Maintenance[],6,FALSE),"")</f>
        <v>ZTE</v>
      </c>
      <c r="M139" s="1" t="str">
        <f>VLOOKUP(Master[[#This Row],[Province_RDC]],Client[],2,FALSE)</f>
        <v>CLI-01005</v>
      </c>
      <c r="N139" s="1">
        <f>VLOOKUP(Master[[#This Row],[Province_RDC]],Client[],3,FALSE)</f>
        <v>80</v>
      </c>
      <c r="O139" s="1" t="str">
        <f>VLOOKUP(Master[[#This Row],[Province_RDC]],Client[],4,FALSE)</f>
        <v>Illimité 50Go</v>
      </c>
      <c r="P139" s="1">
        <f>VLOOKUP(Master[[#This Row],[Province_RDC]],Client[],5,FALSE)</f>
        <v>155</v>
      </c>
      <c r="Q139" s="1">
        <f>VLOOKUP(Master[[#This Row],[Province_RDC]],Client[],6,FALSE)</f>
        <v>28.96</v>
      </c>
      <c r="R139" s="1">
        <f>VLOOKUP(Master[[#This Row],[Province_RDC]],Client[],7,FALSE)</f>
        <v>2</v>
      </c>
      <c r="S139" s="1" t="str">
        <f>IF(Master[[#This Row],[Type_Forfait]]="Pro Monde","B2B","B2C")</f>
        <v>B2C</v>
      </c>
      <c r="T139" s="1">
        <f>Master[[#This Row],[Anciennete_Mois]]/12</f>
        <v>6.666666666666667</v>
      </c>
      <c r="U139" s="1">
        <f>Master[[#This Row],[Duree_Cumule_Panne_Min]]/60</f>
        <v>2.5833333333333335</v>
      </c>
      <c r="V13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3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39" s="6">
        <f>Master[[#This Row],[Facture_Mensuelle]]*Master[[#This Row],[Remise]]</f>
        <v>0</v>
      </c>
    </row>
    <row r="140" spans="1:24" x14ac:dyDescent="0.25">
      <c r="A140" s="1" t="s">
        <v>1345</v>
      </c>
      <c r="B140" t="str">
        <f>IFERROR(VLOOKUP(Master[[#This Row],[Cell_ID]],Registre_Maintenance[],2,FALSE),"")</f>
        <v>Lomami</v>
      </c>
      <c r="C140" s="1" t="s">
        <v>1270</v>
      </c>
      <c r="D140" s="2">
        <v>45213.518750000003</v>
      </c>
      <c r="E140" s="3">
        <v>45213.518750000003</v>
      </c>
      <c r="F140">
        <v>88</v>
      </c>
      <c r="G140">
        <f>Master[[#This Row],[Duree_Panne_Min]]/60</f>
        <v>1.4666666666666666</v>
      </c>
      <c r="H140" s="1" t="s">
        <v>735</v>
      </c>
      <c r="I140">
        <f>IFERROR(VLOOKUP(Master[[#This Row],[Cell_ID]],Registre_Maintenance[],3,FALSE),"")</f>
        <v>4.8265669999999998</v>
      </c>
      <c r="J140">
        <f>IFERROR(VLOOKUP(Master[[#This Row],[Cell_ID]],Registre_Maintenance[],4,FALSE),"")</f>
        <v>28.535277000000001</v>
      </c>
      <c r="K140" t="str">
        <f>IFERROR(VLOOKUP(Master[[#This Row],[Cell_ID]],Registre_Maintenance[],5,FALSE),"")</f>
        <v>3G</v>
      </c>
      <c r="L140" t="str">
        <f>IFERROR(VLOOKUP(Master[[#This Row],[Cell_ID]],Registre_Maintenance[],6,FALSE),"")</f>
        <v>Huawei</v>
      </c>
      <c r="M140" s="1" t="str">
        <f>VLOOKUP(Master[[#This Row],[Province_RDC]],Client[],2,FALSE)</f>
        <v>CLI-00505</v>
      </c>
      <c r="N140" s="1">
        <f>VLOOKUP(Master[[#This Row],[Province_RDC]],Client[],3,FALSE)</f>
        <v>59</v>
      </c>
      <c r="O140" s="1" t="str">
        <f>VLOOKUP(Master[[#This Row],[Province_RDC]],Client[],4,FALSE)</f>
        <v>Bloqué 5Go</v>
      </c>
      <c r="P140" s="1">
        <f>VLOOKUP(Master[[#This Row],[Province_RDC]],Client[],5,FALSE)</f>
        <v>196</v>
      </c>
      <c r="Q140" s="1">
        <f>VLOOKUP(Master[[#This Row],[Province_RDC]],Client[],6,FALSE)</f>
        <v>62.53</v>
      </c>
      <c r="R140" s="1">
        <f>VLOOKUP(Master[[#This Row],[Province_RDC]],Client[],7,FALSE)</f>
        <v>0</v>
      </c>
      <c r="S140" s="1" t="str">
        <f>IF(Master[[#This Row],[Type_Forfait]]="Pro Monde","B2B","B2C")</f>
        <v>B2C</v>
      </c>
      <c r="T140" s="1">
        <f>Master[[#This Row],[Anciennete_Mois]]/12</f>
        <v>4.916666666666667</v>
      </c>
      <c r="U140" s="1">
        <f>Master[[#This Row],[Duree_Cumule_Panne_Min]]/60</f>
        <v>3.2666666666666666</v>
      </c>
      <c r="V14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4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40" s="6">
        <f>Master[[#This Row],[Facture_Mensuelle]]*Master[[#This Row],[Remise]]</f>
        <v>0</v>
      </c>
    </row>
    <row r="141" spans="1:24" x14ac:dyDescent="0.25">
      <c r="A141" s="1" t="s">
        <v>1330</v>
      </c>
      <c r="B141" t="str">
        <f>IFERROR(VLOOKUP(Master[[#This Row],[Cell_ID]],Registre_Maintenance[],2,FALSE),"")</f>
        <v>Kwilu</v>
      </c>
      <c r="C141" s="1" t="s">
        <v>1226</v>
      </c>
      <c r="D141" s="2">
        <v>45212.447222222218</v>
      </c>
      <c r="E141" s="3">
        <v>45212.447222222218</v>
      </c>
      <c r="F141">
        <v>88</v>
      </c>
      <c r="G141">
        <f>Master[[#This Row],[Duree_Panne_Min]]/60</f>
        <v>1.4666666666666666</v>
      </c>
      <c r="H141" s="1" t="s">
        <v>735</v>
      </c>
      <c r="I141">
        <f>IFERROR(VLOOKUP(Master[[#This Row],[Cell_ID]],Registre_Maintenance[],3,FALSE),"")</f>
        <v>-7.402336</v>
      </c>
      <c r="J141">
        <f>IFERROR(VLOOKUP(Master[[#This Row],[Cell_ID]],Registre_Maintenance[],4,FALSE),"")</f>
        <v>27.376697</v>
      </c>
      <c r="K141" t="str">
        <f>IFERROR(VLOOKUP(Master[[#This Row],[Cell_ID]],Registre_Maintenance[],5,FALSE),"")</f>
        <v>4G</v>
      </c>
      <c r="L141" t="str">
        <f>IFERROR(VLOOKUP(Master[[#This Row],[Cell_ID]],Registre_Maintenance[],6,FALSE),"")</f>
        <v>Huawei</v>
      </c>
      <c r="M141" s="1" t="str">
        <f>VLOOKUP(Master[[#This Row],[Province_RDC]],Client[],2,FALSE)</f>
        <v>CLI-00996</v>
      </c>
      <c r="N141" s="1">
        <f>VLOOKUP(Master[[#This Row],[Province_RDC]],Client[],3,FALSE)</f>
        <v>119</v>
      </c>
      <c r="O141" s="1" t="str">
        <f>VLOOKUP(Master[[#This Row],[Province_RDC]],Client[],4,FALSE)</f>
        <v>Illimité 50Go</v>
      </c>
      <c r="P141" s="1">
        <f>VLOOKUP(Master[[#This Row],[Province_RDC]],Client[],5,FALSE)</f>
        <v>228</v>
      </c>
      <c r="Q141" s="1">
        <f>VLOOKUP(Master[[#This Row],[Province_RDC]],Client[],6,FALSE)</f>
        <v>94.72</v>
      </c>
      <c r="R141" s="1">
        <f>VLOOKUP(Master[[#This Row],[Province_RDC]],Client[],7,FALSE)</f>
        <v>3</v>
      </c>
      <c r="S141" s="1" t="str">
        <f>IF(Master[[#This Row],[Type_Forfait]]="Pro Monde","B2B","B2C")</f>
        <v>B2C</v>
      </c>
      <c r="T141" s="1">
        <f>Master[[#This Row],[Anciennete_Mois]]/12</f>
        <v>9.9166666666666661</v>
      </c>
      <c r="U141" s="1">
        <f>Master[[#This Row],[Duree_Cumule_Panne_Min]]/60</f>
        <v>3.8</v>
      </c>
      <c r="V14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4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41" s="6">
        <f>Master[[#This Row],[Facture_Mensuelle]]*Master[[#This Row],[Remise]]</f>
        <v>0</v>
      </c>
    </row>
    <row r="142" spans="1:24" x14ac:dyDescent="0.25">
      <c r="A142" s="1" t="s">
        <v>823</v>
      </c>
      <c r="B142" t="str">
        <f>IFERROR(VLOOKUP(Master[[#This Row],[Cell_ID]],Registre_Maintenance[],2,FALSE),"")</f>
        <v>Kinshasa</v>
      </c>
      <c r="C142" s="1" t="s">
        <v>835</v>
      </c>
      <c r="D142" s="2">
        <v>45221.265972222223</v>
      </c>
      <c r="E142" s="3">
        <v>45221.265972222223</v>
      </c>
      <c r="F142">
        <v>88</v>
      </c>
      <c r="G142">
        <f>Master[[#This Row],[Duree_Panne_Min]]/60</f>
        <v>1.4666666666666666</v>
      </c>
      <c r="H142" s="1" t="s">
        <v>735</v>
      </c>
      <c r="I142">
        <f>IFERROR(VLOOKUP(Master[[#This Row],[Cell_ID]],Registre_Maintenance[],3,FALSE),"")</f>
        <v>-1.339734</v>
      </c>
      <c r="J142">
        <f>IFERROR(VLOOKUP(Master[[#This Row],[Cell_ID]],Registre_Maintenance[],4,FALSE),"")</f>
        <v>15.243098</v>
      </c>
      <c r="K142" t="str">
        <f>IFERROR(VLOOKUP(Master[[#This Row],[Cell_ID]],Registre_Maintenance[],5,FALSE),"")</f>
        <v>3G</v>
      </c>
      <c r="L142" t="str">
        <f>IFERROR(VLOOKUP(Master[[#This Row],[Cell_ID]],Registre_Maintenance[],6,FALSE),"")</f>
        <v>Nokia</v>
      </c>
      <c r="M142" s="1" t="str">
        <f>VLOOKUP(Master[[#This Row],[Province_RDC]],Client[],2,FALSE)</f>
        <v>CLI-00611</v>
      </c>
      <c r="N142" s="1">
        <f>VLOOKUP(Master[[#This Row],[Province_RDC]],Client[],3,FALSE)</f>
        <v>79</v>
      </c>
      <c r="O142" s="1" t="str">
        <f>VLOOKUP(Master[[#This Row],[Province_RDC]],Client[],4,FALSE)</f>
        <v>Premium 5G 150Go</v>
      </c>
      <c r="P142" s="1">
        <f>VLOOKUP(Master[[#This Row],[Province_RDC]],Client[],5,FALSE)</f>
        <v>226</v>
      </c>
      <c r="Q142" s="1">
        <f>VLOOKUP(Master[[#This Row],[Province_RDC]],Client[],6,FALSE)</f>
        <v>94.38</v>
      </c>
      <c r="R142" s="1">
        <f>VLOOKUP(Master[[#This Row],[Province_RDC]],Client[],7,FALSE)</f>
        <v>3</v>
      </c>
      <c r="S142" s="1" t="str">
        <f>IF(Master[[#This Row],[Type_Forfait]]="Pro Monde","B2B","B2C")</f>
        <v>B2C</v>
      </c>
      <c r="T142" s="1">
        <f>Master[[#This Row],[Anciennete_Mois]]/12</f>
        <v>6.583333333333333</v>
      </c>
      <c r="U142" s="1">
        <f>Master[[#This Row],[Duree_Cumule_Panne_Min]]/60</f>
        <v>3.7666666666666666</v>
      </c>
      <c r="V14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42" s="6">
        <f>Master[[#This Row],[Facture_Mensuelle]]*Master[[#This Row],[Remise]]</f>
        <v>0</v>
      </c>
    </row>
    <row r="143" spans="1:24" x14ac:dyDescent="0.25">
      <c r="A143" s="1" t="s">
        <v>861</v>
      </c>
      <c r="B143" t="str">
        <f>IFERROR(VLOOKUP(Master[[#This Row],[Cell_ID]],Registre_Maintenance[],2,FALSE),"")</f>
        <v>Kinshasa</v>
      </c>
      <c r="C143" s="1" t="s">
        <v>866</v>
      </c>
      <c r="D143" s="2">
        <v>45200.525694444441</v>
      </c>
      <c r="E143" s="3">
        <v>45200.525694444441</v>
      </c>
      <c r="F143">
        <v>88</v>
      </c>
      <c r="G143">
        <f>Master[[#This Row],[Duree_Panne_Min]]/60</f>
        <v>1.4666666666666666</v>
      </c>
      <c r="H143" s="1" t="s">
        <v>737</v>
      </c>
      <c r="I143">
        <f>IFERROR(VLOOKUP(Master[[#This Row],[Cell_ID]],Registre_Maintenance[],3,FALSE),"")</f>
        <v>-1.6097570000000001</v>
      </c>
      <c r="J143">
        <f>IFERROR(VLOOKUP(Master[[#This Row],[Cell_ID]],Registre_Maintenance[],4,FALSE),"")</f>
        <v>30.661662</v>
      </c>
      <c r="K143" t="str">
        <f>IFERROR(VLOOKUP(Master[[#This Row],[Cell_ID]],Registre_Maintenance[],5,FALSE),"")</f>
        <v>4G</v>
      </c>
      <c r="L143" t="str">
        <f>IFERROR(VLOOKUP(Master[[#This Row],[Cell_ID]],Registre_Maintenance[],6,FALSE),"")</f>
        <v>Ericsson</v>
      </c>
      <c r="M143" s="1" t="str">
        <f>VLOOKUP(Master[[#This Row],[Province_RDC]],Client[],2,FALSE)</f>
        <v>CLI-00611</v>
      </c>
      <c r="N143" s="1">
        <f>VLOOKUP(Master[[#This Row],[Province_RDC]],Client[],3,FALSE)</f>
        <v>79</v>
      </c>
      <c r="O143" s="1" t="str">
        <f>VLOOKUP(Master[[#This Row],[Province_RDC]],Client[],4,FALSE)</f>
        <v>Premium 5G 150Go</v>
      </c>
      <c r="P143" s="1">
        <f>VLOOKUP(Master[[#This Row],[Province_RDC]],Client[],5,FALSE)</f>
        <v>226</v>
      </c>
      <c r="Q143" s="1">
        <f>VLOOKUP(Master[[#This Row],[Province_RDC]],Client[],6,FALSE)</f>
        <v>94.38</v>
      </c>
      <c r="R143" s="1">
        <f>VLOOKUP(Master[[#This Row],[Province_RDC]],Client[],7,FALSE)</f>
        <v>3</v>
      </c>
      <c r="S143" s="1" t="str">
        <f>IF(Master[[#This Row],[Type_Forfait]]="Pro Monde","B2B","B2C")</f>
        <v>B2C</v>
      </c>
      <c r="T143" s="1">
        <f>Master[[#This Row],[Anciennete_Mois]]/12</f>
        <v>6.583333333333333</v>
      </c>
      <c r="U143" s="1">
        <f>Master[[#This Row],[Duree_Cumule_Panne_Min]]/60</f>
        <v>3.7666666666666666</v>
      </c>
      <c r="V14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43" s="6">
        <f>Master[[#This Row],[Facture_Mensuelle]]*Master[[#This Row],[Remise]]</f>
        <v>0</v>
      </c>
    </row>
    <row r="144" spans="1:24" x14ac:dyDescent="0.25">
      <c r="A144" s="1" t="s">
        <v>1114</v>
      </c>
      <c r="B144" t="str">
        <f>IFERROR(VLOOKUP(Master[[#This Row],[Cell_ID]],Registre_Maintenance[],2,FALSE),"")</f>
        <v>Kasai-Central</v>
      </c>
      <c r="C144" s="1" t="s">
        <v>878</v>
      </c>
      <c r="D144" s="2">
        <v>45204.572222222218</v>
      </c>
      <c r="E144" s="3">
        <v>45204.572222222218</v>
      </c>
      <c r="F144">
        <v>88</v>
      </c>
      <c r="G144">
        <f>Master[[#This Row],[Duree_Panne_Min]]/60</f>
        <v>1.4666666666666666</v>
      </c>
      <c r="H144" s="1" t="s">
        <v>737</v>
      </c>
      <c r="I144">
        <f>IFERROR(VLOOKUP(Master[[#This Row],[Cell_ID]],Registre_Maintenance[],3,FALSE),"")</f>
        <v>-3.111418</v>
      </c>
      <c r="J144">
        <f>IFERROR(VLOOKUP(Master[[#This Row],[Cell_ID]],Registre_Maintenance[],4,FALSE),"")</f>
        <v>14.144854</v>
      </c>
      <c r="K144" t="str">
        <f>IFERROR(VLOOKUP(Master[[#This Row],[Cell_ID]],Registre_Maintenance[],5,FALSE),"")</f>
        <v>4G</v>
      </c>
      <c r="L144" t="str">
        <f>IFERROR(VLOOKUP(Master[[#This Row],[Cell_ID]],Registre_Maintenance[],6,FALSE),"")</f>
        <v>ZTE</v>
      </c>
      <c r="M144" s="1" t="str">
        <f>VLOOKUP(Master[[#This Row],[Province_RDC]],Client[],2,FALSE)</f>
        <v>CLI-00060</v>
      </c>
      <c r="N144" s="1">
        <f>VLOOKUP(Master[[#This Row],[Province_RDC]],Client[],3,FALSE)</f>
        <v>72</v>
      </c>
      <c r="O144" s="1" t="str">
        <f>VLOOKUP(Master[[#This Row],[Province_RDC]],Client[],4,FALSE)</f>
        <v>Pro Monde</v>
      </c>
      <c r="P144" s="1">
        <f>VLOOKUP(Master[[#This Row],[Province_RDC]],Client[],5,FALSE)</f>
        <v>160</v>
      </c>
      <c r="Q144" s="1">
        <f>VLOOKUP(Master[[#This Row],[Province_RDC]],Client[],6,FALSE)</f>
        <v>90.13</v>
      </c>
      <c r="R144" s="1">
        <f>VLOOKUP(Master[[#This Row],[Province_RDC]],Client[],7,FALSE)</f>
        <v>2</v>
      </c>
      <c r="S144" s="1" t="str">
        <f>IF(Master[[#This Row],[Type_Forfait]]="Pro Monde","B2B","B2C")</f>
        <v>B2B</v>
      </c>
      <c r="T144" s="1">
        <f>Master[[#This Row],[Anciennete_Mois]]/12</f>
        <v>6</v>
      </c>
      <c r="U144" s="1">
        <f>Master[[#This Row],[Duree_Cumule_Panne_Min]]/60</f>
        <v>2.6666666666666665</v>
      </c>
      <c r="V14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4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44" s="6">
        <f>Master[[#This Row],[Facture_Mensuelle]]*Master[[#This Row],[Remise]]</f>
        <v>9.0129999999999999</v>
      </c>
    </row>
    <row r="145" spans="1:24" x14ac:dyDescent="0.25">
      <c r="A145" s="1" t="s">
        <v>1193</v>
      </c>
      <c r="B145" t="str">
        <f>IFERROR(VLOOKUP(Master[[#This Row],[Cell_ID]],Registre_Maintenance[],2,FALSE),"")</f>
        <v>Ituri</v>
      </c>
      <c r="C145" s="1" t="s">
        <v>1207</v>
      </c>
      <c r="D145" s="2">
        <v>45211.337500000001</v>
      </c>
      <c r="E145" s="3">
        <v>45211.337500000001</v>
      </c>
      <c r="F145">
        <v>88</v>
      </c>
      <c r="G145">
        <f>Master[[#This Row],[Duree_Panne_Min]]/60</f>
        <v>1.4666666666666666</v>
      </c>
      <c r="H145" s="1" t="s">
        <v>735</v>
      </c>
      <c r="I145">
        <f>IFERROR(VLOOKUP(Master[[#This Row],[Cell_ID]],Registre_Maintenance[],3,FALSE),"")</f>
        <v>-12.364127999999999</v>
      </c>
      <c r="J145">
        <f>IFERROR(VLOOKUP(Master[[#This Row],[Cell_ID]],Registre_Maintenance[],4,FALSE),"")</f>
        <v>19.576150999999999</v>
      </c>
      <c r="K145" t="str">
        <f>IFERROR(VLOOKUP(Master[[#This Row],[Cell_ID]],Registre_Maintenance[],5,FALSE),"")</f>
        <v>3G</v>
      </c>
      <c r="L145" t="str">
        <f>IFERROR(VLOOKUP(Master[[#This Row],[Cell_ID]],Registre_Maintenance[],6,FALSE),"")</f>
        <v>Nokia</v>
      </c>
      <c r="M145" s="1" t="str">
        <f>VLOOKUP(Master[[#This Row],[Province_RDC]],Client[],2,FALSE)</f>
        <v>CLI-00041</v>
      </c>
      <c r="N145" s="1">
        <f>VLOOKUP(Master[[#This Row],[Province_RDC]],Client[],3,FALSE)</f>
        <v>103</v>
      </c>
      <c r="O145" s="1" t="str">
        <f>VLOOKUP(Master[[#This Row],[Province_RDC]],Client[],4,FALSE)</f>
        <v>Pro Monde</v>
      </c>
      <c r="P145" s="1">
        <f>VLOOKUP(Master[[#This Row],[Province_RDC]],Client[],5,FALSE)</f>
        <v>105</v>
      </c>
      <c r="Q145" s="1">
        <f>VLOOKUP(Master[[#This Row],[Province_RDC]],Client[],6,FALSE)</f>
        <v>61.52</v>
      </c>
      <c r="R145" s="1">
        <f>VLOOKUP(Master[[#This Row],[Province_RDC]],Client[],7,FALSE)</f>
        <v>3</v>
      </c>
      <c r="S145" s="1" t="str">
        <f>IF(Master[[#This Row],[Type_Forfait]]="Pro Monde","B2B","B2C")</f>
        <v>B2B</v>
      </c>
      <c r="T145" s="1">
        <f>Master[[#This Row],[Anciennete_Mois]]/12</f>
        <v>8.5833333333333339</v>
      </c>
      <c r="U145" s="1">
        <f>Master[[#This Row],[Duree_Cumule_Panne_Min]]/60</f>
        <v>1.75</v>
      </c>
      <c r="V14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4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45" s="6">
        <f>Master[[#This Row],[Facture_Mensuelle]]*Master[[#This Row],[Remise]]</f>
        <v>6.152000000000001</v>
      </c>
    </row>
    <row r="146" spans="1:24" x14ac:dyDescent="0.25">
      <c r="A146" s="1" t="s">
        <v>1165</v>
      </c>
      <c r="B146" t="str">
        <f>IFERROR(VLOOKUP(Master[[#This Row],[Cell_ID]],Registre_Maintenance[],2,FALSE),"")</f>
        <v>Tshopo</v>
      </c>
      <c r="C146" s="1" t="s">
        <v>1166</v>
      </c>
      <c r="D146" s="2">
        <v>45221.565972222219</v>
      </c>
      <c r="E146" s="3">
        <v>45221.565972222219</v>
      </c>
      <c r="F146">
        <v>87</v>
      </c>
      <c r="G146">
        <f>Master[[#This Row],[Duree_Panne_Min]]/60</f>
        <v>1.45</v>
      </c>
      <c r="H146" s="1" t="s">
        <v>735</v>
      </c>
      <c r="I146">
        <f>IFERROR(VLOOKUP(Master[[#This Row],[Cell_ID]],Registre_Maintenance[],3,FALSE),"")</f>
        <v>4.7777349999999998</v>
      </c>
      <c r="J146">
        <f>IFERROR(VLOOKUP(Master[[#This Row],[Cell_ID]],Registre_Maintenance[],4,FALSE),"")</f>
        <v>16.392204</v>
      </c>
      <c r="K146" t="str">
        <f>IFERROR(VLOOKUP(Master[[#This Row],[Cell_ID]],Registre_Maintenance[],5,FALSE),"")</f>
        <v>5G</v>
      </c>
      <c r="L146" t="str">
        <f>IFERROR(VLOOKUP(Master[[#This Row],[Cell_ID]],Registre_Maintenance[],6,FALSE),"")</f>
        <v>ZTE</v>
      </c>
      <c r="M146" s="1" t="str">
        <f>VLOOKUP(Master[[#This Row],[Province_RDC]],Client[],2,FALSE)</f>
        <v>CLI-00745</v>
      </c>
      <c r="N146" s="1">
        <f>VLOOKUP(Master[[#This Row],[Province_RDC]],Client[],3,FALSE)</f>
        <v>6</v>
      </c>
      <c r="O146" s="1" t="str">
        <f>VLOOKUP(Master[[#This Row],[Province_RDC]],Client[],4,FALSE)</f>
        <v>Premium 5G 150Go</v>
      </c>
      <c r="P146" s="1">
        <f>VLOOKUP(Master[[#This Row],[Province_RDC]],Client[],5,FALSE)</f>
        <v>207</v>
      </c>
      <c r="Q146" s="1">
        <f>VLOOKUP(Master[[#This Row],[Province_RDC]],Client[],6,FALSE)</f>
        <v>61.55</v>
      </c>
      <c r="R146" s="1">
        <f>VLOOKUP(Master[[#This Row],[Province_RDC]],Client[],7,FALSE)</f>
        <v>0</v>
      </c>
      <c r="S146" s="1" t="str">
        <f>IF(Master[[#This Row],[Type_Forfait]]="Pro Monde","B2B","B2C")</f>
        <v>B2C</v>
      </c>
      <c r="T146" s="1">
        <f>Master[[#This Row],[Anciennete_Mois]]/12</f>
        <v>0.5</v>
      </c>
      <c r="U146" s="1">
        <f>Master[[#This Row],[Duree_Cumule_Panne_Min]]/60</f>
        <v>3.45</v>
      </c>
      <c r="V14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46" s="6">
        <f>Master[[#This Row],[Facture_Mensuelle]]*Master[[#This Row],[Remise]]</f>
        <v>0</v>
      </c>
    </row>
    <row r="147" spans="1:24" x14ac:dyDescent="0.25">
      <c r="A147" s="1" t="s">
        <v>1165</v>
      </c>
      <c r="B147" t="str">
        <f>IFERROR(VLOOKUP(Master[[#This Row],[Cell_ID]],Registre_Maintenance[],2,FALSE),"")</f>
        <v>Sud-Kivu</v>
      </c>
      <c r="C147" s="1" t="s">
        <v>819</v>
      </c>
      <c r="D147" s="2">
        <v>45211.106944444437</v>
      </c>
      <c r="E147" s="3">
        <v>45211.106944444437</v>
      </c>
      <c r="F147">
        <v>87</v>
      </c>
      <c r="G147">
        <f>Master[[#This Row],[Duree_Panne_Min]]/60</f>
        <v>1.45</v>
      </c>
      <c r="H147" s="1" t="s">
        <v>737</v>
      </c>
      <c r="I147">
        <f>IFERROR(VLOOKUP(Master[[#This Row],[Cell_ID]],Registre_Maintenance[],3,FALSE),"")</f>
        <v>-5.2526849999999996</v>
      </c>
      <c r="J147">
        <f>IFERROR(VLOOKUP(Master[[#This Row],[Cell_ID]],Registre_Maintenance[],4,FALSE),"")</f>
        <v>12.374528</v>
      </c>
      <c r="K147" t="str">
        <f>IFERROR(VLOOKUP(Master[[#This Row],[Cell_ID]],Registre_Maintenance[],5,FALSE),"")</f>
        <v>3G</v>
      </c>
      <c r="L147" t="str">
        <f>IFERROR(VLOOKUP(Master[[#This Row],[Cell_ID]],Registre_Maintenance[],6,FALSE),"")</f>
        <v>Nokia</v>
      </c>
      <c r="M147" s="1" t="str">
        <f>VLOOKUP(Master[[#This Row],[Province_RDC]],Client[],2,FALSE)</f>
        <v>CLI-01855</v>
      </c>
      <c r="N147" s="1">
        <f>VLOOKUP(Master[[#This Row],[Province_RDC]],Client[],3,FALSE)</f>
        <v>101</v>
      </c>
      <c r="O147" s="1" t="str">
        <f>VLOOKUP(Master[[#This Row],[Province_RDC]],Client[],4,FALSE)</f>
        <v>Illimité 50Go</v>
      </c>
      <c r="P147" s="1">
        <f>VLOOKUP(Master[[#This Row],[Province_RDC]],Client[],5,FALSE)</f>
        <v>358</v>
      </c>
      <c r="Q147" s="1">
        <f>VLOOKUP(Master[[#This Row],[Province_RDC]],Client[],6,FALSE)</f>
        <v>29.24</v>
      </c>
      <c r="R147" s="1">
        <f>VLOOKUP(Master[[#This Row],[Province_RDC]],Client[],7,FALSE)</f>
        <v>3</v>
      </c>
      <c r="S147" s="1" t="str">
        <f>IF(Master[[#This Row],[Type_Forfait]]="Pro Monde","B2B","B2C")</f>
        <v>B2C</v>
      </c>
      <c r="T147" s="1">
        <f>Master[[#This Row],[Anciennete_Mois]]/12</f>
        <v>8.4166666666666661</v>
      </c>
      <c r="U147" s="1">
        <f>Master[[#This Row],[Duree_Cumule_Panne_Min]]/60</f>
        <v>5.9666666666666668</v>
      </c>
      <c r="V14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47" s="6">
        <f>Master[[#This Row],[Facture_Mensuelle]]*Master[[#This Row],[Remise]]</f>
        <v>13.157999999999999</v>
      </c>
    </row>
    <row r="148" spans="1:24" x14ac:dyDescent="0.25">
      <c r="A148" s="1" t="s">
        <v>1361</v>
      </c>
      <c r="B148" t="str">
        <f>IFERROR(VLOOKUP(Master[[#This Row],[Cell_ID]],Registre_Maintenance[],2,FALSE),"")</f>
        <v>Sankuru</v>
      </c>
      <c r="C148" s="1" t="s">
        <v>1373</v>
      </c>
      <c r="D148" s="2">
        <v>45200.913888888892</v>
      </c>
      <c r="E148" s="3">
        <v>45200.913888888892</v>
      </c>
      <c r="F148">
        <v>87</v>
      </c>
      <c r="G148">
        <f>Master[[#This Row],[Duree_Panne_Min]]/60</f>
        <v>1.45</v>
      </c>
      <c r="H148" s="1" t="s">
        <v>732</v>
      </c>
      <c r="I148">
        <f>IFERROR(VLOOKUP(Master[[#This Row],[Cell_ID]],Registre_Maintenance[],3,FALSE),"")</f>
        <v>3.175935</v>
      </c>
      <c r="J148">
        <f>IFERROR(VLOOKUP(Master[[#This Row],[Cell_ID]],Registre_Maintenance[],4,FALSE),"")</f>
        <v>16.862832000000001</v>
      </c>
      <c r="K148" t="str">
        <f>IFERROR(VLOOKUP(Master[[#This Row],[Cell_ID]],Registre_Maintenance[],5,FALSE),"")</f>
        <v>5G</v>
      </c>
      <c r="L148" t="str">
        <f>IFERROR(VLOOKUP(Master[[#This Row],[Cell_ID]],Registre_Maintenance[],6,FALSE),"")</f>
        <v>Ericsson</v>
      </c>
      <c r="M148" s="1" t="str">
        <f>VLOOKUP(Master[[#This Row],[Province_RDC]],Client[],2,FALSE)</f>
        <v>CLI-00530</v>
      </c>
      <c r="N148" s="1">
        <f>VLOOKUP(Master[[#This Row],[Province_RDC]],Client[],3,FALSE)</f>
        <v>35</v>
      </c>
      <c r="O148" s="1" t="str">
        <f>VLOOKUP(Master[[#This Row],[Province_RDC]],Client[],4,FALSE)</f>
        <v>Pro Monde</v>
      </c>
      <c r="P148" s="1">
        <f>VLOOKUP(Master[[#This Row],[Province_RDC]],Client[],5,FALSE)</f>
        <v>465</v>
      </c>
      <c r="Q148" s="1">
        <f>VLOOKUP(Master[[#This Row],[Province_RDC]],Client[],6,FALSE)</f>
        <v>58.59</v>
      </c>
      <c r="R148" s="1">
        <f>VLOOKUP(Master[[#This Row],[Province_RDC]],Client[],7,FALSE)</f>
        <v>5</v>
      </c>
      <c r="S148" s="1" t="str">
        <f>IF(Master[[#This Row],[Type_Forfait]]="Pro Monde","B2B","B2C")</f>
        <v>B2B</v>
      </c>
      <c r="T148" s="1">
        <f>Master[[#This Row],[Anciennete_Mois]]/12</f>
        <v>2.9166666666666665</v>
      </c>
      <c r="U148" s="1">
        <f>Master[[#This Row],[Duree_Cumule_Panne_Min]]/60</f>
        <v>7.75</v>
      </c>
      <c r="V14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48" s="6">
        <f>Master[[#This Row],[Facture_Mensuelle]]*Master[[#This Row],[Remise]]</f>
        <v>26.365500000000001</v>
      </c>
    </row>
    <row r="149" spans="1:24" x14ac:dyDescent="0.25">
      <c r="A149" s="1" t="s">
        <v>1241</v>
      </c>
      <c r="B149" t="str">
        <f>IFERROR(VLOOKUP(Master[[#This Row],[Cell_ID]],Registre_Maintenance[],2,FALSE),"")</f>
        <v>Mongala</v>
      </c>
      <c r="C149" s="1" t="s">
        <v>1258</v>
      </c>
      <c r="D149" s="2">
        <v>45215.093055555553</v>
      </c>
      <c r="E149" s="3">
        <v>45215.093055555553</v>
      </c>
      <c r="F149">
        <v>87</v>
      </c>
      <c r="G149">
        <f>Master[[#This Row],[Duree_Panne_Min]]/60</f>
        <v>1.45</v>
      </c>
      <c r="H149" s="1" t="s">
        <v>732</v>
      </c>
      <c r="I149">
        <f>IFERROR(VLOOKUP(Master[[#This Row],[Cell_ID]],Registre_Maintenance[],3,FALSE),"")</f>
        <v>-7.6951369999999999</v>
      </c>
      <c r="J149">
        <f>IFERROR(VLOOKUP(Master[[#This Row],[Cell_ID]],Registre_Maintenance[],4,FALSE),"")</f>
        <v>13.346605</v>
      </c>
      <c r="K149" t="str">
        <f>IFERROR(VLOOKUP(Master[[#This Row],[Cell_ID]],Registre_Maintenance[],5,FALSE),"")</f>
        <v>4G</v>
      </c>
      <c r="L149" t="str">
        <f>IFERROR(VLOOKUP(Master[[#This Row],[Cell_ID]],Registre_Maintenance[],6,FALSE),"")</f>
        <v>Ericsson</v>
      </c>
      <c r="M149" s="1" t="str">
        <f>VLOOKUP(Master[[#This Row],[Province_RDC]],Client[],2,FALSE)</f>
        <v>CLI-00865</v>
      </c>
      <c r="N149" s="1">
        <f>VLOOKUP(Master[[#This Row],[Province_RDC]],Client[],3,FALSE)</f>
        <v>34</v>
      </c>
      <c r="O149" s="1" t="str">
        <f>VLOOKUP(Master[[#This Row],[Province_RDC]],Client[],4,FALSE)</f>
        <v>Pro Monde</v>
      </c>
      <c r="P149" s="1">
        <f>VLOOKUP(Master[[#This Row],[Province_RDC]],Client[],5,FALSE)</f>
        <v>453</v>
      </c>
      <c r="Q149" s="1">
        <f>VLOOKUP(Master[[#This Row],[Province_RDC]],Client[],6,FALSE)</f>
        <v>56.84</v>
      </c>
      <c r="R149" s="1">
        <f>VLOOKUP(Master[[#This Row],[Province_RDC]],Client[],7,FALSE)</f>
        <v>0</v>
      </c>
      <c r="S149" s="1" t="str">
        <f>IF(Master[[#This Row],[Type_Forfait]]="Pro Monde","B2B","B2C")</f>
        <v>B2B</v>
      </c>
      <c r="T149" s="1">
        <f>Master[[#This Row],[Anciennete_Mois]]/12</f>
        <v>2.8333333333333335</v>
      </c>
      <c r="U149" s="1">
        <f>Master[[#This Row],[Duree_Cumule_Panne_Min]]/60</f>
        <v>7.55</v>
      </c>
      <c r="V14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4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49" s="6">
        <f>Master[[#This Row],[Facture_Mensuelle]]*Master[[#This Row],[Remise]]</f>
        <v>25.578000000000003</v>
      </c>
    </row>
    <row r="150" spans="1:24" x14ac:dyDescent="0.25">
      <c r="A150" s="1" t="s">
        <v>1330</v>
      </c>
      <c r="B150" t="str">
        <f>IFERROR(VLOOKUP(Master[[#This Row],[Cell_ID]],Registre_Maintenance[],2,FALSE),"")</f>
        <v>Kasai</v>
      </c>
      <c r="C150" s="1" t="s">
        <v>1331</v>
      </c>
      <c r="D150" s="2">
        <v>45215.776388888888</v>
      </c>
      <c r="E150" s="3">
        <v>45215.776388888888</v>
      </c>
      <c r="F150">
        <v>87</v>
      </c>
      <c r="G150">
        <f>Master[[#This Row],[Duree_Panne_Min]]/60</f>
        <v>1.45</v>
      </c>
      <c r="H150" s="1" t="s">
        <v>737</v>
      </c>
      <c r="I150">
        <f>IFERROR(VLOOKUP(Master[[#This Row],[Cell_ID]],Registre_Maintenance[],3,FALSE),"")</f>
        <v>2.5665840000000002</v>
      </c>
      <c r="J150">
        <f>IFERROR(VLOOKUP(Master[[#This Row],[Cell_ID]],Registre_Maintenance[],4,FALSE),"")</f>
        <v>15.764796</v>
      </c>
      <c r="K150" t="str">
        <f>IFERROR(VLOOKUP(Master[[#This Row],[Cell_ID]],Registre_Maintenance[],5,FALSE),"")</f>
        <v>3G</v>
      </c>
      <c r="L150" t="str">
        <f>IFERROR(VLOOKUP(Master[[#This Row],[Cell_ID]],Registre_Maintenance[],6,FALSE),"")</f>
        <v>ZTE</v>
      </c>
      <c r="M150" s="1" t="str">
        <f>VLOOKUP(Master[[#This Row],[Province_RDC]],Client[],2,FALSE)</f>
        <v>CLI-00559</v>
      </c>
      <c r="N150" s="1">
        <f>VLOOKUP(Master[[#This Row],[Province_RDC]],Client[],3,FALSE)</f>
        <v>99</v>
      </c>
      <c r="O150" s="1" t="str">
        <f>VLOOKUP(Master[[#This Row],[Province_RDC]],Client[],4,FALSE)</f>
        <v>Bloqué 5Go</v>
      </c>
      <c r="P150" s="1">
        <f>VLOOKUP(Master[[#This Row],[Province_RDC]],Client[],5,FALSE)</f>
        <v>369</v>
      </c>
      <c r="Q150" s="1">
        <f>VLOOKUP(Master[[#This Row],[Province_RDC]],Client[],6,FALSE)</f>
        <v>67.209999999999994</v>
      </c>
      <c r="R150" s="1">
        <f>VLOOKUP(Master[[#This Row],[Province_RDC]],Client[],7,FALSE)</f>
        <v>3</v>
      </c>
      <c r="S150" s="1" t="str">
        <f>IF(Master[[#This Row],[Type_Forfait]]="Pro Monde","B2B","B2C")</f>
        <v>B2C</v>
      </c>
      <c r="T150" s="1">
        <f>Master[[#This Row],[Anciennete_Mois]]/12</f>
        <v>8.25</v>
      </c>
      <c r="U150" s="1">
        <f>Master[[#This Row],[Duree_Cumule_Panne_Min]]/60</f>
        <v>6.15</v>
      </c>
      <c r="V15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0" s="6">
        <f>Master[[#This Row],[Facture_Mensuelle]]*Master[[#This Row],[Remise]]</f>
        <v>30.244499999999999</v>
      </c>
    </row>
    <row r="151" spans="1:24" x14ac:dyDescent="0.25">
      <c r="A151" s="1" t="s">
        <v>1361</v>
      </c>
      <c r="B151" t="str">
        <f>IFERROR(VLOOKUP(Master[[#This Row],[Cell_ID]],Registre_Maintenance[],2,FALSE),"")</f>
        <v>Haut-Uele</v>
      </c>
      <c r="C151" s="1" t="s">
        <v>1139</v>
      </c>
      <c r="D151" s="2">
        <v>45211.888888888891</v>
      </c>
      <c r="E151" s="3">
        <v>45211.888888888891</v>
      </c>
      <c r="F151">
        <v>87</v>
      </c>
      <c r="G151">
        <f>Master[[#This Row],[Duree_Panne_Min]]/60</f>
        <v>1.45</v>
      </c>
      <c r="H151" s="1" t="s">
        <v>735</v>
      </c>
      <c r="I151">
        <f>IFERROR(VLOOKUP(Master[[#This Row],[Cell_ID]],Registre_Maintenance[],3,FALSE),"")</f>
        <v>-7.1483749999999997</v>
      </c>
      <c r="J151">
        <f>IFERROR(VLOOKUP(Master[[#This Row],[Cell_ID]],Registre_Maintenance[],4,FALSE),"")</f>
        <v>26.014271000000001</v>
      </c>
      <c r="K151" t="str">
        <f>IFERROR(VLOOKUP(Master[[#This Row],[Cell_ID]],Registre_Maintenance[],5,FALSE),"")</f>
        <v>5G</v>
      </c>
      <c r="L151" t="str">
        <f>IFERROR(VLOOKUP(Master[[#This Row],[Cell_ID]],Registre_Maintenance[],6,FALSE),"")</f>
        <v>Huawei</v>
      </c>
      <c r="M151" s="1" t="str">
        <f>VLOOKUP(Master[[#This Row],[Province_RDC]],Client[],2,FALSE)</f>
        <v>CLI-00439</v>
      </c>
      <c r="N151" s="1">
        <f>VLOOKUP(Master[[#This Row],[Province_RDC]],Client[],3,FALSE)</f>
        <v>40</v>
      </c>
      <c r="O151" s="1" t="str">
        <f>VLOOKUP(Master[[#This Row],[Province_RDC]],Client[],4,FALSE)</f>
        <v>Premium 5G 150Go</v>
      </c>
      <c r="P151" s="1">
        <f>VLOOKUP(Master[[#This Row],[Province_RDC]],Client[],5,FALSE)</f>
        <v>345</v>
      </c>
      <c r="Q151" s="1">
        <f>VLOOKUP(Master[[#This Row],[Province_RDC]],Client[],6,FALSE)</f>
        <v>89.55</v>
      </c>
      <c r="R151" s="1">
        <f>VLOOKUP(Master[[#This Row],[Province_RDC]],Client[],7,FALSE)</f>
        <v>3</v>
      </c>
      <c r="S151" s="1" t="str">
        <f>IF(Master[[#This Row],[Type_Forfait]]="Pro Monde","B2B","B2C")</f>
        <v>B2C</v>
      </c>
      <c r="T151" s="1">
        <f>Master[[#This Row],[Anciennete_Mois]]/12</f>
        <v>3.3333333333333335</v>
      </c>
      <c r="U151" s="1">
        <f>Master[[#This Row],[Duree_Cumule_Panne_Min]]/60</f>
        <v>5.75</v>
      </c>
      <c r="V15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1" s="6">
        <f>Master[[#This Row],[Facture_Mensuelle]]*Master[[#This Row],[Remise]]</f>
        <v>40.297499999999999</v>
      </c>
    </row>
    <row r="152" spans="1:24" x14ac:dyDescent="0.25">
      <c r="A152" s="1" t="s">
        <v>1404</v>
      </c>
      <c r="B152" t="str">
        <f>IFERROR(VLOOKUP(Master[[#This Row],[Cell_ID]],Registre_Maintenance[],2,FALSE),"")</f>
        <v>Haut-Lomami</v>
      </c>
      <c r="C152" s="1" t="s">
        <v>1411</v>
      </c>
      <c r="D152" s="2">
        <v>45225.888194444437</v>
      </c>
      <c r="E152" s="3">
        <v>45225.888194444437</v>
      </c>
      <c r="F152">
        <v>87</v>
      </c>
      <c r="G152">
        <f>Master[[#This Row],[Duree_Panne_Min]]/60</f>
        <v>1.45</v>
      </c>
      <c r="H152" s="1" t="s">
        <v>737</v>
      </c>
      <c r="I152">
        <f>IFERROR(VLOOKUP(Master[[#This Row],[Cell_ID]],Registre_Maintenance[],3,FALSE),"")</f>
        <v>-5.8145569999999998</v>
      </c>
      <c r="J152">
        <f>IFERROR(VLOOKUP(Master[[#This Row],[Cell_ID]],Registre_Maintenance[],4,FALSE),"")</f>
        <v>21.942052</v>
      </c>
      <c r="K152" t="str">
        <f>IFERROR(VLOOKUP(Master[[#This Row],[Cell_ID]],Registre_Maintenance[],5,FALSE),"")</f>
        <v>5G</v>
      </c>
      <c r="L152" t="str">
        <f>IFERROR(VLOOKUP(Master[[#This Row],[Cell_ID]],Registre_Maintenance[],6,FALSE),"")</f>
        <v>Huawei</v>
      </c>
      <c r="M152" s="1" t="str">
        <f>VLOOKUP(Master[[#This Row],[Province_RDC]],Client[],2,FALSE)</f>
        <v>CLI-01325</v>
      </c>
      <c r="N152" s="1">
        <f>VLOOKUP(Master[[#This Row],[Province_RDC]],Client[],3,FALSE)</f>
        <v>44</v>
      </c>
      <c r="O152" s="1" t="str">
        <f>VLOOKUP(Master[[#This Row],[Province_RDC]],Client[],4,FALSE)</f>
        <v>Bloqué 5Go</v>
      </c>
      <c r="P152" s="1">
        <f>VLOOKUP(Master[[#This Row],[Province_RDC]],Client[],5,FALSE)</f>
        <v>348</v>
      </c>
      <c r="Q152" s="1">
        <f>VLOOKUP(Master[[#This Row],[Province_RDC]],Client[],6,FALSE)</f>
        <v>58.67</v>
      </c>
      <c r="R152" s="1">
        <f>VLOOKUP(Master[[#This Row],[Province_RDC]],Client[],7,FALSE)</f>
        <v>0</v>
      </c>
      <c r="S152" s="1" t="str">
        <f>IF(Master[[#This Row],[Type_Forfait]]="Pro Monde","B2B","B2C")</f>
        <v>B2C</v>
      </c>
      <c r="T152" s="1">
        <f>Master[[#This Row],[Anciennete_Mois]]/12</f>
        <v>3.6666666666666665</v>
      </c>
      <c r="U152" s="1">
        <f>Master[[#This Row],[Duree_Cumule_Panne_Min]]/60</f>
        <v>5.8</v>
      </c>
      <c r="V15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2" s="6">
        <f>Master[[#This Row],[Facture_Mensuelle]]*Master[[#This Row],[Remise]]</f>
        <v>26.401500000000002</v>
      </c>
    </row>
    <row r="153" spans="1:24" x14ac:dyDescent="0.25">
      <c r="A153" s="1" t="s">
        <v>1308</v>
      </c>
      <c r="B153" t="str">
        <f>IFERROR(VLOOKUP(Master[[#This Row],[Cell_ID]],Registre_Maintenance[],2,FALSE),"")</f>
        <v>Haut-Katanga</v>
      </c>
      <c r="C153" s="1" t="s">
        <v>1227</v>
      </c>
      <c r="D153" s="2">
        <v>45230.12777777778</v>
      </c>
      <c r="E153" s="3">
        <v>45230.12777777778</v>
      </c>
      <c r="F153">
        <v>87</v>
      </c>
      <c r="G153">
        <f>Master[[#This Row],[Duree_Panne_Min]]/60</f>
        <v>1.45</v>
      </c>
      <c r="H153" s="1" t="s">
        <v>737</v>
      </c>
      <c r="I153">
        <f>IFERROR(VLOOKUP(Master[[#This Row],[Cell_ID]],Registre_Maintenance[],3,FALSE),"")</f>
        <v>-10.945031</v>
      </c>
      <c r="J153">
        <f>IFERROR(VLOOKUP(Master[[#This Row],[Cell_ID]],Registre_Maintenance[],4,FALSE),"")</f>
        <v>27.922274000000002</v>
      </c>
      <c r="K153" t="str">
        <f>IFERROR(VLOOKUP(Master[[#This Row],[Cell_ID]],Registre_Maintenance[],5,FALSE),"")</f>
        <v>4G</v>
      </c>
      <c r="L153" t="str">
        <f>IFERROR(VLOOKUP(Master[[#This Row],[Cell_ID]],Registre_Maintenance[],6,FALSE),"")</f>
        <v>Ericsson</v>
      </c>
      <c r="M153" s="1" t="str">
        <f>VLOOKUP(Master[[#This Row],[Province_RDC]],Client[],2,FALSE)</f>
        <v>CLI-00076</v>
      </c>
      <c r="N153" s="1">
        <f>VLOOKUP(Master[[#This Row],[Province_RDC]],Client[],3,FALSE)</f>
        <v>46</v>
      </c>
      <c r="O153" s="1" t="str">
        <f>VLOOKUP(Master[[#This Row],[Province_RDC]],Client[],4,FALSE)</f>
        <v>Premium 5G 150Go</v>
      </c>
      <c r="P153" s="1">
        <f>VLOOKUP(Master[[#This Row],[Province_RDC]],Client[],5,FALSE)</f>
        <v>283</v>
      </c>
      <c r="Q153" s="1">
        <f>VLOOKUP(Master[[#This Row],[Province_RDC]],Client[],6,FALSE)</f>
        <v>56.05</v>
      </c>
      <c r="R153" s="1">
        <f>VLOOKUP(Master[[#This Row],[Province_RDC]],Client[],7,FALSE)</f>
        <v>1</v>
      </c>
      <c r="S153" s="1" t="str">
        <f>IF(Master[[#This Row],[Type_Forfait]]="Pro Monde","B2B","B2C")</f>
        <v>B2C</v>
      </c>
      <c r="T153" s="1">
        <f>Master[[#This Row],[Anciennete_Mois]]/12</f>
        <v>3.8333333333333335</v>
      </c>
      <c r="U153" s="1">
        <f>Master[[#This Row],[Duree_Cumule_Panne_Min]]/60</f>
        <v>4.7166666666666668</v>
      </c>
      <c r="V15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3" s="6">
        <f>Master[[#This Row],[Facture_Mensuelle]]*Master[[#This Row],[Remise]]</f>
        <v>25.2225</v>
      </c>
    </row>
    <row r="154" spans="1:24" x14ac:dyDescent="0.25">
      <c r="A154" s="1" t="s">
        <v>1165</v>
      </c>
      <c r="B154" t="str">
        <f>IFERROR(VLOOKUP(Master[[#This Row],[Cell_ID]],Registre_Maintenance[],2,FALSE),"")</f>
        <v>Sud-Ubangi</v>
      </c>
      <c r="C154" s="1" t="s">
        <v>1188</v>
      </c>
      <c r="D154" s="2">
        <v>45223.554166666669</v>
      </c>
      <c r="E154" s="3">
        <v>45223.554166666669</v>
      </c>
      <c r="F154">
        <v>86</v>
      </c>
      <c r="G154">
        <f>Master[[#This Row],[Duree_Panne_Min]]/60</f>
        <v>1.4333333333333333</v>
      </c>
      <c r="H154" s="1" t="s">
        <v>735</v>
      </c>
      <c r="I154">
        <f>IFERROR(VLOOKUP(Master[[#This Row],[Cell_ID]],Registre_Maintenance[],3,FALSE),"")</f>
        <v>-12.050063</v>
      </c>
      <c r="J154">
        <f>IFERROR(VLOOKUP(Master[[#This Row],[Cell_ID]],Registre_Maintenance[],4,FALSE),"")</f>
        <v>26.636987999999999</v>
      </c>
      <c r="K154" t="str">
        <f>IFERROR(VLOOKUP(Master[[#This Row],[Cell_ID]],Registre_Maintenance[],5,FALSE),"")</f>
        <v>3G</v>
      </c>
      <c r="L154" t="str">
        <f>IFERROR(VLOOKUP(Master[[#This Row],[Cell_ID]],Registre_Maintenance[],6,FALSE),"")</f>
        <v>Nokia</v>
      </c>
      <c r="M154" s="1" t="str">
        <f>VLOOKUP(Master[[#This Row],[Province_RDC]],Client[],2,FALSE)</f>
        <v>CLI-00280</v>
      </c>
      <c r="N154" s="1">
        <f>VLOOKUP(Master[[#This Row],[Province_RDC]],Client[],3,FALSE)</f>
        <v>113</v>
      </c>
      <c r="O154" s="1" t="str">
        <f>VLOOKUP(Master[[#This Row],[Province_RDC]],Client[],4,FALSE)</f>
        <v>Illimité 50Go</v>
      </c>
      <c r="P154" s="1">
        <f>VLOOKUP(Master[[#This Row],[Province_RDC]],Client[],5,FALSE)</f>
        <v>380</v>
      </c>
      <c r="Q154" s="1">
        <f>VLOOKUP(Master[[#This Row],[Province_RDC]],Client[],6,FALSE)</f>
        <v>12.11</v>
      </c>
      <c r="R154" s="1">
        <f>VLOOKUP(Master[[#This Row],[Province_RDC]],Client[],7,FALSE)</f>
        <v>0</v>
      </c>
      <c r="S154" s="1" t="str">
        <f>IF(Master[[#This Row],[Type_Forfait]]="Pro Monde","B2B","B2C")</f>
        <v>B2C</v>
      </c>
      <c r="T154" s="1">
        <f>Master[[#This Row],[Anciennete_Mois]]/12</f>
        <v>9.4166666666666661</v>
      </c>
      <c r="U154" s="1">
        <f>Master[[#This Row],[Duree_Cumule_Panne_Min]]/60</f>
        <v>6.333333333333333</v>
      </c>
      <c r="V15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4" s="6">
        <f>Master[[#This Row],[Facture_Mensuelle]]*Master[[#This Row],[Remise]]</f>
        <v>5.4494999999999996</v>
      </c>
    </row>
    <row r="155" spans="1:24" x14ac:dyDescent="0.25">
      <c r="A155" s="1" t="s">
        <v>1193</v>
      </c>
      <c r="B155" t="str">
        <f>IFERROR(VLOOKUP(Master[[#This Row],[Cell_ID]],Registre_Maintenance[],2,FALSE),"")</f>
        <v>Maniema</v>
      </c>
      <c r="C155" s="1" t="s">
        <v>1217</v>
      </c>
      <c r="D155" s="2">
        <v>45213.351388888892</v>
      </c>
      <c r="E155" s="3">
        <v>45213.351388888892</v>
      </c>
      <c r="F155">
        <v>86</v>
      </c>
      <c r="G155">
        <f>Master[[#This Row],[Duree_Panne_Min]]/60</f>
        <v>1.4333333333333333</v>
      </c>
      <c r="H155" s="1" t="s">
        <v>737</v>
      </c>
      <c r="I155">
        <f>IFERROR(VLOOKUP(Master[[#This Row],[Cell_ID]],Registre_Maintenance[],3,FALSE),"")</f>
        <v>4.8228650000000002</v>
      </c>
      <c r="J155">
        <f>IFERROR(VLOOKUP(Master[[#This Row],[Cell_ID]],Registre_Maintenance[],4,FALSE),"")</f>
        <v>30.555627000000001</v>
      </c>
      <c r="K155" t="str">
        <f>IFERROR(VLOOKUP(Master[[#This Row],[Cell_ID]],Registre_Maintenance[],5,FALSE),"")</f>
        <v>4G</v>
      </c>
      <c r="L155" t="str">
        <f>IFERROR(VLOOKUP(Master[[#This Row],[Cell_ID]],Registre_Maintenance[],6,FALSE),"")</f>
        <v>Huawei</v>
      </c>
      <c r="M155" s="1" t="str">
        <f>VLOOKUP(Master[[#This Row],[Province_RDC]],Client[],2,FALSE)</f>
        <v>CLI-00185</v>
      </c>
      <c r="N155" s="1">
        <f>VLOOKUP(Master[[#This Row],[Province_RDC]],Client[],3,FALSE)</f>
        <v>81</v>
      </c>
      <c r="O155" s="1" t="str">
        <f>VLOOKUP(Master[[#This Row],[Province_RDC]],Client[],4,FALSE)</f>
        <v>Pro Monde</v>
      </c>
      <c r="P155" s="1">
        <f>VLOOKUP(Master[[#This Row],[Province_RDC]],Client[],5,FALSE)</f>
        <v>154</v>
      </c>
      <c r="Q155" s="1">
        <f>VLOOKUP(Master[[#This Row],[Province_RDC]],Client[],6,FALSE)</f>
        <v>19.47</v>
      </c>
      <c r="R155" s="1">
        <f>VLOOKUP(Master[[#This Row],[Province_RDC]],Client[],7,FALSE)</f>
        <v>3</v>
      </c>
      <c r="S155" s="1" t="str">
        <f>IF(Master[[#This Row],[Type_Forfait]]="Pro Monde","B2B","B2C")</f>
        <v>B2B</v>
      </c>
      <c r="T155" s="1">
        <f>Master[[#This Row],[Anciennete_Mois]]/12</f>
        <v>6.75</v>
      </c>
      <c r="U155" s="1">
        <f>Master[[#This Row],[Duree_Cumule_Panne_Min]]/60</f>
        <v>2.5666666666666669</v>
      </c>
      <c r="V15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5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55" s="6">
        <f>Master[[#This Row],[Facture_Mensuelle]]*Master[[#This Row],[Remise]]</f>
        <v>1.9470000000000001</v>
      </c>
    </row>
    <row r="156" spans="1:24" x14ac:dyDescent="0.25">
      <c r="A156" s="1" t="s">
        <v>939</v>
      </c>
      <c r="B156" t="str">
        <f>IFERROR(VLOOKUP(Master[[#This Row],[Cell_ID]],Registre_Maintenance[],2,FALSE),"")</f>
        <v>Kasai</v>
      </c>
      <c r="C156" s="1" t="s">
        <v>970</v>
      </c>
      <c r="D156" s="2">
        <v>45225.622916666667</v>
      </c>
      <c r="E156" s="3">
        <v>45225.622916666667</v>
      </c>
      <c r="F156">
        <v>86</v>
      </c>
      <c r="G156">
        <f>Master[[#This Row],[Duree_Panne_Min]]/60</f>
        <v>1.4333333333333333</v>
      </c>
      <c r="H156" s="1" t="s">
        <v>732</v>
      </c>
      <c r="I156">
        <f>IFERROR(VLOOKUP(Master[[#This Row],[Cell_ID]],Registre_Maintenance[],3,FALSE),"")</f>
        <v>-10.165072</v>
      </c>
      <c r="J156">
        <f>IFERROR(VLOOKUP(Master[[#This Row],[Cell_ID]],Registre_Maintenance[],4,FALSE),"")</f>
        <v>29.428024000000001</v>
      </c>
      <c r="K156" t="str">
        <f>IFERROR(VLOOKUP(Master[[#This Row],[Cell_ID]],Registre_Maintenance[],5,FALSE),"")</f>
        <v>5G</v>
      </c>
      <c r="L156" t="str">
        <f>IFERROR(VLOOKUP(Master[[#This Row],[Cell_ID]],Registre_Maintenance[],6,FALSE),"")</f>
        <v>Huawei</v>
      </c>
      <c r="M156" s="1" t="str">
        <f>VLOOKUP(Master[[#This Row],[Province_RDC]],Client[],2,FALSE)</f>
        <v>CLI-00559</v>
      </c>
      <c r="N156" s="1">
        <f>VLOOKUP(Master[[#This Row],[Province_RDC]],Client[],3,FALSE)</f>
        <v>99</v>
      </c>
      <c r="O156" s="1" t="str">
        <f>VLOOKUP(Master[[#This Row],[Province_RDC]],Client[],4,FALSE)</f>
        <v>Bloqué 5Go</v>
      </c>
      <c r="P156" s="1">
        <f>VLOOKUP(Master[[#This Row],[Province_RDC]],Client[],5,FALSE)</f>
        <v>369</v>
      </c>
      <c r="Q156" s="1">
        <f>VLOOKUP(Master[[#This Row],[Province_RDC]],Client[],6,FALSE)</f>
        <v>67.209999999999994</v>
      </c>
      <c r="R156" s="1">
        <f>VLOOKUP(Master[[#This Row],[Province_RDC]],Client[],7,FALSE)</f>
        <v>3</v>
      </c>
      <c r="S156" s="1" t="str">
        <f>IF(Master[[#This Row],[Type_Forfait]]="Pro Monde","B2B","B2C")</f>
        <v>B2C</v>
      </c>
      <c r="T156" s="1">
        <f>Master[[#This Row],[Anciennete_Mois]]/12</f>
        <v>8.25</v>
      </c>
      <c r="U156" s="1">
        <f>Master[[#This Row],[Duree_Cumule_Panne_Min]]/60</f>
        <v>6.15</v>
      </c>
      <c r="V15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6" s="6">
        <f>Master[[#This Row],[Facture_Mensuelle]]*Master[[#This Row],[Remise]]</f>
        <v>30.244499999999999</v>
      </c>
    </row>
    <row r="157" spans="1:24" x14ac:dyDescent="0.25">
      <c r="A157" s="1" t="s">
        <v>902</v>
      </c>
      <c r="B157" t="str">
        <f>IFERROR(VLOOKUP(Master[[#This Row],[Cell_ID]],Registre_Maintenance[],2,FALSE),"")</f>
        <v>Haut-Lomami</v>
      </c>
      <c r="C157" s="1" t="s">
        <v>920</v>
      </c>
      <c r="D157" s="2">
        <v>45202.21875</v>
      </c>
      <c r="E157" s="3">
        <v>45202.21875</v>
      </c>
      <c r="F157">
        <v>86</v>
      </c>
      <c r="G157">
        <f>Master[[#This Row],[Duree_Panne_Min]]/60</f>
        <v>1.4333333333333333</v>
      </c>
      <c r="H157" s="1" t="s">
        <v>737</v>
      </c>
      <c r="I157">
        <f>IFERROR(VLOOKUP(Master[[#This Row],[Cell_ID]],Registre_Maintenance[],3,FALSE),"")</f>
        <v>-12.112682</v>
      </c>
      <c r="J157">
        <f>IFERROR(VLOOKUP(Master[[#This Row],[Cell_ID]],Registre_Maintenance[],4,FALSE),"")</f>
        <v>19.972052000000001</v>
      </c>
      <c r="K157" t="str">
        <f>IFERROR(VLOOKUP(Master[[#This Row],[Cell_ID]],Registre_Maintenance[],5,FALSE),"")</f>
        <v>4G</v>
      </c>
      <c r="L157" t="str">
        <f>IFERROR(VLOOKUP(Master[[#This Row],[Cell_ID]],Registre_Maintenance[],6,FALSE),"")</f>
        <v>Huawei</v>
      </c>
      <c r="M157" s="1" t="str">
        <f>VLOOKUP(Master[[#This Row],[Province_RDC]],Client[],2,FALSE)</f>
        <v>CLI-01325</v>
      </c>
      <c r="N157" s="1">
        <f>VLOOKUP(Master[[#This Row],[Province_RDC]],Client[],3,FALSE)</f>
        <v>44</v>
      </c>
      <c r="O157" s="1" t="str">
        <f>VLOOKUP(Master[[#This Row],[Province_RDC]],Client[],4,FALSE)</f>
        <v>Bloqué 5Go</v>
      </c>
      <c r="P157" s="1">
        <f>VLOOKUP(Master[[#This Row],[Province_RDC]],Client[],5,FALSE)</f>
        <v>348</v>
      </c>
      <c r="Q157" s="1">
        <f>VLOOKUP(Master[[#This Row],[Province_RDC]],Client[],6,FALSE)</f>
        <v>58.67</v>
      </c>
      <c r="R157" s="1">
        <f>VLOOKUP(Master[[#This Row],[Province_RDC]],Client[],7,FALSE)</f>
        <v>0</v>
      </c>
      <c r="S157" s="1" t="str">
        <f>IF(Master[[#This Row],[Type_Forfait]]="Pro Monde","B2B","B2C")</f>
        <v>B2C</v>
      </c>
      <c r="T157" s="1">
        <f>Master[[#This Row],[Anciennete_Mois]]/12</f>
        <v>3.6666666666666665</v>
      </c>
      <c r="U157" s="1">
        <f>Master[[#This Row],[Duree_Cumule_Panne_Min]]/60</f>
        <v>5.8</v>
      </c>
      <c r="V15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7" s="6">
        <f>Master[[#This Row],[Facture_Mensuelle]]*Master[[#This Row],[Remise]]</f>
        <v>26.401500000000002</v>
      </c>
    </row>
    <row r="158" spans="1:24" x14ac:dyDescent="0.25">
      <c r="A158" s="1" t="s">
        <v>1308</v>
      </c>
      <c r="B158" t="str">
        <f>IFERROR(VLOOKUP(Master[[#This Row],[Cell_ID]],Registre_Maintenance[],2,FALSE),"")</f>
        <v>Haut-Lomami</v>
      </c>
      <c r="C158" s="1" t="s">
        <v>1014</v>
      </c>
      <c r="D158" s="2">
        <v>45200.342361111107</v>
      </c>
      <c r="E158" s="3">
        <v>45200.342361111107</v>
      </c>
      <c r="F158">
        <v>86</v>
      </c>
      <c r="G158">
        <f>Master[[#This Row],[Duree_Panne_Min]]/60</f>
        <v>1.4333333333333333</v>
      </c>
      <c r="H158" s="1" t="s">
        <v>735</v>
      </c>
      <c r="I158">
        <f>IFERROR(VLOOKUP(Master[[#This Row],[Cell_ID]],Registre_Maintenance[],3,FALSE),"")</f>
        <v>2.628638</v>
      </c>
      <c r="J158">
        <f>IFERROR(VLOOKUP(Master[[#This Row],[Cell_ID]],Registre_Maintenance[],4,FALSE),"")</f>
        <v>28.420582</v>
      </c>
      <c r="K158" t="str">
        <f>IFERROR(VLOOKUP(Master[[#This Row],[Cell_ID]],Registre_Maintenance[],5,FALSE),"")</f>
        <v>4G</v>
      </c>
      <c r="L158" t="str">
        <f>IFERROR(VLOOKUP(Master[[#This Row],[Cell_ID]],Registre_Maintenance[],6,FALSE),"")</f>
        <v>Huawei</v>
      </c>
      <c r="M158" s="1" t="str">
        <f>VLOOKUP(Master[[#This Row],[Province_RDC]],Client[],2,FALSE)</f>
        <v>CLI-01325</v>
      </c>
      <c r="N158" s="1">
        <f>VLOOKUP(Master[[#This Row],[Province_RDC]],Client[],3,FALSE)</f>
        <v>44</v>
      </c>
      <c r="O158" s="1" t="str">
        <f>VLOOKUP(Master[[#This Row],[Province_RDC]],Client[],4,FALSE)</f>
        <v>Bloqué 5Go</v>
      </c>
      <c r="P158" s="1">
        <f>VLOOKUP(Master[[#This Row],[Province_RDC]],Client[],5,FALSE)</f>
        <v>348</v>
      </c>
      <c r="Q158" s="1">
        <f>VLOOKUP(Master[[#This Row],[Province_RDC]],Client[],6,FALSE)</f>
        <v>58.67</v>
      </c>
      <c r="R158" s="1">
        <f>VLOOKUP(Master[[#This Row],[Province_RDC]],Client[],7,FALSE)</f>
        <v>0</v>
      </c>
      <c r="S158" s="1" t="str">
        <f>IF(Master[[#This Row],[Type_Forfait]]="Pro Monde","B2B","B2C")</f>
        <v>B2C</v>
      </c>
      <c r="T158" s="1">
        <f>Master[[#This Row],[Anciennete_Mois]]/12</f>
        <v>3.6666666666666665</v>
      </c>
      <c r="U158" s="1">
        <f>Master[[#This Row],[Duree_Cumule_Panne_Min]]/60</f>
        <v>5.8</v>
      </c>
      <c r="V15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8" s="6">
        <f>Master[[#This Row],[Facture_Mensuelle]]*Master[[#This Row],[Remise]]</f>
        <v>26.401500000000002</v>
      </c>
    </row>
    <row r="159" spans="1:24" x14ac:dyDescent="0.25">
      <c r="A159" s="1" t="s">
        <v>1165</v>
      </c>
      <c r="B159" t="str">
        <f>IFERROR(VLOOKUP(Master[[#This Row],[Cell_ID]],Registre_Maintenance[],2,FALSE),"")</f>
        <v>Nord-Kivu</v>
      </c>
      <c r="C159" s="1" t="s">
        <v>832</v>
      </c>
      <c r="D159" s="2">
        <v>45210.39166666667</v>
      </c>
      <c r="E159" s="3">
        <v>45210.39166666667</v>
      </c>
      <c r="F159">
        <v>85</v>
      </c>
      <c r="G159">
        <f>Master[[#This Row],[Duree_Panne_Min]]/60</f>
        <v>1.4166666666666667</v>
      </c>
      <c r="H159" s="1" t="s">
        <v>735</v>
      </c>
      <c r="I159">
        <f>IFERROR(VLOOKUP(Master[[#This Row],[Cell_ID]],Registre_Maintenance[],3,FALSE),"")</f>
        <v>1.017161</v>
      </c>
      <c r="J159">
        <f>IFERROR(VLOOKUP(Master[[#This Row],[Cell_ID]],Registre_Maintenance[],4,FALSE),"")</f>
        <v>16.519689</v>
      </c>
      <c r="K159" t="str">
        <f>IFERROR(VLOOKUP(Master[[#This Row],[Cell_ID]],Registre_Maintenance[],5,FALSE),"")</f>
        <v>3G</v>
      </c>
      <c r="L159" t="str">
        <f>IFERROR(VLOOKUP(Master[[#This Row],[Cell_ID]],Registre_Maintenance[],6,FALSE),"")</f>
        <v>Nokia</v>
      </c>
      <c r="M159" s="1" t="str">
        <f>VLOOKUP(Master[[#This Row],[Province_RDC]],Client[],2,FALSE)</f>
        <v>CLI-00837</v>
      </c>
      <c r="N159" s="1">
        <f>VLOOKUP(Master[[#This Row],[Province_RDC]],Client[],3,FALSE)</f>
        <v>16</v>
      </c>
      <c r="O159" s="1" t="str">
        <f>VLOOKUP(Master[[#This Row],[Province_RDC]],Client[],4,FALSE)</f>
        <v>Bloqué 5Go</v>
      </c>
      <c r="P159" s="1">
        <f>VLOOKUP(Master[[#This Row],[Province_RDC]],Client[],5,FALSE)</f>
        <v>390</v>
      </c>
      <c r="Q159" s="1">
        <f>VLOOKUP(Master[[#This Row],[Province_RDC]],Client[],6,FALSE)</f>
        <v>98.17</v>
      </c>
      <c r="R159" s="1">
        <f>VLOOKUP(Master[[#This Row],[Province_RDC]],Client[],7,FALSE)</f>
        <v>5</v>
      </c>
      <c r="S159" s="1" t="str">
        <f>IF(Master[[#This Row],[Type_Forfait]]="Pro Monde","B2B","B2C")</f>
        <v>B2C</v>
      </c>
      <c r="T159" s="1">
        <f>Master[[#This Row],[Anciennete_Mois]]/12</f>
        <v>1.3333333333333333</v>
      </c>
      <c r="U159" s="1">
        <f>Master[[#This Row],[Duree_Cumule_Panne_Min]]/60</f>
        <v>6.5</v>
      </c>
      <c r="V15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5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59" s="6">
        <f>Master[[#This Row],[Facture_Mensuelle]]*Master[[#This Row],[Remise]]</f>
        <v>44.176500000000004</v>
      </c>
    </row>
    <row r="160" spans="1:24" x14ac:dyDescent="0.25">
      <c r="A160" s="1" t="s">
        <v>1241</v>
      </c>
      <c r="B160" t="str">
        <f>IFERROR(VLOOKUP(Master[[#This Row],[Cell_ID]],Registre_Maintenance[],2,FALSE),"")</f>
        <v>Maniema</v>
      </c>
      <c r="C160" s="1" t="s">
        <v>919</v>
      </c>
      <c r="D160" s="2">
        <v>45210.38958333333</v>
      </c>
      <c r="E160" s="3">
        <v>45210.38958333333</v>
      </c>
      <c r="F160">
        <v>85</v>
      </c>
      <c r="G160">
        <f>Master[[#This Row],[Duree_Panne_Min]]/60</f>
        <v>1.4166666666666667</v>
      </c>
      <c r="H160" s="1" t="s">
        <v>732</v>
      </c>
      <c r="I160">
        <f>IFERROR(VLOOKUP(Master[[#This Row],[Cell_ID]],Registre_Maintenance[],3,FALSE),"")</f>
        <v>-4.2645619999999997</v>
      </c>
      <c r="J160">
        <f>IFERROR(VLOOKUP(Master[[#This Row],[Cell_ID]],Registre_Maintenance[],4,FALSE),"")</f>
        <v>18.960726000000001</v>
      </c>
      <c r="K160" t="str">
        <f>IFERROR(VLOOKUP(Master[[#This Row],[Cell_ID]],Registre_Maintenance[],5,FALSE),"")</f>
        <v>4G</v>
      </c>
      <c r="L160" t="str">
        <f>IFERROR(VLOOKUP(Master[[#This Row],[Cell_ID]],Registre_Maintenance[],6,FALSE),"")</f>
        <v>Huawei</v>
      </c>
      <c r="M160" s="1" t="str">
        <f>VLOOKUP(Master[[#This Row],[Province_RDC]],Client[],2,FALSE)</f>
        <v>CLI-00185</v>
      </c>
      <c r="N160" s="1">
        <f>VLOOKUP(Master[[#This Row],[Province_RDC]],Client[],3,FALSE)</f>
        <v>81</v>
      </c>
      <c r="O160" s="1" t="str">
        <f>VLOOKUP(Master[[#This Row],[Province_RDC]],Client[],4,FALSE)</f>
        <v>Pro Monde</v>
      </c>
      <c r="P160" s="1">
        <f>VLOOKUP(Master[[#This Row],[Province_RDC]],Client[],5,FALSE)</f>
        <v>154</v>
      </c>
      <c r="Q160" s="1">
        <f>VLOOKUP(Master[[#This Row],[Province_RDC]],Client[],6,FALSE)</f>
        <v>19.47</v>
      </c>
      <c r="R160" s="1">
        <f>VLOOKUP(Master[[#This Row],[Province_RDC]],Client[],7,FALSE)</f>
        <v>3</v>
      </c>
      <c r="S160" s="1" t="str">
        <f>IF(Master[[#This Row],[Type_Forfait]]="Pro Monde","B2B","B2C")</f>
        <v>B2B</v>
      </c>
      <c r="T160" s="1">
        <f>Master[[#This Row],[Anciennete_Mois]]/12</f>
        <v>6.75</v>
      </c>
      <c r="U160" s="1">
        <f>Master[[#This Row],[Duree_Cumule_Panne_Min]]/60</f>
        <v>2.5666666666666669</v>
      </c>
      <c r="V16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6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60" s="6">
        <f>Master[[#This Row],[Facture_Mensuelle]]*Master[[#This Row],[Remise]]</f>
        <v>1.9470000000000001</v>
      </c>
    </row>
    <row r="161" spans="1:24" x14ac:dyDescent="0.25">
      <c r="A161" s="1" t="s">
        <v>1308</v>
      </c>
      <c r="B161" t="str">
        <f>IFERROR(VLOOKUP(Master[[#This Row],[Cell_ID]],Registre_Maintenance[],2,FALSE),"")</f>
        <v>Lualaba</v>
      </c>
      <c r="C161" s="1" t="s">
        <v>872</v>
      </c>
      <c r="D161" s="2">
        <v>45220.754166666673</v>
      </c>
      <c r="E161" s="3">
        <v>45220.754166666673</v>
      </c>
      <c r="F161">
        <v>85</v>
      </c>
      <c r="G161">
        <f>Master[[#This Row],[Duree_Panne_Min]]/60</f>
        <v>1.4166666666666667</v>
      </c>
      <c r="H161" s="1" t="s">
        <v>732</v>
      </c>
      <c r="I161">
        <f>IFERROR(VLOOKUP(Master[[#This Row],[Cell_ID]],Registre_Maintenance[],3,FALSE),"")</f>
        <v>-9.7803979999999999</v>
      </c>
      <c r="J161">
        <f>IFERROR(VLOOKUP(Master[[#This Row],[Cell_ID]],Registre_Maintenance[],4,FALSE),"")</f>
        <v>17.686595000000001</v>
      </c>
      <c r="K161" t="str">
        <f>IFERROR(VLOOKUP(Master[[#This Row],[Cell_ID]],Registre_Maintenance[],5,FALSE),"")</f>
        <v>4G</v>
      </c>
      <c r="L161" t="str">
        <f>IFERROR(VLOOKUP(Master[[#This Row],[Cell_ID]],Registre_Maintenance[],6,FALSE),"")</f>
        <v>Ericsson</v>
      </c>
      <c r="M161" s="1" t="str">
        <f>VLOOKUP(Master[[#This Row],[Province_RDC]],Client[],2,FALSE)</f>
        <v>CLI-01005</v>
      </c>
      <c r="N161" s="1">
        <f>VLOOKUP(Master[[#This Row],[Province_RDC]],Client[],3,FALSE)</f>
        <v>80</v>
      </c>
      <c r="O161" s="1" t="str">
        <f>VLOOKUP(Master[[#This Row],[Province_RDC]],Client[],4,FALSE)</f>
        <v>Illimité 50Go</v>
      </c>
      <c r="P161" s="1">
        <f>VLOOKUP(Master[[#This Row],[Province_RDC]],Client[],5,FALSE)</f>
        <v>155</v>
      </c>
      <c r="Q161" s="1">
        <f>VLOOKUP(Master[[#This Row],[Province_RDC]],Client[],6,FALSE)</f>
        <v>28.96</v>
      </c>
      <c r="R161" s="1">
        <f>VLOOKUP(Master[[#This Row],[Province_RDC]],Client[],7,FALSE)</f>
        <v>2</v>
      </c>
      <c r="S161" s="1" t="str">
        <f>IF(Master[[#This Row],[Type_Forfait]]="Pro Monde","B2B","B2C")</f>
        <v>B2C</v>
      </c>
      <c r="T161" s="1">
        <f>Master[[#This Row],[Anciennete_Mois]]/12</f>
        <v>6.666666666666667</v>
      </c>
      <c r="U161" s="1">
        <f>Master[[#This Row],[Duree_Cumule_Panne_Min]]/60</f>
        <v>2.5833333333333335</v>
      </c>
      <c r="V16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6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61" s="6">
        <f>Master[[#This Row],[Facture_Mensuelle]]*Master[[#This Row],[Remise]]</f>
        <v>0</v>
      </c>
    </row>
    <row r="162" spans="1:24" x14ac:dyDescent="0.25">
      <c r="A162" s="1" t="s">
        <v>730</v>
      </c>
      <c r="B162" t="str">
        <f>IFERROR(VLOOKUP(Master[[#This Row],[Cell_ID]],Registre_Maintenance[],2,FALSE),"")</f>
        <v>Lomami</v>
      </c>
      <c r="C162" s="1" t="s">
        <v>745</v>
      </c>
      <c r="D162" s="2">
        <v>45208.073611111111</v>
      </c>
      <c r="E162" s="3">
        <v>45208.073611111111</v>
      </c>
      <c r="F162">
        <v>85</v>
      </c>
      <c r="G162">
        <f>Master[[#This Row],[Duree_Panne_Min]]/60</f>
        <v>1.4166666666666667</v>
      </c>
      <c r="H162" s="1" t="s">
        <v>735</v>
      </c>
      <c r="I162">
        <f>IFERROR(VLOOKUP(Master[[#This Row],[Cell_ID]],Registre_Maintenance[],3,FALSE),"")</f>
        <v>-8.4227860000000003</v>
      </c>
      <c r="J162">
        <f>IFERROR(VLOOKUP(Master[[#This Row],[Cell_ID]],Registre_Maintenance[],4,FALSE),"")</f>
        <v>16.781293000000002</v>
      </c>
      <c r="K162" t="str">
        <f>IFERROR(VLOOKUP(Master[[#This Row],[Cell_ID]],Registre_Maintenance[],5,FALSE),"")</f>
        <v>4G</v>
      </c>
      <c r="L162" t="str">
        <f>IFERROR(VLOOKUP(Master[[#This Row],[Cell_ID]],Registre_Maintenance[],6,FALSE),"")</f>
        <v>Huawei</v>
      </c>
      <c r="M162" s="1" t="str">
        <f>VLOOKUP(Master[[#This Row],[Province_RDC]],Client[],2,FALSE)</f>
        <v>CLI-00505</v>
      </c>
      <c r="N162" s="1">
        <f>VLOOKUP(Master[[#This Row],[Province_RDC]],Client[],3,FALSE)</f>
        <v>59</v>
      </c>
      <c r="O162" s="1" t="str">
        <f>VLOOKUP(Master[[#This Row],[Province_RDC]],Client[],4,FALSE)</f>
        <v>Bloqué 5Go</v>
      </c>
      <c r="P162" s="1">
        <f>VLOOKUP(Master[[#This Row],[Province_RDC]],Client[],5,FALSE)</f>
        <v>196</v>
      </c>
      <c r="Q162" s="1">
        <f>VLOOKUP(Master[[#This Row],[Province_RDC]],Client[],6,FALSE)</f>
        <v>62.53</v>
      </c>
      <c r="R162" s="1">
        <f>VLOOKUP(Master[[#This Row],[Province_RDC]],Client[],7,FALSE)</f>
        <v>0</v>
      </c>
      <c r="S162" s="1" t="str">
        <f>IF(Master[[#This Row],[Type_Forfait]]="Pro Monde","B2B","B2C")</f>
        <v>B2C</v>
      </c>
      <c r="T162" s="1">
        <f>Master[[#This Row],[Anciennete_Mois]]/12</f>
        <v>4.916666666666667</v>
      </c>
      <c r="U162" s="1">
        <f>Master[[#This Row],[Duree_Cumule_Panne_Min]]/60</f>
        <v>3.2666666666666666</v>
      </c>
      <c r="V16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6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62" s="6">
        <f>Master[[#This Row],[Facture_Mensuelle]]*Master[[#This Row],[Remise]]</f>
        <v>0</v>
      </c>
    </row>
    <row r="163" spans="1:24" x14ac:dyDescent="0.25">
      <c r="A163" s="1" t="s">
        <v>1382</v>
      </c>
      <c r="B163" t="str">
        <f>IFERROR(VLOOKUP(Master[[#This Row],[Cell_ID]],Registre_Maintenance[],2,FALSE),"")</f>
        <v>Sud-Kivu</v>
      </c>
      <c r="C163" s="1" t="s">
        <v>1156</v>
      </c>
      <c r="D163" s="2">
        <v>45227.447916666657</v>
      </c>
      <c r="E163" s="3">
        <v>45227.447916666657</v>
      </c>
      <c r="F163">
        <v>84</v>
      </c>
      <c r="G163">
        <f>Master[[#This Row],[Duree_Panne_Min]]/60</f>
        <v>1.4</v>
      </c>
      <c r="H163" s="1" t="s">
        <v>735</v>
      </c>
      <c r="I163">
        <f>IFERROR(VLOOKUP(Master[[#This Row],[Cell_ID]],Registre_Maintenance[],3,FALSE),"")</f>
        <v>2.4414509999999998</v>
      </c>
      <c r="J163">
        <f>IFERROR(VLOOKUP(Master[[#This Row],[Cell_ID]],Registre_Maintenance[],4,FALSE),"")</f>
        <v>30.167489</v>
      </c>
      <c r="K163" t="str">
        <f>IFERROR(VLOOKUP(Master[[#This Row],[Cell_ID]],Registre_Maintenance[],5,FALSE),"")</f>
        <v>5G</v>
      </c>
      <c r="L163" t="str">
        <f>IFERROR(VLOOKUP(Master[[#This Row],[Cell_ID]],Registre_Maintenance[],6,FALSE),"")</f>
        <v>Nokia</v>
      </c>
      <c r="M163" s="1" t="str">
        <f>VLOOKUP(Master[[#This Row],[Province_RDC]],Client[],2,FALSE)</f>
        <v>CLI-01855</v>
      </c>
      <c r="N163" s="1">
        <f>VLOOKUP(Master[[#This Row],[Province_RDC]],Client[],3,FALSE)</f>
        <v>101</v>
      </c>
      <c r="O163" s="1" t="str">
        <f>VLOOKUP(Master[[#This Row],[Province_RDC]],Client[],4,FALSE)</f>
        <v>Illimité 50Go</v>
      </c>
      <c r="P163" s="1">
        <f>VLOOKUP(Master[[#This Row],[Province_RDC]],Client[],5,FALSE)</f>
        <v>358</v>
      </c>
      <c r="Q163" s="1">
        <f>VLOOKUP(Master[[#This Row],[Province_RDC]],Client[],6,FALSE)</f>
        <v>29.24</v>
      </c>
      <c r="R163" s="1">
        <f>VLOOKUP(Master[[#This Row],[Province_RDC]],Client[],7,FALSE)</f>
        <v>3</v>
      </c>
      <c r="S163" s="1" t="str">
        <f>IF(Master[[#This Row],[Type_Forfait]]="Pro Monde","B2B","B2C")</f>
        <v>B2C</v>
      </c>
      <c r="T163" s="1">
        <f>Master[[#This Row],[Anciennete_Mois]]/12</f>
        <v>8.4166666666666661</v>
      </c>
      <c r="U163" s="1">
        <f>Master[[#This Row],[Duree_Cumule_Panne_Min]]/60</f>
        <v>5.9666666666666668</v>
      </c>
      <c r="V16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3" s="6">
        <f>Master[[#This Row],[Facture_Mensuelle]]*Master[[#This Row],[Remise]]</f>
        <v>13.157999999999999</v>
      </c>
    </row>
    <row r="164" spans="1:24" x14ac:dyDescent="0.25">
      <c r="A164" s="1" t="s">
        <v>1193</v>
      </c>
      <c r="B164" t="str">
        <f>IFERROR(VLOOKUP(Master[[#This Row],[Cell_ID]],Registre_Maintenance[],2,FALSE),"")</f>
        <v>Sankuru</v>
      </c>
      <c r="C164" s="1" t="s">
        <v>1042</v>
      </c>
      <c r="D164" s="2">
        <v>45211.724999999999</v>
      </c>
      <c r="E164" s="3">
        <v>45211.724999999999</v>
      </c>
      <c r="F164">
        <v>84</v>
      </c>
      <c r="G164">
        <f>Master[[#This Row],[Duree_Panne_Min]]/60</f>
        <v>1.4</v>
      </c>
      <c r="H164" s="1" t="s">
        <v>737</v>
      </c>
      <c r="I164">
        <f>IFERROR(VLOOKUP(Master[[#This Row],[Cell_ID]],Registre_Maintenance[],3,FALSE),"")</f>
        <v>-1.4110389999999999</v>
      </c>
      <c r="J164">
        <f>IFERROR(VLOOKUP(Master[[#This Row],[Cell_ID]],Registre_Maintenance[],4,FALSE),"")</f>
        <v>21.261644</v>
      </c>
      <c r="K164" t="str">
        <f>IFERROR(VLOOKUP(Master[[#This Row],[Cell_ID]],Registre_Maintenance[],5,FALSE),"")</f>
        <v>4G</v>
      </c>
      <c r="L164" t="str">
        <f>IFERROR(VLOOKUP(Master[[#This Row],[Cell_ID]],Registre_Maintenance[],6,FALSE),"")</f>
        <v>ZTE</v>
      </c>
      <c r="M164" s="1" t="str">
        <f>VLOOKUP(Master[[#This Row],[Province_RDC]],Client[],2,FALSE)</f>
        <v>CLI-00530</v>
      </c>
      <c r="N164" s="1">
        <f>VLOOKUP(Master[[#This Row],[Province_RDC]],Client[],3,FALSE)</f>
        <v>35</v>
      </c>
      <c r="O164" s="1" t="str">
        <f>VLOOKUP(Master[[#This Row],[Province_RDC]],Client[],4,FALSE)</f>
        <v>Pro Monde</v>
      </c>
      <c r="P164" s="1">
        <f>VLOOKUP(Master[[#This Row],[Province_RDC]],Client[],5,FALSE)</f>
        <v>465</v>
      </c>
      <c r="Q164" s="1">
        <f>VLOOKUP(Master[[#This Row],[Province_RDC]],Client[],6,FALSE)</f>
        <v>58.59</v>
      </c>
      <c r="R164" s="1">
        <f>VLOOKUP(Master[[#This Row],[Province_RDC]],Client[],7,FALSE)</f>
        <v>5</v>
      </c>
      <c r="S164" s="1" t="str">
        <f>IF(Master[[#This Row],[Type_Forfait]]="Pro Monde","B2B","B2C")</f>
        <v>B2B</v>
      </c>
      <c r="T164" s="1">
        <f>Master[[#This Row],[Anciennete_Mois]]/12</f>
        <v>2.9166666666666665</v>
      </c>
      <c r="U164" s="1">
        <f>Master[[#This Row],[Duree_Cumule_Panne_Min]]/60</f>
        <v>7.75</v>
      </c>
      <c r="V16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4" s="6">
        <f>Master[[#This Row],[Facture_Mensuelle]]*Master[[#This Row],[Remise]]</f>
        <v>26.365500000000001</v>
      </c>
    </row>
    <row r="165" spans="1:24" x14ac:dyDescent="0.25">
      <c r="A165" s="1" t="s">
        <v>1165</v>
      </c>
      <c r="B165" t="str">
        <f>IFERROR(VLOOKUP(Master[[#This Row],[Cell_ID]],Registre_Maintenance[],2,FALSE),"")</f>
        <v>Maniema</v>
      </c>
      <c r="C165" s="1" t="s">
        <v>890</v>
      </c>
      <c r="D165" s="2">
        <v>45217.775694444441</v>
      </c>
      <c r="E165" s="3">
        <v>45217.775694444441</v>
      </c>
      <c r="F165">
        <v>84</v>
      </c>
      <c r="G165">
        <f>Master[[#This Row],[Duree_Panne_Min]]/60</f>
        <v>1.4</v>
      </c>
      <c r="H165" s="1" t="s">
        <v>732</v>
      </c>
      <c r="I165">
        <f>IFERROR(VLOOKUP(Master[[#This Row],[Cell_ID]],Registre_Maintenance[],3,FALSE),"")</f>
        <v>-2.3743210000000001</v>
      </c>
      <c r="J165">
        <f>IFERROR(VLOOKUP(Master[[#This Row],[Cell_ID]],Registre_Maintenance[],4,FALSE),"")</f>
        <v>22.399491000000001</v>
      </c>
      <c r="K165" t="str">
        <f>IFERROR(VLOOKUP(Master[[#This Row],[Cell_ID]],Registre_Maintenance[],5,FALSE),"")</f>
        <v>5G</v>
      </c>
      <c r="L165" t="str">
        <f>IFERROR(VLOOKUP(Master[[#This Row],[Cell_ID]],Registre_Maintenance[],6,FALSE),"")</f>
        <v>Ericsson</v>
      </c>
      <c r="M165" s="1" t="str">
        <f>VLOOKUP(Master[[#This Row],[Province_RDC]],Client[],2,FALSE)</f>
        <v>CLI-00185</v>
      </c>
      <c r="N165" s="1">
        <f>VLOOKUP(Master[[#This Row],[Province_RDC]],Client[],3,FALSE)</f>
        <v>81</v>
      </c>
      <c r="O165" s="1" t="str">
        <f>VLOOKUP(Master[[#This Row],[Province_RDC]],Client[],4,FALSE)</f>
        <v>Pro Monde</v>
      </c>
      <c r="P165" s="1">
        <f>VLOOKUP(Master[[#This Row],[Province_RDC]],Client[],5,FALSE)</f>
        <v>154</v>
      </c>
      <c r="Q165" s="1">
        <f>VLOOKUP(Master[[#This Row],[Province_RDC]],Client[],6,FALSE)</f>
        <v>19.47</v>
      </c>
      <c r="R165" s="1">
        <f>VLOOKUP(Master[[#This Row],[Province_RDC]],Client[],7,FALSE)</f>
        <v>3</v>
      </c>
      <c r="S165" s="1" t="str">
        <f>IF(Master[[#This Row],[Type_Forfait]]="Pro Monde","B2B","B2C")</f>
        <v>B2B</v>
      </c>
      <c r="T165" s="1">
        <f>Master[[#This Row],[Anciennete_Mois]]/12</f>
        <v>6.75</v>
      </c>
      <c r="U165" s="1">
        <f>Master[[#This Row],[Duree_Cumule_Panne_Min]]/60</f>
        <v>2.5666666666666669</v>
      </c>
      <c r="V16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6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65" s="6">
        <f>Master[[#This Row],[Facture_Mensuelle]]*Master[[#This Row],[Remise]]</f>
        <v>1.9470000000000001</v>
      </c>
    </row>
    <row r="166" spans="1:24" x14ac:dyDescent="0.25">
      <c r="A166" s="1" t="s">
        <v>978</v>
      </c>
      <c r="B166" t="str">
        <f>IFERROR(VLOOKUP(Master[[#This Row],[Cell_ID]],Registre_Maintenance[],2,FALSE),"")</f>
        <v>Tshuapa</v>
      </c>
      <c r="C166" s="1" t="s">
        <v>991</v>
      </c>
      <c r="D166" s="2">
        <v>45221.27847222222</v>
      </c>
      <c r="E166" s="3">
        <v>45221.27847222222</v>
      </c>
      <c r="F166">
        <v>83</v>
      </c>
      <c r="G166">
        <f>Master[[#This Row],[Duree_Panne_Min]]/60</f>
        <v>1.3833333333333333</v>
      </c>
      <c r="H166" s="1" t="s">
        <v>737</v>
      </c>
      <c r="I166">
        <f>IFERROR(VLOOKUP(Master[[#This Row],[Cell_ID]],Registre_Maintenance[],3,FALSE),"")</f>
        <v>-12.292039000000001</v>
      </c>
      <c r="J166">
        <f>IFERROR(VLOOKUP(Master[[#This Row],[Cell_ID]],Registre_Maintenance[],4,FALSE),"")</f>
        <v>27.538202999999999</v>
      </c>
      <c r="K166" t="str">
        <f>IFERROR(VLOOKUP(Master[[#This Row],[Cell_ID]],Registre_Maintenance[],5,FALSE),"")</f>
        <v>3G</v>
      </c>
      <c r="L166" t="str">
        <f>IFERROR(VLOOKUP(Master[[#This Row],[Cell_ID]],Registre_Maintenance[],6,FALSE),"")</f>
        <v>Huawei</v>
      </c>
      <c r="M166" s="1" t="str">
        <f>VLOOKUP(Master[[#This Row],[Province_RDC]],Client[],2,FALSE)</f>
        <v>CLI-00894</v>
      </c>
      <c r="N166" s="1">
        <f>VLOOKUP(Master[[#This Row],[Province_RDC]],Client[],3,FALSE)</f>
        <v>63</v>
      </c>
      <c r="O166" s="1" t="str">
        <f>VLOOKUP(Master[[#This Row],[Province_RDC]],Client[],4,FALSE)</f>
        <v>Pro Monde</v>
      </c>
      <c r="P166" s="1">
        <f>VLOOKUP(Master[[#This Row],[Province_RDC]],Client[],5,FALSE)</f>
        <v>205</v>
      </c>
      <c r="Q166" s="1">
        <f>VLOOKUP(Master[[#This Row],[Province_RDC]],Client[],6,FALSE)</f>
        <v>89.19</v>
      </c>
      <c r="R166" s="1">
        <f>VLOOKUP(Master[[#This Row],[Province_RDC]],Client[],7,FALSE)</f>
        <v>0</v>
      </c>
      <c r="S166" s="1" t="str">
        <f>IF(Master[[#This Row],[Type_Forfait]]="Pro Monde","B2B","B2C")</f>
        <v>B2B</v>
      </c>
      <c r="T166" s="1">
        <f>Master[[#This Row],[Anciennete_Mois]]/12</f>
        <v>5.25</v>
      </c>
      <c r="U166" s="1">
        <f>Master[[#This Row],[Duree_Cumule_Panne_Min]]/60</f>
        <v>3.4166666666666665</v>
      </c>
      <c r="V16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6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66" s="6">
        <f>Master[[#This Row],[Facture_Mensuelle]]*Master[[#This Row],[Remise]]</f>
        <v>8.9190000000000005</v>
      </c>
    </row>
    <row r="167" spans="1:24" x14ac:dyDescent="0.25">
      <c r="A167" s="1" t="s">
        <v>779</v>
      </c>
      <c r="B167" t="str">
        <f>IFERROR(VLOOKUP(Master[[#This Row],[Cell_ID]],Registre_Maintenance[],2,FALSE),"")</f>
        <v>Nord-Kivu</v>
      </c>
      <c r="C167" s="1" t="s">
        <v>797</v>
      </c>
      <c r="D167" s="2">
        <v>45201.224999999999</v>
      </c>
      <c r="E167" s="3">
        <v>45201.224999999999</v>
      </c>
      <c r="F167">
        <v>83</v>
      </c>
      <c r="G167">
        <f>Master[[#This Row],[Duree_Panne_Min]]/60</f>
        <v>1.3833333333333333</v>
      </c>
      <c r="H167" s="1" t="s">
        <v>735</v>
      </c>
      <c r="I167">
        <f>IFERROR(VLOOKUP(Master[[#This Row],[Cell_ID]],Registre_Maintenance[],3,FALSE),"")</f>
        <v>0.82868600000000003</v>
      </c>
      <c r="J167">
        <f>IFERROR(VLOOKUP(Master[[#This Row],[Cell_ID]],Registre_Maintenance[],4,FALSE),"")</f>
        <v>26.958843999999999</v>
      </c>
      <c r="K167" t="str">
        <f>IFERROR(VLOOKUP(Master[[#This Row],[Cell_ID]],Registre_Maintenance[],5,FALSE),"")</f>
        <v>5G</v>
      </c>
      <c r="L167" t="str">
        <f>IFERROR(VLOOKUP(Master[[#This Row],[Cell_ID]],Registre_Maintenance[],6,FALSE),"")</f>
        <v>ZTE</v>
      </c>
      <c r="M167" s="1" t="str">
        <f>VLOOKUP(Master[[#This Row],[Province_RDC]],Client[],2,FALSE)</f>
        <v>CLI-00837</v>
      </c>
      <c r="N167" s="1">
        <f>VLOOKUP(Master[[#This Row],[Province_RDC]],Client[],3,FALSE)</f>
        <v>16</v>
      </c>
      <c r="O167" s="1" t="str">
        <f>VLOOKUP(Master[[#This Row],[Province_RDC]],Client[],4,FALSE)</f>
        <v>Bloqué 5Go</v>
      </c>
      <c r="P167" s="1">
        <f>VLOOKUP(Master[[#This Row],[Province_RDC]],Client[],5,FALSE)</f>
        <v>390</v>
      </c>
      <c r="Q167" s="1">
        <f>VLOOKUP(Master[[#This Row],[Province_RDC]],Client[],6,FALSE)</f>
        <v>98.17</v>
      </c>
      <c r="R167" s="1">
        <f>VLOOKUP(Master[[#This Row],[Province_RDC]],Client[],7,FALSE)</f>
        <v>5</v>
      </c>
      <c r="S167" s="1" t="str">
        <f>IF(Master[[#This Row],[Type_Forfait]]="Pro Monde","B2B","B2C")</f>
        <v>B2C</v>
      </c>
      <c r="T167" s="1">
        <f>Master[[#This Row],[Anciennete_Mois]]/12</f>
        <v>1.3333333333333333</v>
      </c>
      <c r="U167" s="1">
        <f>Master[[#This Row],[Duree_Cumule_Panne_Min]]/60</f>
        <v>6.5</v>
      </c>
      <c r="V16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7" s="6">
        <f>Master[[#This Row],[Facture_Mensuelle]]*Master[[#This Row],[Remise]]</f>
        <v>44.176500000000004</v>
      </c>
    </row>
    <row r="168" spans="1:24" x14ac:dyDescent="0.25">
      <c r="A168" s="1" t="s">
        <v>861</v>
      </c>
      <c r="B168" t="str">
        <f>IFERROR(VLOOKUP(Master[[#This Row],[Cell_ID]],Registre_Maintenance[],2,FALSE),"")</f>
        <v>Mai-Ndombe</v>
      </c>
      <c r="C168" s="1" t="s">
        <v>868</v>
      </c>
      <c r="D168" s="2">
        <v>45202.852083333331</v>
      </c>
      <c r="E168" s="3">
        <v>45202.852083333331</v>
      </c>
      <c r="F168">
        <v>83</v>
      </c>
      <c r="G168">
        <f>Master[[#This Row],[Duree_Panne_Min]]/60</f>
        <v>1.3833333333333333</v>
      </c>
      <c r="H168" s="1" t="s">
        <v>732</v>
      </c>
      <c r="I168">
        <f>IFERROR(VLOOKUP(Master[[#This Row],[Cell_ID]],Registre_Maintenance[],3,FALSE),"")</f>
        <v>-1.607639</v>
      </c>
      <c r="J168">
        <f>IFERROR(VLOOKUP(Master[[#This Row],[Cell_ID]],Registre_Maintenance[],4,FALSE),"")</f>
        <v>17.003636</v>
      </c>
      <c r="K168" t="str">
        <f>IFERROR(VLOOKUP(Master[[#This Row],[Cell_ID]],Registre_Maintenance[],5,FALSE),"")</f>
        <v>4G</v>
      </c>
      <c r="L168" t="str">
        <f>IFERROR(VLOOKUP(Master[[#This Row],[Cell_ID]],Registre_Maintenance[],6,FALSE),"")</f>
        <v>Ericsson</v>
      </c>
      <c r="M168" s="1" t="str">
        <f>VLOOKUP(Master[[#This Row],[Province_RDC]],Client[],2,FALSE)</f>
        <v>CLI-00361</v>
      </c>
      <c r="N168" s="1">
        <f>VLOOKUP(Master[[#This Row],[Province_RDC]],Client[],3,FALSE)</f>
        <v>66</v>
      </c>
      <c r="O168" s="1" t="str">
        <f>VLOOKUP(Master[[#This Row],[Province_RDC]],Client[],4,FALSE)</f>
        <v>Illimité 50Go</v>
      </c>
      <c r="P168" s="1">
        <f>VLOOKUP(Master[[#This Row],[Province_RDC]],Client[],5,FALSE)</f>
        <v>270</v>
      </c>
      <c r="Q168" s="1">
        <f>VLOOKUP(Master[[#This Row],[Province_RDC]],Client[],6,FALSE)</f>
        <v>75.88</v>
      </c>
      <c r="R168" s="1">
        <f>VLOOKUP(Master[[#This Row],[Province_RDC]],Client[],7,FALSE)</f>
        <v>3</v>
      </c>
      <c r="S168" s="1" t="str">
        <f>IF(Master[[#This Row],[Type_Forfait]]="Pro Monde","B2B","B2C")</f>
        <v>B2C</v>
      </c>
      <c r="T168" s="1">
        <f>Master[[#This Row],[Anciennete_Mois]]/12</f>
        <v>5.5</v>
      </c>
      <c r="U168" s="1">
        <f>Master[[#This Row],[Duree_Cumule_Panne_Min]]/60</f>
        <v>4.5</v>
      </c>
      <c r="V16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8" s="6">
        <f>Master[[#This Row],[Facture_Mensuelle]]*Master[[#This Row],[Remise]]</f>
        <v>34.146000000000001</v>
      </c>
    </row>
    <row r="169" spans="1:24" x14ac:dyDescent="0.25">
      <c r="A169" s="1" t="s">
        <v>1114</v>
      </c>
      <c r="B169" t="str">
        <f>IFERROR(VLOOKUP(Master[[#This Row],[Cell_ID]],Registre_Maintenance[],2,FALSE),"")</f>
        <v>Kongo-Central</v>
      </c>
      <c r="C169" s="1" t="s">
        <v>1133</v>
      </c>
      <c r="D169" s="2">
        <v>45230.303472222222</v>
      </c>
      <c r="E169" s="3">
        <v>45230.303472222222</v>
      </c>
      <c r="F169">
        <v>83</v>
      </c>
      <c r="G169">
        <f>Master[[#This Row],[Duree_Panne_Min]]/60</f>
        <v>1.3833333333333333</v>
      </c>
      <c r="H169" s="1" t="s">
        <v>737</v>
      </c>
      <c r="I169">
        <f>IFERROR(VLOOKUP(Master[[#This Row],[Cell_ID]],Registre_Maintenance[],3,FALSE),"")</f>
        <v>-9.8208710000000004</v>
      </c>
      <c r="J169">
        <f>IFERROR(VLOOKUP(Master[[#This Row],[Cell_ID]],Registre_Maintenance[],4,FALSE),"")</f>
        <v>23.229807000000001</v>
      </c>
      <c r="K169" t="str">
        <f>IFERROR(VLOOKUP(Master[[#This Row],[Cell_ID]],Registre_Maintenance[],5,FALSE),"")</f>
        <v>5G</v>
      </c>
      <c r="L169" t="str">
        <f>IFERROR(VLOOKUP(Master[[#This Row],[Cell_ID]],Registre_Maintenance[],6,FALSE),"")</f>
        <v>Nokia</v>
      </c>
      <c r="M169" s="1" t="str">
        <f>VLOOKUP(Master[[#This Row],[Province_RDC]],Client[],2,FALSE)</f>
        <v>CLI-01233</v>
      </c>
      <c r="N169" s="1">
        <f>VLOOKUP(Master[[#This Row],[Province_RDC]],Client[],3,FALSE)</f>
        <v>101</v>
      </c>
      <c r="O169" s="1" t="str">
        <f>VLOOKUP(Master[[#This Row],[Province_RDC]],Client[],4,FALSE)</f>
        <v>Pro Monde</v>
      </c>
      <c r="P169" s="1">
        <f>VLOOKUP(Master[[#This Row],[Province_RDC]],Client[],5,FALSE)</f>
        <v>333</v>
      </c>
      <c r="Q169" s="1">
        <f>VLOOKUP(Master[[#This Row],[Province_RDC]],Client[],6,FALSE)</f>
        <v>74.319999999999993</v>
      </c>
      <c r="R169" s="1">
        <f>VLOOKUP(Master[[#This Row],[Province_RDC]],Client[],7,FALSE)</f>
        <v>1</v>
      </c>
      <c r="S169" s="1" t="str">
        <f>IF(Master[[#This Row],[Type_Forfait]]="Pro Monde","B2B","B2C")</f>
        <v>B2B</v>
      </c>
      <c r="T169" s="1">
        <f>Master[[#This Row],[Anciennete_Mois]]/12</f>
        <v>8.4166666666666661</v>
      </c>
      <c r="U169" s="1">
        <f>Master[[#This Row],[Duree_Cumule_Panne_Min]]/60</f>
        <v>5.55</v>
      </c>
      <c r="V16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6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69" s="6">
        <f>Master[[#This Row],[Facture_Mensuelle]]*Master[[#This Row],[Remise]]</f>
        <v>33.443999999999996</v>
      </c>
    </row>
    <row r="170" spans="1:24" x14ac:dyDescent="0.25">
      <c r="A170" s="1" t="s">
        <v>1404</v>
      </c>
      <c r="B170" t="str">
        <f>IFERROR(VLOOKUP(Master[[#This Row],[Cell_ID]],Registre_Maintenance[],2,FALSE),"")</f>
        <v>Equateur</v>
      </c>
      <c r="C170" s="1" t="s">
        <v>1120</v>
      </c>
      <c r="D170" s="2">
        <v>45230.839583333327</v>
      </c>
      <c r="E170" s="3">
        <v>45230.839583333327</v>
      </c>
      <c r="F170">
        <v>83</v>
      </c>
      <c r="G170">
        <f>Master[[#This Row],[Duree_Panne_Min]]/60</f>
        <v>1.3833333333333333</v>
      </c>
      <c r="H170" s="1" t="s">
        <v>737</v>
      </c>
      <c r="I170">
        <f>IFERROR(VLOOKUP(Master[[#This Row],[Cell_ID]],Registre_Maintenance[],3,FALSE),"")</f>
        <v>-0.79459900000000006</v>
      </c>
      <c r="J170">
        <f>IFERROR(VLOOKUP(Master[[#This Row],[Cell_ID]],Registre_Maintenance[],4,FALSE),"")</f>
        <v>26.775570999999999</v>
      </c>
      <c r="K170" t="str">
        <f>IFERROR(VLOOKUP(Master[[#This Row],[Cell_ID]],Registre_Maintenance[],5,FALSE),"")</f>
        <v>5G</v>
      </c>
      <c r="L170" t="str">
        <f>IFERROR(VLOOKUP(Master[[#This Row],[Cell_ID]],Registre_Maintenance[],6,FALSE),"")</f>
        <v>Huawei</v>
      </c>
      <c r="M170" s="1" t="str">
        <f>VLOOKUP(Master[[#This Row],[Province_RDC]],Client[],2,FALSE)</f>
        <v>CLI-00643</v>
      </c>
      <c r="N170" s="1">
        <f>VLOOKUP(Master[[#This Row],[Province_RDC]],Client[],3,FALSE)</f>
        <v>14</v>
      </c>
      <c r="O170" s="1" t="str">
        <f>VLOOKUP(Master[[#This Row],[Province_RDC]],Client[],4,FALSE)</f>
        <v>Pro Monde</v>
      </c>
      <c r="P170" s="1">
        <f>VLOOKUP(Master[[#This Row],[Province_RDC]],Client[],5,FALSE)</f>
        <v>316</v>
      </c>
      <c r="Q170" s="1">
        <f>VLOOKUP(Master[[#This Row],[Province_RDC]],Client[],6,FALSE)</f>
        <v>62.34</v>
      </c>
      <c r="R170" s="1">
        <f>VLOOKUP(Master[[#This Row],[Province_RDC]],Client[],7,FALSE)</f>
        <v>4</v>
      </c>
      <c r="S170" s="1" t="str">
        <f>IF(Master[[#This Row],[Type_Forfait]]="Pro Monde","B2B","B2C")</f>
        <v>B2B</v>
      </c>
      <c r="T170" s="1">
        <f>Master[[#This Row],[Anciennete_Mois]]/12</f>
        <v>1.1666666666666667</v>
      </c>
      <c r="U170" s="1">
        <f>Master[[#This Row],[Duree_Cumule_Panne_Min]]/60</f>
        <v>5.2666666666666666</v>
      </c>
      <c r="V17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0" s="6">
        <f>Master[[#This Row],[Facture_Mensuelle]]*Master[[#This Row],[Remise]]</f>
        <v>28.053000000000001</v>
      </c>
    </row>
    <row r="171" spans="1:24" x14ac:dyDescent="0.25">
      <c r="A171" s="1" t="s">
        <v>1382</v>
      </c>
      <c r="B171" t="str">
        <f>IFERROR(VLOOKUP(Master[[#This Row],[Cell_ID]],Registre_Maintenance[],2,FALSE),"")</f>
        <v>Nord-Kivu</v>
      </c>
      <c r="C171" s="1" t="s">
        <v>900</v>
      </c>
      <c r="D171" s="2">
        <v>45201.877083333333</v>
      </c>
      <c r="E171" s="3">
        <v>45201.877083333333</v>
      </c>
      <c r="F171">
        <v>82</v>
      </c>
      <c r="G171">
        <f>Master[[#This Row],[Duree_Panne_Min]]/60</f>
        <v>1.3666666666666667</v>
      </c>
      <c r="H171" s="1" t="s">
        <v>737</v>
      </c>
      <c r="I171">
        <f>IFERROR(VLOOKUP(Master[[#This Row],[Cell_ID]],Registre_Maintenance[],3,FALSE),"")</f>
        <v>-12.336202</v>
      </c>
      <c r="J171">
        <f>IFERROR(VLOOKUP(Master[[#This Row],[Cell_ID]],Registre_Maintenance[],4,FALSE),"")</f>
        <v>13.693683999999999</v>
      </c>
      <c r="K171" t="str">
        <f>IFERROR(VLOOKUP(Master[[#This Row],[Cell_ID]],Registre_Maintenance[],5,FALSE),"")</f>
        <v>5G</v>
      </c>
      <c r="L171" t="str">
        <f>IFERROR(VLOOKUP(Master[[#This Row],[Cell_ID]],Registre_Maintenance[],6,FALSE),"")</f>
        <v>Huawei</v>
      </c>
      <c r="M171" s="1" t="str">
        <f>VLOOKUP(Master[[#This Row],[Province_RDC]],Client[],2,FALSE)</f>
        <v>CLI-00837</v>
      </c>
      <c r="N171" s="1">
        <f>VLOOKUP(Master[[#This Row],[Province_RDC]],Client[],3,FALSE)</f>
        <v>16</v>
      </c>
      <c r="O171" s="1" t="str">
        <f>VLOOKUP(Master[[#This Row],[Province_RDC]],Client[],4,FALSE)</f>
        <v>Bloqué 5Go</v>
      </c>
      <c r="P171" s="1">
        <f>VLOOKUP(Master[[#This Row],[Province_RDC]],Client[],5,FALSE)</f>
        <v>390</v>
      </c>
      <c r="Q171" s="1">
        <f>VLOOKUP(Master[[#This Row],[Province_RDC]],Client[],6,FALSE)</f>
        <v>98.17</v>
      </c>
      <c r="R171" s="1">
        <f>VLOOKUP(Master[[#This Row],[Province_RDC]],Client[],7,FALSE)</f>
        <v>5</v>
      </c>
      <c r="S171" s="1" t="str">
        <f>IF(Master[[#This Row],[Type_Forfait]]="Pro Monde","B2B","B2C")</f>
        <v>B2C</v>
      </c>
      <c r="T171" s="1">
        <f>Master[[#This Row],[Anciennete_Mois]]/12</f>
        <v>1.3333333333333333</v>
      </c>
      <c r="U171" s="1">
        <f>Master[[#This Row],[Duree_Cumule_Panne_Min]]/60</f>
        <v>6.5</v>
      </c>
      <c r="V17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1" s="6">
        <f>Master[[#This Row],[Facture_Mensuelle]]*Master[[#This Row],[Remise]]</f>
        <v>44.176500000000004</v>
      </c>
    </row>
    <row r="172" spans="1:24" x14ac:dyDescent="0.25">
      <c r="A172" s="1" t="s">
        <v>1059</v>
      </c>
      <c r="B172" t="str">
        <f>IFERROR(VLOOKUP(Master[[#This Row],[Cell_ID]],Registre_Maintenance[],2,FALSE),"")</f>
        <v>Ituri</v>
      </c>
      <c r="C172" s="1" t="s">
        <v>1005</v>
      </c>
      <c r="D172" s="2">
        <v>45218.991666666669</v>
      </c>
      <c r="E172" s="3">
        <v>45218.991666666669</v>
      </c>
      <c r="F172">
        <v>82</v>
      </c>
      <c r="G172">
        <f>Master[[#This Row],[Duree_Panne_Min]]/60</f>
        <v>1.3666666666666667</v>
      </c>
      <c r="H172" s="1" t="s">
        <v>732</v>
      </c>
      <c r="I172">
        <f>IFERROR(VLOOKUP(Master[[#This Row],[Cell_ID]],Registre_Maintenance[],3,FALSE),"")</f>
        <v>-3.7720639999999999</v>
      </c>
      <c r="J172">
        <f>IFERROR(VLOOKUP(Master[[#This Row],[Cell_ID]],Registre_Maintenance[],4,FALSE),"")</f>
        <v>16.006277999999998</v>
      </c>
      <c r="K172" t="str">
        <f>IFERROR(VLOOKUP(Master[[#This Row],[Cell_ID]],Registre_Maintenance[],5,FALSE),"")</f>
        <v>5G</v>
      </c>
      <c r="L172" t="str">
        <f>IFERROR(VLOOKUP(Master[[#This Row],[Cell_ID]],Registre_Maintenance[],6,FALSE),"")</f>
        <v>ZTE</v>
      </c>
      <c r="M172" s="1" t="str">
        <f>VLOOKUP(Master[[#This Row],[Province_RDC]],Client[],2,FALSE)</f>
        <v>CLI-00041</v>
      </c>
      <c r="N172" s="1">
        <f>VLOOKUP(Master[[#This Row],[Province_RDC]],Client[],3,FALSE)</f>
        <v>103</v>
      </c>
      <c r="O172" s="1" t="str">
        <f>VLOOKUP(Master[[#This Row],[Province_RDC]],Client[],4,FALSE)</f>
        <v>Pro Monde</v>
      </c>
      <c r="P172" s="1">
        <f>VLOOKUP(Master[[#This Row],[Province_RDC]],Client[],5,FALSE)</f>
        <v>105</v>
      </c>
      <c r="Q172" s="1">
        <f>VLOOKUP(Master[[#This Row],[Province_RDC]],Client[],6,FALSE)</f>
        <v>61.52</v>
      </c>
      <c r="R172" s="1">
        <f>VLOOKUP(Master[[#This Row],[Province_RDC]],Client[],7,FALSE)</f>
        <v>3</v>
      </c>
      <c r="S172" s="1" t="str">
        <f>IF(Master[[#This Row],[Type_Forfait]]="Pro Monde","B2B","B2C")</f>
        <v>B2B</v>
      </c>
      <c r="T172" s="1">
        <f>Master[[#This Row],[Anciennete_Mois]]/12</f>
        <v>8.5833333333333339</v>
      </c>
      <c r="U172" s="1">
        <f>Master[[#This Row],[Duree_Cumule_Panne_Min]]/60</f>
        <v>1.75</v>
      </c>
      <c r="V17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7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72" s="6">
        <f>Master[[#This Row],[Facture_Mensuelle]]*Master[[#This Row],[Remise]]</f>
        <v>6.152000000000001</v>
      </c>
    </row>
    <row r="173" spans="1:24" x14ac:dyDescent="0.25">
      <c r="A173" s="1" t="s">
        <v>779</v>
      </c>
      <c r="B173" t="str">
        <f>IFERROR(VLOOKUP(Master[[#This Row],[Cell_ID]],Registre_Maintenance[],2,FALSE),"")</f>
        <v>Bas-Uele</v>
      </c>
      <c r="C173" s="1" t="s">
        <v>817</v>
      </c>
      <c r="D173" s="2">
        <v>45222.427083333343</v>
      </c>
      <c r="E173" s="3">
        <v>45222.427083333343</v>
      </c>
      <c r="F173">
        <v>82</v>
      </c>
      <c r="G173">
        <f>Master[[#This Row],[Duree_Panne_Min]]/60</f>
        <v>1.3666666666666667</v>
      </c>
      <c r="H173" s="1" t="s">
        <v>732</v>
      </c>
      <c r="I173">
        <f>IFERROR(VLOOKUP(Master[[#This Row],[Cell_ID]],Registre_Maintenance[],3,FALSE),"")</f>
        <v>-4.4697000000000001E-2</v>
      </c>
      <c r="J173">
        <f>IFERROR(VLOOKUP(Master[[#This Row],[Cell_ID]],Registre_Maintenance[],4,FALSE),"")</f>
        <v>22.943373000000001</v>
      </c>
      <c r="K173" t="str">
        <f>IFERROR(VLOOKUP(Master[[#This Row],[Cell_ID]],Registre_Maintenance[],5,FALSE),"")</f>
        <v>3G</v>
      </c>
      <c r="L173" t="str">
        <f>IFERROR(VLOOKUP(Master[[#This Row],[Cell_ID]],Registre_Maintenance[],6,FALSE),"")</f>
        <v>Huawei</v>
      </c>
      <c r="M173" s="1" t="str">
        <f>VLOOKUP(Master[[#This Row],[Province_RDC]],Client[],2,FALSE)</f>
        <v>CLI-01128</v>
      </c>
      <c r="N173" s="1">
        <f>VLOOKUP(Master[[#This Row],[Province_RDC]],Client[],3,FALSE)</f>
        <v>112</v>
      </c>
      <c r="O173" s="1" t="str">
        <f>VLOOKUP(Master[[#This Row],[Province_RDC]],Client[],4,FALSE)</f>
        <v>Premium 5G 150Go</v>
      </c>
      <c r="P173" s="1">
        <f>VLOOKUP(Master[[#This Row],[Province_RDC]],Client[],5,FALSE)</f>
        <v>460</v>
      </c>
      <c r="Q173" s="1">
        <f>VLOOKUP(Master[[#This Row],[Province_RDC]],Client[],6,FALSE)</f>
        <v>55.47</v>
      </c>
      <c r="R173" s="1">
        <f>VLOOKUP(Master[[#This Row],[Province_RDC]],Client[],7,FALSE)</f>
        <v>4</v>
      </c>
      <c r="S173" s="1" t="str">
        <f>IF(Master[[#This Row],[Type_Forfait]]="Pro Monde","B2B","B2C")</f>
        <v>B2C</v>
      </c>
      <c r="T173" s="1">
        <f>Master[[#This Row],[Anciennete_Mois]]/12</f>
        <v>9.3333333333333339</v>
      </c>
      <c r="U173" s="1">
        <f>Master[[#This Row],[Duree_Cumule_Panne_Min]]/60</f>
        <v>7.666666666666667</v>
      </c>
      <c r="V17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3" s="6">
        <f>Master[[#This Row],[Facture_Mensuelle]]*Master[[#This Row],[Remise]]</f>
        <v>24.961500000000001</v>
      </c>
    </row>
    <row r="174" spans="1:24" x14ac:dyDescent="0.25">
      <c r="A174" s="1" t="s">
        <v>1308</v>
      </c>
      <c r="B174" t="str">
        <f>IFERROR(VLOOKUP(Master[[#This Row],[Cell_ID]],Registre_Maintenance[],2,FALSE),"")</f>
        <v>Tshuapa</v>
      </c>
      <c r="C174" s="1" t="s">
        <v>1313</v>
      </c>
      <c r="D174" s="2">
        <v>45229.631249999999</v>
      </c>
      <c r="E174" s="3">
        <v>45229.631249999999</v>
      </c>
      <c r="F174">
        <v>81</v>
      </c>
      <c r="G174">
        <f>Master[[#This Row],[Duree_Panne_Min]]/60</f>
        <v>1.35</v>
      </c>
      <c r="H174" s="1" t="s">
        <v>732</v>
      </c>
      <c r="I174">
        <f>IFERROR(VLOOKUP(Master[[#This Row],[Cell_ID]],Registre_Maintenance[],3,FALSE),"")</f>
        <v>-10.574821</v>
      </c>
      <c r="J174">
        <f>IFERROR(VLOOKUP(Master[[#This Row],[Cell_ID]],Registre_Maintenance[],4,FALSE),"")</f>
        <v>25.324966</v>
      </c>
      <c r="K174" t="str">
        <f>IFERROR(VLOOKUP(Master[[#This Row],[Cell_ID]],Registre_Maintenance[],5,FALSE),"")</f>
        <v>5G</v>
      </c>
      <c r="L174" t="str">
        <f>IFERROR(VLOOKUP(Master[[#This Row],[Cell_ID]],Registre_Maintenance[],6,FALSE),"")</f>
        <v>Ericsson</v>
      </c>
      <c r="M174" s="1" t="str">
        <f>VLOOKUP(Master[[#This Row],[Province_RDC]],Client[],2,FALSE)</f>
        <v>CLI-00894</v>
      </c>
      <c r="N174" s="1">
        <f>VLOOKUP(Master[[#This Row],[Province_RDC]],Client[],3,FALSE)</f>
        <v>63</v>
      </c>
      <c r="O174" s="1" t="str">
        <f>VLOOKUP(Master[[#This Row],[Province_RDC]],Client[],4,FALSE)</f>
        <v>Pro Monde</v>
      </c>
      <c r="P174" s="1">
        <f>VLOOKUP(Master[[#This Row],[Province_RDC]],Client[],5,FALSE)</f>
        <v>205</v>
      </c>
      <c r="Q174" s="1">
        <f>VLOOKUP(Master[[#This Row],[Province_RDC]],Client[],6,FALSE)</f>
        <v>89.19</v>
      </c>
      <c r="R174" s="1">
        <f>VLOOKUP(Master[[#This Row],[Province_RDC]],Client[],7,FALSE)</f>
        <v>0</v>
      </c>
      <c r="S174" s="1" t="str">
        <f>IF(Master[[#This Row],[Type_Forfait]]="Pro Monde","B2B","B2C")</f>
        <v>B2B</v>
      </c>
      <c r="T174" s="1">
        <f>Master[[#This Row],[Anciennete_Mois]]/12</f>
        <v>5.25</v>
      </c>
      <c r="U174" s="1">
        <f>Master[[#This Row],[Duree_Cumule_Panne_Min]]/60</f>
        <v>3.4166666666666665</v>
      </c>
      <c r="V17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7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74" s="6">
        <f>Master[[#This Row],[Facture_Mensuelle]]*Master[[#This Row],[Remise]]</f>
        <v>8.9190000000000005</v>
      </c>
    </row>
    <row r="175" spans="1:24" x14ac:dyDescent="0.25">
      <c r="A175" s="1" t="s">
        <v>1288</v>
      </c>
      <c r="B175" t="str">
        <f>IFERROR(VLOOKUP(Master[[#This Row],[Cell_ID]],Registre_Maintenance[],2,FALSE),"")</f>
        <v>Nord-Ubangi</v>
      </c>
      <c r="C175" s="1" t="s">
        <v>1201</v>
      </c>
      <c r="D175" s="2">
        <v>45226.209027777782</v>
      </c>
      <c r="E175" s="3">
        <v>45226.209027777782</v>
      </c>
      <c r="F175">
        <v>81</v>
      </c>
      <c r="G175">
        <f>Master[[#This Row],[Duree_Panne_Min]]/60</f>
        <v>1.35</v>
      </c>
      <c r="H175" s="1" t="s">
        <v>737</v>
      </c>
      <c r="I175">
        <f>IFERROR(VLOOKUP(Master[[#This Row],[Cell_ID]],Registre_Maintenance[],3,FALSE),"")</f>
        <v>-8.4985189999999999</v>
      </c>
      <c r="J175">
        <f>IFERROR(VLOOKUP(Master[[#This Row],[Cell_ID]],Registre_Maintenance[],4,FALSE),"")</f>
        <v>12.929456999999999</v>
      </c>
      <c r="K175" t="str">
        <f>IFERROR(VLOOKUP(Master[[#This Row],[Cell_ID]],Registre_Maintenance[],5,FALSE),"")</f>
        <v>4G</v>
      </c>
      <c r="L175" t="str">
        <f>IFERROR(VLOOKUP(Master[[#This Row],[Cell_ID]],Registre_Maintenance[],6,FALSE),"")</f>
        <v>Ericsson</v>
      </c>
      <c r="M175" s="1" t="str">
        <f>VLOOKUP(Master[[#This Row],[Province_RDC]],Client[],2,FALSE)</f>
        <v>CLI-01170</v>
      </c>
      <c r="N175" s="1">
        <f>VLOOKUP(Master[[#This Row],[Province_RDC]],Client[],3,FALSE)</f>
        <v>98</v>
      </c>
      <c r="O175" s="1" t="str">
        <f>VLOOKUP(Master[[#This Row],[Province_RDC]],Client[],4,FALSE)</f>
        <v>Pro Monde</v>
      </c>
      <c r="P175" s="1">
        <f>VLOOKUP(Master[[#This Row],[Province_RDC]],Client[],5,FALSE)</f>
        <v>482</v>
      </c>
      <c r="Q175" s="1">
        <f>VLOOKUP(Master[[#This Row],[Province_RDC]],Client[],6,FALSE)</f>
        <v>55.04</v>
      </c>
      <c r="R175" s="1">
        <f>VLOOKUP(Master[[#This Row],[Province_RDC]],Client[],7,FALSE)</f>
        <v>5</v>
      </c>
      <c r="S175" s="1" t="str">
        <f>IF(Master[[#This Row],[Type_Forfait]]="Pro Monde","B2B","B2C")</f>
        <v>B2B</v>
      </c>
      <c r="T175" s="1">
        <f>Master[[#This Row],[Anciennete_Mois]]/12</f>
        <v>8.1666666666666661</v>
      </c>
      <c r="U175" s="1">
        <f>Master[[#This Row],[Duree_Cumule_Panne_Min]]/60</f>
        <v>8.0333333333333332</v>
      </c>
      <c r="V17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5" s="6">
        <f>Master[[#This Row],[Facture_Mensuelle]]*Master[[#This Row],[Remise]]</f>
        <v>24.768000000000001</v>
      </c>
    </row>
    <row r="176" spans="1:24" x14ac:dyDescent="0.25">
      <c r="A176" s="1" t="s">
        <v>1345</v>
      </c>
      <c r="B176" t="str">
        <f>IFERROR(VLOOKUP(Master[[#This Row],[Cell_ID]],Registre_Maintenance[],2,FALSE),"")</f>
        <v>Kongo-Central</v>
      </c>
      <c r="C176" s="1" t="s">
        <v>739</v>
      </c>
      <c r="D176" s="2">
        <v>45218.381944444453</v>
      </c>
      <c r="E176" s="3">
        <v>45218.381944444453</v>
      </c>
      <c r="F176">
        <v>81</v>
      </c>
      <c r="G176">
        <f>Master[[#This Row],[Duree_Panne_Min]]/60</f>
        <v>1.35</v>
      </c>
      <c r="H176" s="1" t="s">
        <v>735</v>
      </c>
      <c r="I176">
        <f>IFERROR(VLOOKUP(Master[[#This Row],[Cell_ID]],Registre_Maintenance[],3,FALSE),"")</f>
        <v>-2.8211520000000001</v>
      </c>
      <c r="J176">
        <f>IFERROR(VLOOKUP(Master[[#This Row],[Cell_ID]],Registre_Maintenance[],4,FALSE),"")</f>
        <v>20.651419000000001</v>
      </c>
      <c r="K176" t="str">
        <f>IFERROR(VLOOKUP(Master[[#This Row],[Cell_ID]],Registre_Maintenance[],5,FALSE),"")</f>
        <v>5G</v>
      </c>
      <c r="L176" t="str">
        <f>IFERROR(VLOOKUP(Master[[#This Row],[Cell_ID]],Registre_Maintenance[],6,FALSE),"")</f>
        <v>Ericsson</v>
      </c>
      <c r="M176" s="1" t="str">
        <f>VLOOKUP(Master[[#This Row],[Province_RDC]],Client[],2,FALSE)</f>
        <v>CLI-01233</v>
      </c>
      <c r="N176" s="1">
        <f>VLOOKUP(Master[[#This Row],[Province_RDC]],Client[],3,FALSE)</f>
        <v>101</v>
      </c>
      <c r="O176" s="1" t="str">
        <f>VLOOKUP(Master[[#This Row],[Province_RDC]],Client[],4,FALSE)</f>
        <v>Pro Monde</v>
      </c>
      <c r="P176" s="1">
        <f>VLOOKUP(Master[[#This Row],[Province_RDC]],Client[],5,FALSE)</f>
        <v>333</v>
      </c>
      <c r="Q176" s="1">
        <f>VLOOKUP(Master[[#This Row],[Province_RDC]],Client[],6,FALSE)</f>
        <v>74.319999999999993</v>
      </c>
      <c r="R176" s="1">
        <f>VLOOKUP(Master[[#This Row],[Province_RDC]],Client[],7,FALSE)</f>
        <v>1</v>
      </c>
      <c r="S176" s="1" t="str">
        <f>IF(Master[[#This Row],[Type_Forfait]]="Pro Monde","B2B","B2C")</f>
        <v>B2B</v>
      </c>
      <c r="T176" s="1">
        <f>Master[[#This Row],[Anciennete_Mois]]/12</f>
        <v>8.4166666666666661</v>
      </c>
      <c r="U176" s="1">
        <f>Master[[#This Row],[Duree_Cumule_Panne_Min]]/60</f>
        <v>5.55</v>
      </c>
      <c r="V17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6" s="6">
        <f>Master[[#This Row],[Facture_Mensuelle]]*Master[[#This Row],[Remise]]</f>
        <v>33.443999999999996</v>
      </c>
    </row>
    <row r="177" spans="1:24" x14ac:dyDescent="0.25">
      <c r="A177" s="1" t="s">
        <v>1241</v>
      </c>
      <c r="B177" t="str">
        <f>IFERROR(VLOOKUP(Master[[#This Row],[Cell_ID]],Registre_Maintenance[],2,FALSE),"")</f>
        <v>Bas-Uele</v>
      </c>
      <c r="C177" s="1" t="s">
        <v>1260</v>
      </c>
      <c r="D177" s="2">
        <v>45224.195138888892</v>
      </c>
      <c r="E177" s="3">
        <v>45224.195138888892</v>
      </c>
      <c r="F177">
        <v>81</v>
      </c>
      <c r="G177">
        <f>Master[[#This Row],[Duree_Panne_Min]]/60</f>
        <v>1.35</v>
      </c>
      <c r="H177" s="1" t="s">
        <v>735</v>
      </c>
      <c r="I177">
        <f>IFERROR(VLOOKUP(Master[[#This Row],[Cell_ID]],Registre_Maintenance[],3,FALSE),"")</f>
        <v>-1.500685</v>
      </c>
      <c r="J177">
        <f>IFERROR(VLOOKUP(Master[[#This Row],[Cell_ID]],Registre_Maintenance[],4,FALSE),"")</f>
        <v>26.563376000000002</v>
      </c>
      <c r="K177" t="str">
        <f>IFERROR(VLOOKUP(Master[[#This Row],[Cell_ID]],Registre_Maintenance[],5,FALSE),"")</f>
        <v>5G</v>
      </c>
      <c r="L177" t="str">
        <f>IFERROR(VLOOKUP(Master[[#This Row],[Cell_ID]],Registre_Maintenance[],6,FALSE),"")</f>
        <v>Nokia</v>
      </c>
      <c r="M177" s="1" t="str">
        <f>VLOOKUP(Master[[#This Row],[Province_RDC]],Client[],2,FALSE)</f>
        <v>CLI-01128</v>
      </c>
      <c r="N177" s="1">
        <f>VLOOKUP(Master[[#This Row],[Province_RDC]],Client[],3,FALSE)</f>
        <v>112</v>
      </c>
      <c r="O177" s="1" t="str">
        <f>VLOOKUP(Master[[#This Row],[Province_RDC]],Client[],4,FALSE)</f>
        <v>Premium 5G 150Go</v>
      </c>
      <c r="P177" s="1">
        <f>VLOOKUP(Master[[#This Row],[Province_RDC]],Client[],5,FALSE)</f>
        <v>460</v>
      </c>
      <c r="Q177" s="1">
        <f>VLOOKUP(Master[[#This Row],[Province_RDC]],Client[],6,FALSE)</f>
        <v>55.47</v>
      </c>
      <c r="R177" s="1">
        <f>VLOOKUP(Master[[#This Row],[Province_RDC]],Client[],7,FALSE)</f>
        <v>4</v>
      </c>
      <c r="S177" s="1" t="str">
        <f>IF(Master[[#This Row],[Type_Forfait]]="Pro Monde","B2B","B2C")</f>
        <v>B2C</v>
      </c>
      <c r="T177" s="1">
        <f>Master[[#This Row],[Anciennete_Mois]]/12</f>
        <v>9.3333333333333339</v>
      </c>
      <c r="U177" s="1">
        <f>Master[[#This Row],[Duree_Cumule_Panne_Min]]/60</f>
        <v>7.666666666666667</v>
      </c>
      <c r="V17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7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77" s="6">
        <f>Master[[#This Row],[Facture_Mensuelle]]*Master[[#This Row],[Remise]]</f>
        <v>24.961500000000001</v>
      </c>
    </row>
    <row r="178" spans="1:24" x14ac:dyDescent="0.25">
      <c r="A178" s="1" t="s">
        <v>1261</v>
      </c>
      <c r="B178" t="str">
        <f>IFERROR(VLOOKUP(Master[[#This Row],[Cell_ID]],Registre_Maintenance[],2,FALSE),"")</f>
        <v>Tshuapa</v>
      </c>
      <c r="C178" s="1" t="s">
        <v>862</v>
      </c>
      <c r="D178" s="2">
        <v>45216.701388888891</v>
      </c>
      <c r="E178" s="3">
        <v>45216.701388888891</v>
      </c>
      <c r="F178">
        <v>80</v>
      </c>
      <c r="G178">
        <f>Master[[#This Row],[Duree_Panne_Min]]/60</f>
        <v>1.3333333333333333</v>
      </c>
      <c r="H178" s="1" t="s">
        <v>732</v>
      </c>
      <c r="I178">
        <f>IFERROR(VLOOKUP(Master[[#This Row],[Cell_ID]],Registre_Maintenance[],3,FALSE),"")</f>
        <v>-11.622688999999999</v>
      </c>
      <c r="J178">
        <f>IFERROR(VLOOKUP(Master[[#This Row],[Cell_ID]],Registre_Maintenance[],4,FALSE),"")</f>
        <v>18.483874</v>
      </c>
      <c r="K178" t="str">
        <f>IFERROR(VLOOKUP(Master[[#This Row],[Cell_ID]],Registre_Maintenance[],5,FALSE),"")</f>
        <v>5G</v>
      </c>
      <c r="L178" t="str">
        <f>IFERROR(VLOOKUP(Master[[#This Row],[Cell_ID]],Registre_Maintenance[],6,FALSE),"")</f>
        <v>ZTE</v>
      </c>
      <c r="M178" s="1" t="str">
        <f>VLOOKUP(Master[[#This Row],[Province_RDC]],Client[],2,FALSE)</f>
        <v>CLI-00894</v>
      </c>
      <c r="N178" s="1">
        <f>VLOOKUP(Master[[#This Row],[Province_RDC]],Client[],3,FALSE)</f>
        <v>63</v>
      </c>
      <c r="O178" s="1" t="str">
        <f>VLOOKUP(Master[[#This Row],[Province_RDC]],Client[],4,FALSE)</f>
        <v>Pro Monde</v>
      </c>
      <c r="P178" s="1">
        <f>VLOOKUP(Master[[#This Row],[Province_RDC]],Client[],5,FALSE)</f>
        <v>205</v>
      </c>
      <c r="Q178" s="1">
        <f>VLOOKUP(Master[[#This Row],[Province_RDC]],Client[],6,FALSE)</f>
        <v>89.19</v>
      </c>
      <c r="R178" s="1">
        <f>VLOOKUP(Master[[#This Row],[Province_RDC]],Client[],7,FALSE)</f>
        <v>0</v>
      </c>
      <c r="S178" s="1" t="str">
        <f>IF(Master[[#This Row],[Type_Forfait]]="Pro Monde","B2B","B2C")</f>
        <v>B2B</v>
      </c>
      <c r="T178" s="1">
        <f>Master[[#This Row],[Anciennete_Mois]]/12</f>
        <v>5.25</v>
      </c>
      <c r="U178" s="1">
        <f>Master[[#This Row],[Duree_Cumule_Panne_Min]]/60</f>
        <v>3.4166666666666665</v>
      </c>
      <c r="V17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7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78" s="6">
        <f>Master[[#This Row],[Facture_Mensuelle]]*Master[[#This Row],[Remise]]</f>
        <v>8.9190000000000005</v>
      </c>
    </row>
    <row r="179" spans="1:24" x14ac:dyDescent="0.25">
      <c r="A179" s="1" t="s">
        <v>1114</v>
      </c>
      <c r="B179" t="str">
        <f>IFERROR(VLOOKUP(Master[[#This Row],[Cell_ID]],Registre_Maintenance[],2,FALSE),"")</f>
        <v>Kwilu</v>
      </c>
      <c r="C179" s="1" t="s">
        <v>1135</v>
      </c>
      <c r="D179" s="2">
        <v>45230.40902777778</v>
      </c>
      <c r="E179" s="3">
        <v>45230.40902777778</v>
      </c>
      <c r="F179">
        <v>80</v>
      </c>
      <c r="G179">
        <f>Master[[#This Row],[Duree_Panne_Min]]/60</f>
        <v>1.3333333333333333</v>
      </c>
      <c r="H179" s="1" t="s">
        <v>735</v>
      </c>
      <c r="I179">
        <f>IFERROR(VLOOKUP(Master[[#This Row],[Cell_ID]],Registre_Maintenance[],3,FALSE),"")</f>
        <v>0.62055499999999997</v>
      </c>
      <c r="J179">
        <f>IFERROR(VLOOKUP(Master[[#This Row],[Cell_ID]],Registre_Maintenance[],4,FALSE),"")</f>
        <v>21.222035000000002</v>
      </c>
      <c r="K179" t="str">
        <f>IFERROR(VLOOKUP(Master[[#This Row],[Cell_ID]],Registre_Maintenance[],5,FALSE),"")</f>
        <v>5G</v>
      </c>
      <c r="L179" t="str">
        <f>IFERROR(VLOOKUP(Master[[#This Row],[Cell_ID]],Registre_Maintenance[],6,FALSE),"")</f>
        <v>Nokia</v>
      </c>
      <c r="M179" s="1" t="str">
        <f>VLOOKUP(Master[[#This Row],[Province_RDC]],Client[],2,FALSE)</f>
        <v>CLI-00996</v>
      </c>
      <c r="N179" s="1">
        <f>VLOOKUP(Master[[#This Row],[Province_RDC]],Client[],3,FALSE)</f>
        <v>119</v>
      </c>
      <c r="O179" s="1" t="str">
        <f>VLOOKUP(Master[[#This Row],[Province_RDC]],Client[],4,FALSE)</f>
        <v>Illimité 50Go</v>
      </c>
      <c r="P179" s="1">
        <f>VLOOKUP(Master[[#This Row],[Province_RDC]],Client[],5,FALSE)</f>
        <v>228</v>
      </c>
      <c r="Q179" s="1">
        <f>VLOOKUP(Master[[#This Row],[Province_RDC]],Client[],6,FALSE)</f>
        <v>94.72</v>
      </c>
      <c r="R179" s="1">
        <f>VLOOKUP(Master[[#This Row],[Province_RDC]],Client[],7,FALSE)</f>
        <v>3</v>
      </c>
      <c r="S179" s="1" t="str">
        <f>IF(Master[[#This Row],[Type_Forfait]]="Pro Monde","B2B","B2C")</f>
        <v>B2C</v>
      </c>
      <c r="T179" s="1">
        <f>Master[[#This Row],[Anciennete_Mois]]/12</f>
        <v>9.9166666666666661</v>
      </c>
      <c r="U179" s="1">
        <f>Master[[#This Row],[Duree_Cumule_Panne_Min]]/60</f>
        <v>3.8</v>
      </c>
      <c r="V17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7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79" s="6">
        <f>Master[[#This Row],[Facture_Mensuelle]]*Master[[#This Row],[Remise]]</f>
        <v>0</v>
      </c>
    </row>
    <row r="180" spans="1:24" x14ac:dyDescent="0.25">
      <c r="A180" s="1" t="s">
        <v>1382</v>
      </c>
      <c r="B180" t="str">
        <f>IFERROR(VLOOKUP(Master[[#This Row],[Cell_ID]],Registre_Maintenance[],2,FALSE),"")</f>
        <v>Haut-Uele</v>
      </c>
      <c r="C180" s="1" t="s">
        <v>881</v>
      </c>
      <c r="D180" s="2">
        <v>45228.57708333333</v>
      </c>
      <c r="E180" s="3">
        <v>45228.57708333333</v>
      </c>
      <c r="F180">
        <v>80</v>
      </c>
      <c r="G180">
        <f>Master[[#This Row],[Duree_Panne_Min]]/60</f>
        <v>1.3333333333333333</v>
      </c>
      <c r="H180" s="1" t="s">
        <v>737</v>
      </c>
      <c r="I180">
        <f>IFERROR(VLOOKUP(Master[[#This Row],[Cell_ID]],Registre_Maintenance[],3,FALSE),"")</f>
        <v>-1.8045979999999999</v>
      </c>
      <c r="J180">
        <f>IFERROR(VLOOKUP(Master[[#This Row],[Cell_ID]],Registre_Maintenance[],4,FALSE),"")</f>
        <v>12.511096999999999</v>
      </c>
      <c r="K180" t="str">
        <f>IFERROR(VLOOKUP(Master[[#This Row],[Cell_ID]],Registre_Maintenance[],5,FALSE),"")</f>
        <v>3G</v>
      </c>
      <c r="L180" t="str">
        <f>IFERROR(VLOOKUP(Master[[#This Row],[Cell_ID]],Registre_Maintenance[],6,FALSE),"")</f>
        <v>Huawei</v>
      </c>
      <c r="M180" s="1" t="str">
        <f>VLOOKUP(Master[[#This Row],[Province_RDC]],Client[],2,FALSE)</f>
        <v>CLI-00439</v>
      </c>
      <c r="N180" s="1">
        <f>VLOOKUP(Master[[#This Row],[Province_RDC]],Client[],3,FALSE)</f>
        <v>40</v>
      </c>
      <c r="O180" s="1" t="str">
        <f>VLOOKUP(Master[[#This Row],[Province_RDC]],Client[],4,FALSE)</f>
        <v>Premium 5G 150Go</v>
      </c>
      <c r="P180" s="1">
        <f>VLOOKUP(Master[[#This Row],[Province_RDC]],Client[],5,FALSE)</f>
        <v>345</v>
      </c>
      <c r="Q180" s="1">
        <f>VLOOKUP(Master[[#This Row],[Province_RDC]],Client[],6,FALSE)</f>
        <v>89.55</v>
      </c>
      <c r="R180" s="1">
        <f>VLOOKUP(Master[[#This Row],[Province_RDC]],Client[],7,FALSE)</f>
        <v>3</v>
      </c>
      <c r="S180" s="1" t="str">
        <f>IF(Master[[#This Row],[Type_Forfait]]="Pro Monde","B2B","B2C")</f>
        <v>B2C</v>
      </c>
      <c r="T180" s="1">
        <f>Master[[#This Row],[Anciennete_Mois]]/12</f>
        <v>3.3333333333333335</v>
      </c>
      <c r="U180" s="1">
        <f>Master[[#This Row],[Duree_Cumule_Panne_Min]]/60</f>
        <v>5.75</v>
      </c>
      <c r="V18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0" s="6">
        <f>Master[[#This Row],[Facture_Mensuelle]]*Master[[#This Row],[Remise]]</f>
        <v>40.297499999999999</v>
      </c>
    </row>
    <row r="181" spans="1:24" x14ac:dyDescent="0.25">
      <c r="A181" s="1" t="s">
        <v>1345</v>
      </c>
      <c r="B181" t="str">
        <f>IFERROR(VLOOKUP(Master[[#This Row],[Cell_ID]],Registre_Maintenance[],2,FALSE),"")</f>
        <v>Haut-Katanga</v>
      </c>
      <c r="C181" s="1" t="s">
        <v>805</v>
      </c>
      <c r="D181" s="2">
        <v>45210.835416666669</v>
      </c>
      <c r="E181" s="3">
        <v>45210.835416666669</v>
      </c>
      <c r="F181">
        <v>80</v>
      </c>
      <c r="G181">
        <f>Master[[#This Row],[Duree_Panne_Min]]/60</f>
        <v>1.3333333333333333</v>
      </c>
      <c r="H181" s="1" t="s">
        <v>735</v>
      </c>
      <c r="I181">
        <f>IFERROR(VLOOKUP(Master[[#This Row],[Cell_ID]],Registre_Maintenance[],3,FALSE),"")</f>
        <v>4.4712560000000003</v>
      </c>
      <c r="J181">
        <f>IFERROR(VLOOKUP(Master[[#This Row],[Cell_ID]],Registre_Maintenance[],4,FALSE),"")</f>
        <v>27.107028</v>
      </c>
      <c r="K181" t="str">
        <f>IFERROR(VLOOKUP(Master[[#This Row],[Cell_ID]],Registre_Maintenance[],5,FALSE),"")</f>
        <v>3G</v>
      </c>
      <c r="L181" t="str">
        <f>IFERROR(VLOOKUP(Master[[#This Row],[Cell_ID]],Registre_Maintenance[],6,FALSE),"")</f>
        <v>Ericsson</v>
      </c>
      <c r="M181" s="1" t="str">
        <f>VLOOKUP(Master[[#This Row],[Province_RDC]],Client[],2,FALSE)</f>
        <v>CLI-00076</v>
      </c>
      <c r="N181" s="1">
        <f>VLOOKUP(Master[[#This Row],[Province_RDC]],Client[],3,FALSE)</f>
        <v>46</v>
      </c>
      <c r="O181" s="1" t="str">
        <f>VLOOKUP(Master[[#This Row],[Province_RDC]],Client[],4,FALSE)</f>
        <v>Premium 5G 150Go</v>
      </c>
      <c r="P181" s="1">
        <f>VLOOKUP(Master[[#This Row],[Province_RDC]],Client[],5,FALSE)</f>
        <v>283</v>
      </c>
      <c r="Q181" s="1">
        <f>VLOOKUP(Master[[#This Row],[Province_RDC]],Client[],6,FALSE)</f>
        <v>56.05</v>
      </c>
      <c r="R181" s="1">
        <f>VLOOKUP(Master[[#This Row],[Province_RDC]],Client[],7,FALSE)</f>
        <v>1</v>
      </c>
      <c r="S181" s="1" t="str">
        <f>IF(Master[[#This Row],[Type_Forfait]]="Pro Monde","B2B","B2C")</f>
        <v>B2C</v>
      </c>
      <c r="T181" s="1">
        <f>Master[[#This Row],[Anciennete_Mois]]/12</f>
        <v>3.8333333333333335</v>
      </c>
      <c r="U181" s="1">
        <f>Master[[#This Row],[Duree_Cumule_Panne_Min]]/60</f>
        <v>4.7166666666666668</v>
      </c>
      <c r="V18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1" s="6">
        <f>Master[[#This Row],[Facture_Mensuelle]]*Master[[#This Row],[Remise]]</f>
        <v>25.2225</v>
      </c>
    </row>
    <row r="182" spans="1:24" x14ac:dyDescent="0.25">
      <c r="A182" s="1" t="s">
        <v>861</v>
      </c>
      <c r="B182" t="str">
        <f>IFERROR(VLOOKUP(Master[[#This Row],[Cell_ID]],Registre_Maintenance[],2,FALSE),"")</f>
        <v>Haut-Katanga</v>
      </c>
      <c r="C182" s="1" t="s">
        <v>876</v>
      </c>
      <c r="D182" s="2">
        <v>45201.468055555553</v>
      </c>
      <c r="E182" s="3">
        <v>45201.468055555553</v>
      </c>
      <c r="F182">
        <v>80</v>
      </c>
      <c r="G182">
        <f>Master[[#This Row],[Duree_Panne_Min]]/60</f>
        <v>1.3333333333333333</v>
      </c>
      <c r="H182" s="1" t="s">
        <v>732</v>
      </c>
      <c r="I182">
        <f>IFERROR(VLOOKUP(Master[[#This Row],[Cell_ID]],Registre_Maintenance[],3,FALSE),"")</f>
        <v>-3.3890790000000002</v>
      </c>
      <c r="J182">
        <f>IFERROR(VLOOKUP(Master[[#This Row],[Cell_ID]],Registre_Maintenance[],4,FALSE),"")</f>
        <v>18.374571</v>
      </c>
      <c r="K182" t="str">
        <f>IFERROR(VLOOKUP(Master[[#This Row],[Cell_ID]],Registre_Maintenance[],5,FALSE),"")</f>
        <v>5G</v>
      </c>
      <c r="L182" t="str">
        <f>IFERROR(VLOOKUP(Master[[#This Row],[Cell_ID]],Registre_Maintenance[],6,FALSE),"")</f>
        <v>ZTE</v>
      </c>
      <c r="M182" s="1" t="str">
        <f>VLOOKUP(Master[[#This Row],[Province_RDC]],Client[],2,FALSE)</f>
        <v>CLI-00076</v>
      </c>
      <c r="N182" s="1">
        <f>VLOOKUP(Master[[#This Row],[Province_RDC]],Client[],3,FALSE)</f>
        <v>46</v>
      </c>
      <c r="O182" s="1" t="str">
        <f>VLOOKUP(Master[[#This Row],[Province_RDC]],Client[],4,FALSE)</f>
        <v>Premium 5G 150Go</v>
      </c>
      <c r="P182" s="1">
        <f>VLOOKUP(Master[[#This Row],[Province_RDC]],Client[],5,FALSE)</f>
        <v>283</v>
      </c>
      <c r="Q182" s="1">
        <f>VLOOKUP(Master[[#This Row],[Province_RDC]],Client[],6,FALSE)</f>
        <v>56.05</v>
      </c>
      <c r="R182" s="1">
        <f>VLOOKUP(Master[[#This Row],[Province_RDC]],Client[],7,FALSE)</f>
        <v>1</v>
      </c>
      <c r="S182" s="1" t="str">
        <f>IF(Master[[#This Row],[Type_Forfait]]="Pro Monde","B2B","B2C")</f>
        <v>B2C</v>
      </c>
      <c r="T182" s="1">
        <f>Master[[#This Row],[Anciennete_Mois]]/12</f>
        <v>3.8333333333333335</v>
      </c>
      <c r="U182" s="1">
        <f>Master[[#This Row],[Duree_Cumule_Panne_Min]]/60</f>
        <v>4.7166666666666668</v>
      </c>
      <c r="V18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2" s="6">
        <f>Master[[#This Row],[Facture_Mensuelle]]*Master[[#This Row],[Remise]]</f>
        <v>25.2225</v>
      </c>
    </row>
    <row r="183" spans="1:24" x14ac:dyDescent="0.25">
      <c r="A183" s="1" t="s">
        <v>1288</v>
      </c>
      <c r="B183" t="str">
        <f>IFERROR(VLOOKUP(Master[[#This Row],[Cell_ID]],Registre_Maintenance[],2,FALSE),"")</f>
        <v>Sud-Kivu</v>
      </c>
      <c r="C183" s="1" t="s">
        <v>1283</v>
      </c>
      <c r="D183" s="2">
        <v>45220.618750000001</v>
      </c>
      <c r="E183" s="3">
        <v>45220.618750000001</v>
      </c>
      <c r="F183">
        <v>79</v>
      </c>
      <c r="G183">
        <f>Master[[#This Row],[Duree_Panne_Min]]/60</f>
        <v>1.3166666666666667</v>
      </c>
      <c r="H183" s="1" t="s">
        <v>732</v>
      </c>
      <c r="I183">
        <f>IFERROR(VLOOKUP(Master[[#This Row],[Cell_ID]],Registre_Maintenance[],3,FALSE),"")</f>
        <v>-1.4700059999999999</v>
      </c>
      <c r="J183">
        <f>IFERROR(VLOOKUP(Master[[#This Row],[Cell_ID]],Registre_Maintenance[],4,FALSE),"")</f>
        <v>18.680958</v>
      </c>
      <c r="K183" t="str">
        <f>IFERROR(VLOOKUP(Master[[#This Row],[Cell_ID]],Registre_Maintenance[],5,FALSE),"")</f>
        <v>3G</v>
      </c>
      <c r="L183" t="str">
        <f>IFERROR(VLOOKUP(Master[[#This Row],[Cell_ID]],Registre_Maintenance[],6,FALSE),"")</f>
        <v>Huawei</v>
      </c>
      <c r="M183" s="1" t="str">
        <f>VLOOKUP(Master[[#This Row],[Province_RDC]],Client[],2,FALSE)</f>
        <v>CLI-01855</v>
      </c>
      <c r="N183" s="1">
        <f>VLOOKUP(Master[[#This Row],[Province_RDC]],Client[],3,FALSE)</f>
        <v>101</v>
      </c>
      <c r="O183" s="1" t="str">
        <f>VLOOKUP(Master[[#This Row],[Province_RDC]],Client[],4,FALSE)</f>
        <v>Illimité 50Go</v>
      </c>
      <c r="P183" s="1">
        <f>VLOOKUP(Master[[#This Row],[Province_RDC]],Client[],5,FALSE)</f>
        <v>358</v>
      </c>
      <c r="Q183" s="1">
        <f>VLOOKUP(Master[[#This Row],[Province_RDC]],Client[],6,FALSE)</f>
        <v>29.24</v>
      </c>
      <c r="R183" s="1">
        <f>VLOOKUP(Master[[#This Row],[Province_RDC]],Client[],7,FALSE)</f>
        <v>3</v>
      </c>
      <c r="S183" s="1" t="str">
        <f>IF(Master[[#This Row],[Type_Forfait]]="Pro Monde","B2B","B2C")</f>
        <v>B2C</v>
      </c>
      <c r="T183" s="1">
        <f>Master[[#This Row],[Anciennete_Mois]]/12</f>
        <v>8.4166666666666661</v>
      </c>
      <c r="U183" s="1">
        <f>Master[[#This Row],[Duree_Cumule_Panne_Min]]/60</f>
        <v>5.9666666666666668</v>
      </c>
      <c r="V18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3" s="6">
        <f>Master[[#This Row],[Facture_Mensuelle]]*Master[[#This Row],[Remise]]</f>
        <v>13.157999999999999</v>
      </c>
    </row>
    <row r="184" spans="1:24" x14ac:dyDescent="0.25">
      <c r="A184" s="1" t="s">
        <v>1138</v>
      </c>
      <c r="B184" t="str">
        <f>IFERROR(VLOOKUP(Master[[#This Row],[Cell_ID]],Registre_Maintenance[],2,FALSE),"")</f>
        <v>Kwango</v>
      </c>
      <c r="C184" s="1" t="s">
        <v>744</v>
      </c>
      <c r="D184" s="2">
        <v>45212.311111111107</v>
      </c>
      <c r="E184" s="3">
        <v>45212.311111111107</v>
      </c>
      <c r="F184">
        <v>79</v>
      </c>
      <c r="G184">
        <f>Master[[#This Row],[Duree_Panne_Min]]/60</f>
        <v>1.3166666666666667</v>
      </c>
      <c r="H184" s="1" t="s">
        <v>732</v>
      </c>
      <c r="I184">
        <f>IFERROR(VLOOKUP(Master[[#This Row],[Cell_ID]],Registre_Maintenance[],3,FALSE),"")</f>
        <v>4.8319039999999998</v>
      </c>
      <c r="J184">
        <f>IFERROR(VLOOKUP(Master[[#This Row],[Cell_ID]],Registre_Maintenance[],4,FALSE),"")</f>
        <v>20.733468999999999</v>
      </c>
      <c r="K184" t="str">
        <f>IFERROR(VLOOKUP(Master[[#This Row],[Cell_ID]],Registre_Maintenance[],5,FALSE),"")</f>
        <v>5G</v>
      </c>
      <c r="L184" t="str">
        <f>IFERROR(VLOOKUP(Master[[#This Row],[Cell_ID]],Registre_Maintenance[],6,FALSE),"")</f>
        <v>Ericsson</v>
      </c>
      <c r="M184" s="1" t="str">
        <f>VLOOKUP(Master[[#This Row],[Province_RDC]],Client[],2,FALSE)</f>
        <v>CLI-00569</v>
      </c>
      <c r="N184" s="1">
        <f>VLOOKUP(Master[[#This Row],[Province_RDC]],Client[],3,FALSE)</f>
        <v>110</v>
      </c>
      <c r="O184" s="1" t="str">
        <f>VLOOKUP(Master[[#This Row],[Province_RDC]],Client[],4,FALSE)</f>
        <v>Pro Monde</v>
      </c>
      <c r="P184" s="1">
        <f>VLOOKUP(Master[[#This Row],[Province_RDC]],Client[],5,FALSE)</f>
        <v>423</v>
      </c>
      <c r="Q184" s="1">
        <f>VLOOKUP(Master[[#This Row],[Province_RDC]],Client[],6,FALSE)</f>
        <v>37.35</v>
      </c>
      <c r="R184" s="1">
        <f>VLOOKUP(Master[[#This Row],[Province_RDC]],Client[],7,FALSE)</f>
        <v>4</v>
      </c>
      <c r="S184" s="1" t="str">
        <f>IF(Master[[#This Row],[Type_Forfait]]="Pro Monde","B2B","B2C")</f>
        <v>B2B</v>
      </c>
      <c r="T184" s="1">
        <f>Master[[#This Row],[Anciennete_Mois]]/12</f>
        <v>9.1666666666666661</v>
      </c>
      <c r="U184" s="1">
        <f>Master[[#This Row],[Duree_Cumule_Panne_Min]]/60</f>
        <v>7.05</v>
      </c>
      <c r="V18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4" s="6">
        <f>Master[[#This Row],[Facture_Mensuelle]]*Master[[#This Row],[Remise]]</f>
        <v>16.807500000000001</v>
      </c>
    </row>
    <row r="185" spans="1:24" x14ac:dyDescent="0.25">
      <c r="A185" s="1" t="s">
        <v>730</v>
      </c>
      <c r="B185" t="str">
        <f>IFERROR(VLOOKUP(Master[[#This Row],[Cell_ID]],Registre_Maintenance[],2,FALSE),"")</f>
        <v>Kasai-Central</v>
      </c>
      <c r="C185" s="1" t="s">
        <v>740</v>
      </c>
      <c r="D185" s="2">
        <v>45202.259722222218</v>
      </c>
      <c r="E185" s="3">
        <v>45202.259722222218</v>
      </c>
      <c r="F185">
        <v>79</v>
      </c>
      <c r="G185">
        <f>Master[[#This Row],[Duree_Panne_Min]]/60</f>
        <v>1.3166666666666667</v>
      </c>
      <c r="H185" s="1" t="s">
        <v>732</v>
      </c>
      <c r="I185">
        <f>IFERROR(VLOOKUP(Master[[#This Row],[Cell_ID]],Registre_Maintenance[],3,FALSE),"")</f>
        <v>-1.648264</v>
      </c>
      <c r="J185">
        <f>IFERROR(VLOOKUP(Master[[#This Row],[Cell_ID]],Registre_Maintenance[],4,FALSE),"")</f>
        <v>28.866143999999998</v>
      </c>
      <c r="K185" t="str">
        <f>IFERROR(VLOOKUP(Master[[#This Row],[Cell_ID]],Registre_Maintenance[],5,FALSE),"")</f>
        <v>5G</v>
      </c>
      <c r="L185" t="str">
        <f>IFERROR(VLOOKUP(Master[[#This Row],[Cell_ID]],Registre_Maintenance[],6,FALSE),"")</f>
        <v>Ericsson</v>
      </c>
      <c r="M185" s="1" t="str">
        <f>VLOOKUP(Master[[#This Row],[Province_RDC]],Client[],2,FALSE)</f>
        <v>CLI-00060</v>
      </c>
      <c r="N185" s="1">
        <f>VLOOKUP(Master[[#This Row],[Province_RDC]],Client[],3,FALSE)</f>
        <v>72</v>
      </c>
      <c r="O185" s="1" t="str">
        <f>VLOOKUP(Master[[#This Row],[Province_RDC]],Client[],4,FALSE)</f>
        <v>Pro Monde</v>
      </c>
      <c r="P185" s="1">
        <f>VLOOKUP(Master[[#This Row],[Province_RDC]],Client[],5,FALSE)</f>
        <v>160</v>
      </c>
      <c r="Q185" s="1">
        <f>VLOOKUP(Master[[#This Row],[Province_RDC]],Client[],6,FALSE)</f>
        <v>90.13</v>
      </c>
      <c r="R185" s="1">
        <f>VLOOKUP(Master[[#This Row],[Province_RDC]],Client[],7,FALSE)</f>
        <v>2</v>
      </c>
      <c r="S185" s="1" t="str">
        <f>IF(Master[[#This Row],[Type_Forfait]]="Pro Monde","B2B","B2C")</f>
        <v>B2B</v>
      </c>
      <c r="T185" s="1">
        <f>Master[[#This Row],[Anciennete_Mois]]/12</f>
        <v>6</v>
      </c>
      <c r="U185" s="1">
        <f>Master[[#This Row],[Duree_Cumule_Panne_Min]]/60</f>
        <v>2.6666666666666665</v>
      </c>
      <c r="V18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18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185" s="6">
        <f>Master[[#This Row],[Facture_Mensuelle]]*Master[[#This Row],[Remise]]</f>
        <v>9.0129999999999999</v>
      </c>
    </row>
    <row r="186" spans="1:24" x14ac:dyDescent="0.25">
      <c r="A186" s="1" t="s">
        <v>1361</v>
      </c>
      <c r="B186" t="str">
        <f>IFERROR(VLOOKUP(Master[[#This Row],[Cell_ID]],Registre_Maintenance[],2,FALSE),"")</f>
        <v>Mongala</v>
      </c>
      <c r="C186" s="1" t="s">
        <v>1041</v>
      </c>
      <c r="D186" s="2">
        <v>45223.759722222218</v>
      </c>
      <c r="E186" s="3">
        <v>45223.759722222218</v>
      </c>
      <c r="F186">
        <v>78</v>
      </c>
      <c r="G186">
        <f>Master[[#This Row],[Duree_Panne_Min]]/60</f>
        <v>1.3</v>
      </c>
      <c r="H186" s="1" t="s">
        <v>735</v>
      </c>
      <c r="I186">
        <f>IFERROR(VLOOKUP(Master[[#This Row],[Cell_ID]],Registre_Maintenance[],3,FALSE),"")</f>
        <v>-5.3762689999999997</v>
      </c>
      <c r="J186">
        <f>IFERROR(VLOOKUP(Master[[#This Row],[Cell_ID]],Registre_Maintenance[],4,FALSE),"")</f>
        <v>28.189575999999999</v>
      </c>
      <c r="K186" t="str">
        <f>IFERROR(VLOOKUP(Master[[#This Row],[Cell_ID]],Registre_Maintenance[],5,FALSE),"")</f>
        <v>5G</v>
      </c>
      <c r="L186" t="str">
        <f>IFERROR(VLOOKUP(Master[[#This Row],[Cell_ID]],Registre_Maintenance[],6,FALSE),"")</f>
        <v>Huawei</v>
      </c>
      <c r="M186" s="1" t="str">
        <f>VLOOKUP(Master[[#This Row],[Province_RDC]],Client[],2,FALSE)</f>
        <v>CLI-00865</v>
      </c>
      <c r="N186" s="1">
        <f>VLOOKUP(Master[[#This Row],[Province_RDC]],Client[],3,FALSE)</f>
        <v>34</v>
      </c>
      <c r="O186" s="1" t="str">
        <f>VLOOKUP(Master[[#This Row],[Province_RDC]],Client[],4,FALSE)</f>
        <v>Pro Monde</v>
      </c>
      <c r="P186" s="1">
        <f>VLOOKUP(Master[[#This Row],[Province_RDC]],Client[],5,FALSE)</f>
        <v>453</v>
      </c>
      <c r="Q186" s="1">
        <f>VLOOKUP(Master[[#This Row],[Province_RDC]],Client[],6,FALSE)</f>
        <v>56.84</v>
      </c>
      <c r="R186" s="1">
        <f>VLOOKUP(Master[[#This Row],[Province_RDC]],Client[],7,FALSE)</f>
        <v>0</v>
      </c>
      <c r="S186" s="1" t="str">
        <f>IF(Master[[#This Row],[Type_Forfait]]="Pro Monde","B2B","B2C")</f>
        <v>B2B</v>
      </c>
      <c r="T186" s="1">
        <f>Master[[#This Row],[Anciennete_Mois]]/12</f>
        <v>2.8333333333333335</v>
      </c>
      <c r="U186" s="1">
        <f>Master[[#This Row],[Duree_Cumule_Panne_Min]]/60</f>
        <v>7.55</v>
      </c>
      <c r="V18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6" s="6">
        <f>Master[[#This Row],[Facture_Mensuelle]]*Master[[#This Row],[Remise]]</f>
        <v>25.578000000000003</v>
      </c>
    </row>
    <row r="187" spans="1:24" x14ac:dyDescent="0.25">
      <c r="A187" s="1" t="s">
        <v>1114</v>
      </c>
      <c r="B187" t="str">
        <f>IFERROR(VLOOKUP(Master[[#This Row],[Cell_ID]],Registre_Maintenance[],2,FALSE),"")</f>
        <v>Lualaba</v>
      </c>
      <c r="C187" s="1" t="s">
        <v>916</v>
      </c>
      <c r="D187" s="2">
        <v>45216.729861111111</v>
      </c>
      <c r="E187" s="3">
        <v>45216.729861111111</v>
      </c>
      <c r="F187">
        <v>78</v>
      </c>
      <c r="G187">
        <f>Master[[#This Row],[Duree_Panne_Min]]/60</f>
        <v>1.3</v>
      </c>
      <c r="H187" s="1" t="s">
        <v>735</v>
      </c>
      <c r="I187">
        <f>IFERROR(VLOOKUP(Master[[#This Row],[Cell_ID]],Registre_Maintenance[],3,FALSE),"")</f>
        <v>-9.5243310000000001</v>
      </c>
      <c r="J187">
        <f>IFERROR(VLOOKUP(Master[[#This Row],[Cell_ID]],Registre_Maintenance[],4,FALSE),"")</f>
        <v>30.541212000000002</v>
      </c>
      <c r="K187" t="str">
        <f>IFERROR(VLOOKUP(Master[[#This Row],[Cell_ID]],Registre_Maintenance[],5,FALSE),"")</f>
        <v>3G</v>
      </c>
      <c r="L187" t="str">
        <f>IFERROR(VLOOKUP(Master[[#This Row],[Cell_ID]],Registre_Maintenance[],6,FALSE),"")</f>
        <v>Ericsson</v>
      </c>
      <c r="M187" s="1" t="str">
        <f>VLOOKUP(Master[[#This Row],[Province_RDC]],Client[],2,FALSE)</f>
        <v>CLI-01005</v>
      </c>
      <c r="N187" s="1">
        <f>VLOOKUP(Master[[#This Row],[Province_RDC]],Client[],3,FALSE)</f>
        <v>80</v>
      </c>
      <c r="O187" s="1" t="str">
        <f>VLOOKUP(Master[[#This Row],[Province_RDC]],Client[],4,FALSE)</f>
        <v>Illimité 50Go</v>
      </c>
      <c r="P187" s="1">
        <f>VLOOKUP(Master[[#This Row],[Province_RDC]],Client[],5,FALSE)</f>
        <v>155</v>
      </c>
      <c r="Q187" s="1">
        <f>VLOOKUP(Master[[#This Row],[Province_RDC]],Client[],6,FALSE)</f>
        <v>28.96</v>
      </c>
      <c r="R187" s="1">
        <f>VLOOKUP(Master[[#This Row],[Province_RDC]],Client[],7,FALSE)</f>
        <v>2</v>
      </c>
      <c r="S187" s="1" t="str">
        <f>IF(Master[[#This Row],[Type_Forfait]]="Pro Monde","B2B","B2C")</f>
        <v>B2C</v>
      </c>
      <c r="T187" s="1">
        <f>Master[[#This Row],[Anciennete_Mois]]/12</f>
        <v>6.666666666666667</v>
      </c>
      <c r="U187" s="1">
        <f>Master[[#This Row],[Duree_Cumule_Panne_Min]]/60</f>
        <v>2.5833333333333335</v>
      </c>
      <c r="V18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8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87" s="6">
        <f>Master[[#This Row],[Facture_Mensuelle]]*Master[[#This Row],[Remise]]</f>
        <v>0</v>
      </c>
    </row>
    <row r="188" spans="1:24" x14ac:dyDescent="0.25">
      <c r="A188" s="1" t="s">
        <v>1404</v>
      </c>
      <c r="B188" t="str">
        <f>IFERROR(VLOOKUP(Master[[#This Row],[Cell_ID]],Registre_Maintenance[],2,FALSE),"")</f>
        <v>Kwilu</v>
      </c>
      <c r="C188" s="1" t="s">
        <v>847</v>
      </c>
      <c r="D188" s="2">
        <v>45221.167361111111</v>
      </c>
      <c r="E188" s="3">
        <v>45221.167361111111</v>
      </c>
      <c r="F188">
        <v>78</v>
      </c>
      <c r="G188">
        <f>Master[[#This Row],[Duree_Panne_Min]]/60</f>
        <v>1.3</v>
      </c>
      <c r="H188" s="1" t="s">
        <v>735</v>
      </c>
      <c r="I188">
        <f>IFERROR(VLOOKUP(Master[[#This Row],[Cell_ID]],Registre_Maintenance[],3,FALSE),"")</f>
        <v>2.4741019999999998</v>
      </c>
      <c r="J188">
        <f>IFERROR(VLOOKUP(Master[[#This Row],[Cell_ID]],Registre_Maintenance[],4,FALSE),"")</f>
        <v>29.297391000000001</v>
      </c>
      <c r="K188" t="str">
        <f>IFERROR(VLOOKUP(Master[[#This Row],[Cell_ID]],Registre_Maintenance[],5,FALSE),"")</f>
        <v>4G</v>
      </c>
      <c r="L188" t="str">
        <f>IFERROR(VLOOKUP(Master[[#This Row],[Cell_ID]],Registre_Maintenance[],6,FALSE),"")</f>
        <v>Ericsson</v>
      </c>
      <c r="M188" s="1" t="str">
        <f>VLOOKUP(Master[[#This Row],[Province_RDC]],Client[],2,FALSE)</f>
        <v>CLI-00996</v>
      </c>
      <c r="N188" s="1">
        <f>VLOOKUP(Master[[#This Row],[Province_RDC]],Client[],3,FALSE)</f>
        <v>119</v>
      </c>
      <c r="O188" s="1" t="str">
        <f>VLOOKUP(Master[[#This Row],[Province_RDC]],Client[],4,FALSE)</f>
        <v>Illimité 50Go</v>
      </c>
      <c r="P188" s="1">
        <f>VLOOKUP(Master[[#This Row],[Province_RDC]],Client[],5,FALSE)</f>
        <v>228</v>
      </c>
      <c r="Q188" s="1">
        <f>VLOOKUP(Master[[#This Row],[Province_RDC]],Client[],6,FALSE)</f>
        <v>94.72</v>
      </c>
      <c r="R188" s="1">
        <f>VLOOKUP(Master[[#This Row],[Province_RDC]],Client[],7,FALSE)</f>
        <v>3</v>
      </c>
      <c r="S188" s="1" t="str">
        <f>IF(Master[[#This Row],[Type_Forfait]]="Pro Monde","B2B","B2C")</f>
        <v>B2C</v>
      </c>
      <c r="T188" s="1">
        <f>Master[[#This Row],[Anciennete_Mois]]/12</f>
        <v>9.9166666666666661</v>
      </c>
      <c r="U188" s="1">
        <f>Master[[#This Row],[Duree_Cumule_Panne_Min]]/60</f>
        <v>3.8</v>
      </c>
      <c r="V18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18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88" s="6">
        <f>Master[[#This Row],[Facture_Mensuelle]]*Master[[#This Row],[Remise]]</f>
        <v>0</v>
      </c>
    </row>
    <row r="189" spans="1:24" x14ac:dyDescent="0.25">
      <c r="A189" s="1" t="s">
        <v>939</v>
      </c>
      <c r="B189" t="str">
        <f>IFERROR(VLOOKUP(Master[[#This Row],[Cell_ID]],Registre_Maintenance[],2,FALSE),"")</f>
        <v>Haut-Katanga</v>
      </c>
      <c r="C189" s="1" t="s">
        <v>948</v>
      </c>
      <c r="D189" s="2">
        <v>45216.583333333343</v>
      </c>
      <c r="E189" s="3">
        <v>45216.583333333343</v>
      </c>
      <c r="F189">
        <v>78</v>
      </c>
      <c r="G189">
        <f>Master[[#This Row],[Duree_Panne_Min]]/60</f>
        <v>1.3</v>
      </c>
      <c r="H189" s="1" t="s">
        <v>737</v>
      </c>
      <c r="I189">
        <f>IFERROR(VLOOKUP(Master[[#This Row],[Cell_ID]],Registre_Maintenance[],3,FALSE),"")</f>
        <v>0.16841400000000001</v>
      </c>
      <c r="J189">
        <f>IFERROR(VLOOKUP(Master[[#This Row],[Cell_ID]],Registre_Maintenance[],4,FALSE),"")</f>
        <v>30.029876999999999</v>
      </c>
      <c r="K189" t="str">
        <f>IFERROR(VLOOKUP(Master[[#This Row],[Cell_ID]],Registre_Maintenance[],5,FALSE),"")</f>
        <v>5G</v>
      </c>
      <c r="L189" t="str">
        <f>IFERROR(VLOOKUP(Master[[#This Row],[Cell_ID]],Registre_Maintenance[],6,FALSE),"")</f>
        <v>Huawei</v>
      </c>
      <c r="M189" s="1" t="str">
        <f>VLOOKUP(Master[[#This Row],[Province_RDC]],Client[],2,FALSE)</f>
        <v>CLI-00076</v>
      </c>
      <c r="N189" s="1">
        <f>VLOOKUP(Master[[#This Row],[Province_RDC]],Client[],3,FALSE)</f>
        <v>46</v>
      </c>
      <c r="O189" s="1" t="str">
        <f>VLOOKUP(Master[[#This Row],[Province_RDC]],Client[],4,FALSE)</f>
        <v>Premium 5G 150Go</v>
      </c>
      <c r="P189" s="1">
        <f>VLOOKUP(Master[[#This Row],[Province_RDC]],Client[],5,FALSE)</f>
        <v>283</v>
      </c>
      <c r="Q189" s="1">
        <f>VLOOKUP(Master[[#This Row],[Province_RDC]],Client[],6,FALSE)</f>
        <v>56.05</v>
      </c>
      <c r="R189" s="1">
        <f>VLOOKUP(Master[[#This Row],[Province_RDC]],Client[],7,FALSE)</f>
        <v>1</v>
      </c>
      <c r="S189" s="1" t="str">
        <f>IF(Master[[#This Row],[Type_Forfait]]="Pro Monde","B2B","B2C")</f>
        <v>B2C</v>
      </c>
      <c r="T189" s="1">
        <f>Master[[#This Row],[Anciennete_Mois]]/12</f>
        <v>3.8333333333333335</v>
      </c>
      <c r="U189" s="1">
        <f>Master[[#This Row],[Duree_Cumule_Panne_Min]]/60</f>
        <v>4.7166666666666668</v>
      </c>
      <c r="V18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8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89" s="6">
        <f>Master[[#This Row],[Facture_Mensuelle]]*Master[[#This Row],[Remise]]</f>
        <v>25.2225</v>
      </c>
    </row>
    <row r="190" spans="1:24" x14ac:dyDescent="0.25">
      <c r="A190" s="1" t="s">
        <v>999</v>
      </c>
      <c r="B190" t="str">
        <f>IFERROR(VLOOKUP(Master[[#This Row],[Cell_ID]],Registre_Maintenance[],2,FALSE),"")</f>
        <v>Haut-Katanga</v>
      </c>
      <c r="C190" s="1" t="s">
        <v>1023</v>
      </c>
      <c r="D190" s="2">
        <v>45207.526388888888</v>
      </c>
      <c r="E190" s="3">
        <v>45207.526388888888</v>
      </c>
      <c r="F190">
        <v>78</v>
      </c>
      <c r="G190">
        <f>Master[[#This Row],[Duree_Panne_Min]]/60</f>
        <v>1.3</v>
      </c>
      <c r="H190" s="1" t="s">
        <v>737</v>
      </c>
      <c r="I190">
        <f>IFERROR(VLOOKUP(Master[[#This Row],[Cell_ID]],Registre_Maintenance[],3,FALSE),"")</f>
        <v>-9.4229749999999992</v>
      </c>
      <c r="J190">
        <f>IFERROR(VLOOKUP(Master[[#This Row],[Cell_ID]],Registre_Maintenance[],4,FALSE),"")</f>
        <v>29.375005999999999</v>
      </c>
      <c r="K190" t="str">
        <f>IFERROR(VLOOKUP(Master[[#This Row],[Cell_ID]],Registre_Maintenance[],5,FALSE),"")</f>
        <v>3G</v>
      </c>
      <c r="L190" t="str">
        <f>IFERROR(VLOOKUP(Master[[#This Row],[Cell_ID]],Registre_Maintenance[],6,FALSE),"")</f>
        <v>Ericsson</v>
      </c>
      <c r="M190" s="1" t="str">
        <f>VLOOKUP(Master[[#This Row],[Province_RDC]],Client[],2,FALSE)</f>
        <v>CLI-00076</v>
      </c>
      <c r="N190" s="1">
        <f>VLOOKUP(Master[[#This Row],[Province_RDC]],Client[],3,FALSE)</f>
        <v>46</v>
      </c>
      <c r="O190" s="1" t="str">
        <f>VLOOKUP(Master[[#This Row],[Province_RDC]],Client[],4,FALSE)</f>
        <v>Premium 5G 150Go</v>
      </c>
      <c r="P190" s="1">
        <f>VLOOKUP(Master[[#This Row],[Province_RDC]],Client[],5,FALSE)</f>
        <v>283</v>
      </c>
      <c r="Q190" s="1">
        <f>VLOOKUP(Master[[#This Row],[Province_RDC]],Client[],6,FALSE)</f>
        <v>56.05</v>
      </c>
      <c r="R190" s="1">
        <f>VLOOKUP(Master[[#This Row],[Province_RDC]],Client[],7,FALSE)</f>
        <v>1</v>
      </c>
      <c r="S190" s="1" t="str">
        <f>IF(Master[[#This Row],[Type_Forfait]]="Pro Monde","B2B","B2C")</f>
        <v>B2C</v>
      </c>
      <c r="T190" s="1">
        <f>Master[[#This Row],[Anciennete_Mois]]/12</f>
        <v>3.8333333333333335</v>
      </c>
      <c r="U190" s="1">
        <f>Master[[#This Row],[Duree_Cumule_Panne_Min]]/60</f>
        <v>4.7166666666666668</v>
      </c>
      <c r="V19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0" s="6">
        <f>Master[[#This Row],[Facture_Mensuelle]]*Master[[#This Row],[Remise]]</f>
        <v>25.2225</v>
      </c>
    </row>
    <row r="191" spans="1:24" x14ac:dyDescent="0.25">
      <c r="A191" s="1" t="s">
        <v>1241</v>
      </c>
      <c r="B191" t="str">
        <f>IFERROR(VLOOKUP(Master[[#This Row],[Cell_ID]],Registre_Maintenance[],2,FALSE),"")</f>
        <v>Kinshasa</v>
      </c>
      <c r="C191" s="1" t="s">
        <v>1242</v>
      </c>
      <c r="D191" s="2">
        <v>45230.638888888891</v>
      </c>
      <c r="E191" s="3">
        <v>45230.638888888891</v>
      </c>
      <c r="F191">
        <v>77</v>
      </c>
      <c r="G191">
        <f>Master[[#This Row],[Duree_Panne_Min]]/60</f>
        <v>1.2833333333333334</v>
      </c>
      <c r="H191" s="1" t="s">
        <v>735</v>
      </c>
      <c r="I191">
        <f>IFERROR(VLOOKUP(Master[[#This Row],[Cell_ID]],Registre_Maintenance[],3,FALSE),"")</f>
        <v>-0.57104900000000003</v>
      </c>
      <c r="J191">
        <f>IFERROR(VLOOKUP(Master[[#This Row],[Cell_ID]],Registre_Maintenance[],4,FALSE),"")</f>
        <v>15.317663</v>
      </c>
      <c r="K191" t="str">
        <f>IFERROR(VLOOKUP(Master[[#This Row],[Cell_ID]],Registre_Maintenance[],5,FALSE),"")</f>
        <v>5G</v>
      </c>
      <c r="L191" t="str">
        <f>IFERROR(VLOOKUP(Master[[#This Row],[Cell_ID]],Registre_Maintenance[],6,FALSE),"")</f>
        <v>Nokia</v>
      </c>
      <c r="M191" s="1" t="str">
        <f>VLOOKUP(Master[[#This Row],[Province_RDC]],Client[],2,FALSE)</f>
        <v>CLI-00611</v>
      </c>
      <c r="N191" s="1">
        <f>VLOOKUP(Master[[#This Row],[Province_RDC]],Client[],3,FALSE)</f>
        <v>79</v>
      </c>
      <c r="O191" s="1" t="str">
        <f>VLOOKUP(Master[[#This Row],[Province_RDC]],Client[],4,FALSE)</f>
        <v>Premium 5G 150Go</v>
      </c>
      <c r="P191" s="1">
        <f>VLOOKUP(Master[[#This Row],[Province_RDC]],Client[],5,FALSE)</f>
        <v>226</v>
      </c>
      <c r="Q191" s="1">
        <f>VLOOKUP(Master[[#This Row],[Province_RDC]],Client[],6,FALSE)</f>
        <v>94.38</v>
      </c>
      <c r="R191" s="1">
        <f>VLOOKUP(Master[[#This Row],[Province_RDC]],Client[],7,FALSE)</f>
        <v>3</v>
      </c>
      <c r="S191" s="1" t="str">
        <f>IF(Master[[#This Row],[Type_Forfait]]="Pro Monde","B2B","B2C")</f>
        <v>B2C</v>
      </c>
      <c r="T191" s="1">
        <f>Master[[#This Row],[Anciennete_Mois]]/12</f>
        <v>6.583333333333333</v>
      </c>
      <c r="U191" s="1">
        <f>Master[[#This Row],[Duree_Cumule_Panne_Min]]/60</f>
        <v>3.7666666666666666</v>
      </c>
      <c r="V19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191" s="6">
        <f>Master[[#This Row],[Facture_Mensuelle]]*Master[[#This Row],[Remise]]</f>
        <v>0</v>
      </c>
    </row>
    <row r="192" spans="1:24" x14ac:dyDescent="0.25">
      <c r="A192" s="1" t="s">
        <v>1114</v>
      </c>
      <c r="B192" t="str">
        <f>IFERROR(VLOOKUP(Master[[#This Row],[Cell_ID]],Registre_Maintenance[],2,FALSE),"")</f>
        <v>Nord-Ubangi</v>
      </c>
      <c r="C192" s="1" t="s">
        <v>879</v>
      </c>
      <c r="D192" s="2">
        <v>45229.722916666673</v>
      </c>
      <c r="E192" s="3">
        <v>45229.722916666673</v>
      </c>
      <c r="F192">
        <v>76</v>
      </c>
      <c r="G192">
        <f>Master[[#This Row],[Duree_Panne_Min]]/60</f>
        <v>1.2666666666666666</v>
      </c>
      <c r="H192" s="1" t="s">
        <v>735</v>
      </c>
      <c r="I192">
        <f>IFERROR(VLOOKUP(Master[[#This Row],[Cell_ID]],Registre_Maintenance[],3,FALSE),"")</f>
        <v>-1.342476</v>
      </c>
      <c r="J192">
        <f>IFERROR(VLOOKUP(Master[[#This Row],[Cell_ID]],Registre_Maintenance[],4,FALSE),"")</f>
        <v>15.986086</v>
      </c>
      <c r="K192" t="str">
        <f>IFERROR(VLOOKUP(Master[[#This Row],[Cell_ID]],Registre_Maintenance[],5,FALSE),"")</f>
        <v>4G</v>
      </c>
      <c r="L192" t="str">
        <f>IFERROR(VLOOKUP(Master[[#This Row],[Cell_ID]],Registre_Maintenance[],6,FALSE),"")</f>
        <v>Ericsson</v>
      </c>
      <c r="M192" s="1" t="str">
        <f>VLOOKUP(Master[[#This Row],[Province_RDC]],Client[],2,FALSE)</f>
        <v>CLI-01170</v>
      </c>
      <c r="N192" s="1">
        <f>VLOOKUP(Master[[#This Row],[Province_RDC]],Client[],3,FALSE)</f>
        <v>98</v>
      </c>
      <c r="O192" s="1" t="str">
        <f>VLOOKUP(Master[[#This Row],[Province_RDC]],Client[],4,FALSE)</f>
        <v>Pro Monde</v>
      </c>
      <c r="P192" s="1">
        <f>VLOOKUP(Master[[#This Row],[Province_RDC]],Client[],5,FALSE)</f>
        <v>482</v>
      </c>
      <c r="Q192" s="1">
        <f>VLOOKUP(Master[[#This Row],[Province_RDC]],Client[],6,FALSE)</f>
        <v>55.04</v>
      </c>
      <c r="R192" s="1">
        <f>VLOOKUP(Master[[#This Row],[Province_RDC]],Client[],7,FALSE)</f>
        <v>5</v>
      </c>
      <c r="S192" s="1" t="str">
        <f>IF(Master[[#This Row],[Type_Forfait]]="Pro Monde","B2B","B2C")</f>
        <v>B2B</v>
      </c>
      <c r="T192" s="1">
        <f>Master[[#This Row],[Anciennete_Mois]]/12</f>
        <v>8.1666666666666661</v>
      </c>
      <c r="U192" s="1">
        <f>Master[[#This Row],[Duree_Cumule_Panne_Min]]/60</f>
        <v>8.0333333333333332</v>
      </c>
      <c r="V19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2" s="6">
        <f>Master[[#This Row],[Facture_Mensuelle]]*Master[[#This Row],[Remise]]</f>
        <v>24.768000000000001</v>
      </c>
    </row>
    <row r="193" spans="1:24" x14ac:dyDescent="0.25">
      <c r="A193" s="1" t="s">
        <v>1219</v>
      </c>
      <c r="B193" t="str">
        <f>IFERROR(VLOOKUP(Master[[#This Row],[Cell_ID]],Registre_Maintenance[],2,FALSE),"")</f>
        <v>Kongo-Central</v>
      </c>
      <c r="C193" s="1" t="s">
        <v>739</v>
      </c>
      <c r="D193" s="2">
        <v>45200.925694444442</v>
      </c>
      <c r="E193" s="3">
        <v>45200.925694444442</v>
      </c>
      <c r="F193">
        <v>76</v>
      </c>
      <c r="G193">
        <f>Master[[#This Row],[Duree_Panne_Min]]/60</f>
        <v>1.2666666666666666</v>
      </c>
      <c r="H193" s="1" t="s">
        <v>737</v>
      </c>
      <c r="I193">
        <f>IFERROR(VLOOKUP(Master[[#This Row],[Cell_ID]],Registre_Maintenance[],3,FALSE),"")</f>
        <v>-2.8211520000000001</v>
      </c>
      <c r="J193">
        <f>IFERROR(VLOOKUP(Master[[#This Row],[Cell_ID]],Registre_Maintenance[],4,FALSE),"")</f>
        <v>20.651419000000001</v>
      </c>
      <c r="K193" t="str">
        <f>IFERROR(VLOOKUP(Master[[#This Row],[Cell_ID]],Registre_Maintenance[],5,FALSE),"")</f>
        <v>5G</v>
      </c>
      <c r="L193" t="str">
        <f>IFERROR(VLOOKUP(Master[[#This Row],[Cell_ID]],Registre_Maintenance[],6,FALSE),"")</f>
        <v>Ericsson</v>
      </c>
      <c r="M193" s="1" t="str">
        <f>VLOOKUP(Master[[#This Row],[Province_RDC]],Client[],2,FALSE)</f>
        <v>CLI-01233</v>
      </c>
      <c r="N193" s="1">
        <f>VLOOKUP(Master[[#This Row],[Province_RDC]],Client[],3,FALSE)</f>
        <v>101</v>
      </c>
      <c r="O193" s="1" t="str">
        <f>VLOOKUP(Master[[#This Row],[Province_RDC]],Client[],4,FALSE)</f>
        <v>Pro Monde</v>
      </c>
      <c r="P193" s="1">
        <f>VLOOKUP(Master[[#This Row],[Province_RDC]],Client[],5,FALSE)</f>
        <v>333</v>
      </c>
      <c r="Q193" s="1">
        <f>VLOOKUP(Master[[#This Row],[Province_RDC]],Client[],6,FALSE)</f>
        <v>74.319999999999993</v>
      </c>
      <c r="R193" s="1">
        <f>VLOOKUP(Master[[#This Row],[Province_RDC]],Client[],7,FALSE)</f>
        <v>1</v>
      </c>
      <c r="S193" s="1" t="str">
        <f>IF(Master[[#This Row],[Type_Forfait]]="Pro Monde","B2B","B2C")</f>
        <v>B2B</v>
      </c>
      <c r="T193" s="1">
        <f>Master[[#This Row],[Anciennete_Mois]]/12</f>
        <v>8.4166666666666661</v>
      </c>
      <c r="U193" s="1">
        <f>Master[[#This Row],[Duree_Cumule_Panne_Min]]/60</f>
        <v>5.55</v>
      </c>
      <c r="V19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3" s="6">
        <f>Master[[#This Row],[Facture_Mensuelle]]*Master[[#This Row],[Remise]]</f>
        <v>33.443999999999996</v>
      </c>
    </row>
    <row r="194" spans="1:24" x14ac:dyDescent="0.25">
      <c r="A194" s="1" t="s">
        <v>999</v>
      </c>
      <c r="B194" t="str">
        <f>IFERROR(VLOOKUP(Master[[#This Row],[Cell_ID]],Registre_Maintenance[],2,FALSE),"")</f>
        <v>Haut-Uele</v>
      </c>
      <c r="C194" s="1" t="s">
        <v>1012</v>
      </c>
      <c r="D194" s="2">
        <v>45204.986111111109</v>
      </c>
      <c r="E194" s="3">
        <v>45204.986111111109</v>
      </c>
      <c r="F194">
        <v>76</v>
      </c>
      <c r="G194">
        <f>Master[[#This Row],[Duree_Panne_Min]]/60</f>
        <v>1.2666666666666666</v>
      </c>
      <c r="H194" s="1" t="s">
        <v>735</v>
      </c>
      <c r="I194">
        <f>IFERROR(VLOOKUP(Master[[#This Row],[Cell_ID]],Registre_Maintenance[],3,FALSE),"")</f>
        <v>-4.869434</v>
      </c>
      <c r="J194">
        <f>IFERROR(VLOOKUP(Master[[#This Row],[Cell_ID]],Registre_Maintenance[],4,FALSE),"")</f>
        <v>22.326522000000001</v>
      </c>
      <c r="K194" t="str">
        <f>IFERROR(VLOOKUP(Master[[#This Row],[Cell_ID]],Registre_Maintenance[],5,FALSE),"")</f>
        <v>5G</v>
      </c>
      <c r="L194" t="str">
        <f>IFERROR(VLOOKUP(Master[[#This Row],[Cell_ID]],Registre_Maintenance[],6,FALSE),"")</f>
        <v>Ericsson</v>
      </c>
      <c r="M194" s="1" t="str">
        <f>VLOOKUP(Master[[#This Row],[Province_RDC]],Client[],2,FALSE)</f>
        <v>CLI-00439</v>
      </c>
      <c r="N194" s="1">
        <f>VLOOKUP(Master[[#This Row],[Province_RDC]],Client[],3,FALSE)</f>
        <v>40</v>
      </c>
      <c r="O194" s="1" t="str">
        <f>VLOOKUP(Master[[#This Row],[Province_RDC]],Client[],4,FALSE)</f>
        <v>Premium 5G 150Go</v>
      </c>
      <c r="P194" s="1">
        <f>VLOOKUP(Master[[#This Row],[Province_RDC]],Client[],5,FALSE)</f>
        <v>345</v>
      </c>
      <c r="Q194" s="1">
        <f>VLOOKUP(Master[[#This Row],[Province_RDC]],Client[],6,FALSE)</f>
        <v>89.55</v>
      </c>
      <c r="R194" s="1">
        <f>VLOOKUP(Master[[#This Row],[Province_RDC]],Client[],7,FALSE)</f>
        <v>3</v>
      </c>
      <c r="S194" s="1" t="str">
        <f>IF(Master[[#This Row],[Type_Forfait]]="Pro Monde","B2B","B2C")</f>
        <v>B2C</v>
      </c>
      <c r="T194" s="1">
        <f>Master[[#This Row],[Anciennete_Mois]]/12</f>
        <v>3.3333333333333335</v>
      </c>
      <c r="U194" s="1">
        <f>Master[[#This Row],[Duree_Cumule_Panne_Min]]/60</f>
        <v>5.75</v>
      </c>
      <c r="V19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4" s="6">
        <f>Master[[#This Row],[Facture_Mensuelle]]*Master[[#This Row],[Remise]]</f>
        <v>40.297499999999999</v>
      </c>
    </row>
    <row r="195" spans="1:24" x14ac:dyDescent="0.25">
      <c r="A195" s="1" t="s">
        <v>1241</v>
      </c>
      <c r="B195" t="str">
        <f>IFERROR(VLOOKUP(Master[[#This Row],[Cell_ID]],Registre_Maintenance[],2,FALSE),"")</f>
        <v>Sud-Kivu</v>
      </c>
      <c r="C195" s="1" t="s">
        <v>964</v>
      </c>
      <c r="D195" s="2">
        <v>45210.49722222222</v>
      </c>
      <c r="E195" s="3">
        <v>45210.49722222222</v>
      </c>
      <c r="F195">
        <v>75</v>
      </c>
      <c r="G195">
        <f>Master[[#This Row],[Duree_Panne_Min]]/60</f>
        <v>1.25</v>
      </c>
      <c r="H195" s="1" t="s">
        <v>737</v>
      </c>
      <c r="I195">
        <f>IFERROR(VLOOKUP(Master[[#This Row],[Cell_ID]],Registre_Maintenance[],3,FALSE),"")</f>
        <v>-9.3900009999999998</v>
      </c>
      <c r="J195">
        <f>IFERROR(VLOOKUP(Master[[#This Row],[Cell_ID]],Registre_Maintenance[],4,FALSE),"")</f>
        <v>30.001517</v>
      </c>
      <c r="K195" t="str">
        <f>IFERROR(VLOOKUP(Master[[#This Row],[Cell_ID]],Registre_Maintenance[],5,FALSE),"")</f>
        <v>3G</v>
      </c>
      <c r="L195" t="str">
        <f>IFERROR(VLOOKUP(Master[[#This Row],[Cell_ID]],Registre_Maintenance[],6,FALSE),"")</f>
        <v>Nokia</v>
      </c>
      <c r="M195" s="1" t="str">
        <f>VLOOKUP(Master[[#This Row],[Province_RDC]],Client[],2,FALSE)</f>
        <v>CLI-01855</v>
      </c>
      <c r="N195" s="1">
        <f>VLOOKUP(Master[[#This Row],[Province_RDC]],Client[],3,FALSE)</f>
        <v>101</v>
      </c>
      <c r="O195" s="1" t="str">
        <f>VLOOKUP(Master[[#This Row],[Province_RDC]],Client[],4,FALSE)</f>
        <v>Illimité 50Go</v>
      </c>
      <c r="P195" s="1">
        <f>VLOOKUP(Master[[#This Row],[Province_RDC]],Client[],5,FALSE)</f>
        <v>358</v>
      </c>
      <c r="Q195" s="1">
        <f>VLOOKUP(Master[[#This Row],[Province_RDC]],Client[],6,FALSE)</f>
        <v>29.24</v>
      </c>
      <c r="R195" s="1">
        <f>VLOOKUP(Master[[#This Row],[Province_RDC]],Client[],7,FALSE)</f>
        <v>3</v>
      </c>
      <c r="S195" s="1" t="str">
        <f>IF(Master[[#This Row],[Type_Forfait]]="Pro Monde","B2B","B2C")</f>
        <v>B2C</v>
      </c>
      <c r="T195" s="1">
        <f>Master[[#This Row],[Anciennete_Mois]]/12</f>
        <v>8.4166666666666661</v>
      </c>
      <c r="U195" s="1">
        <f>Master[[#This Row],[Duree_Cumule_Panne_Min]]/60</f>
        <v>5.9666666666666668</v>
      </c>
      <c r="V19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5" s="6">
        <f>Master[[#This Row],[Facture_Mensuelle]]*Master[[#This Row],[Remise]]</f>
        <v>13.157999999999999</v>
      </c>
    </row>
    <row r="196" spans="1:24" x14ac:dyDescent="0.25">
      <c r="A196" s="1" t="s">
        <v>730</v>
      </c>
      <c r="B196" t="str">
        <f>IFERROR(VLOOKUP(Master[[#This Row],[Cell_ID]],Registre_Maintenance[],2,FALSE),"")</f>
        <v>Nord-Ubangi</v>
      </c>
      <c r="C196" s="1" t="s">
        <v>763</v>
      </c>
      <c r="D196" s="2">
        <v>45211.279166666667</v>
      </c>
      <c r="E196" s="3">
        <v>45211.279166666667</v>
      </c>
      <c r="F196">
        <v>75</v>
      </c>
      <c r="G196">
        <f>Master[[#This Row],[Duree_Panne_Min]]/60</f>
        <v>1.25</v>
      </c>
      <c r="H196" s="1" t="s">
        <v>732</v>
      </c>
      <c r="I196">
        <f>IFERROR(VLOOKUP(Master[[#This Row],[Cell_ID]],Registre_Maintenance[],3,FALSE),"")</f>
        <v>-8.1437910000000002</v>
      </c>
      <c r="J196">
        <f>IFERROR(VLOOKUP(Master[[#This Row],[Cell_ID]],Registre_Maintenance[],4,FALSE),"")</f>
        <v>28.946161</v>
      </c>
      <c r="K196" t="str">
        <f>IFERROR(VLOOKUP(Master[[#This Row],[Cell_ID]],Registre_Maintenance[],5,FALSE),"")</f>
        <v>4G</v>
      </c>
      <c r="L196" t="str">
        <f>IFERROR(VLOOKUP(Master[[#This Row],[Cell_ID]],Registre_Maintenance[],6,FALSE),"")</f>
        <v>ZTE</v>
      </c>
      <c r="M196" s="1" t="str">
        <f>VLOOKUP(Master[[#This Row],[Province_RDC]],Client[],2,FALSE)</f>
        <v>CLI-01170</v>
      </c>
      <c r="N196" s="1">
        <f>VLOOKUP(Master[[#This Row],[Province_RDC]],Client[],3,FALSE)</f>
        <v>98</v>
      </c>
      <c r="O196" s="1" t="str">
        <f>VLOOKUP(Master[[#This Row],[Province_RDC]],Client[],4,FALSE)</f>
        <v>Pro Monde</v>
      </c>
      <c r="P196" s="1">
        <f>VLOOKUP(Master[[#This Row],[Province_RDC]],Client[],5,FALSE)</f>
        <v>482</v>
      </c>
      <c r="Q196" s="1">
        <f>VLOOKUP(Master[[#This Row],[Province_RDC]],Client[],6,FALSE)</f>
        <v>55.04</v>
      </c>
      <c r="R196" s="1">
        <f>VLOOKUP(Master[[#This Row],[Province_RDC]],Client[],7,FALSE)</f>
        <v>5</v>
      </c>
      <c r="S196" s="1" t="str">
        <f>IF(Master[[#This Row],[Type_Forfait]]="Pro Monde","B2B","B2C")</f>
        <v>B2B</v>
      </c>
      <c r="T196" s="1">
        <f>Master[[#This Row],[Anciennete_Mois]]/12</f>
        <v>8.1666666666666661</v>
      </c>
      <c r="U196" s="1">
        <f>Master[[#This Row],[Duree_Cumule_Panne_Min]]/60</f>
        <v>8.0333333333333332</v>
      </c>
      <c r="V19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6" s="6">
        <f>Master[[#This Row],[Facture_Mensuelle]]*Master[[#This Row],[Remise]]</f>
        <v>24.768000000000001</v>
      </c>
    </row>
    <row r="197" spans="1:24" x14ac:dyDescent="0.25">
      <c r="A197" s="1" t="s">
        <v>902</v>
      </c>
      <c r="B197" t="str">
        <f>IFERROR(VLOOKUP(Master[[#This Row],[Cell_ID]],Registre_Maintenance[],2,FALSE),"")</f>
        <v>Haut-Katanga</v>
      </c>
      <c r="C197" s="1" t="s">
        <v>753</v>
      </c>
      <c r="D197" s="2">
        <v>45201.574305555558</v>
      </c>
      <c r="E197" s="3">
        <v>45201.574305555558</v>
      </c>
      <c r="F197">
        <v>75</v>
      </c>
      <c r="G197">
        <f>Master[[#This Row],[Duree_Panne_Min]]/60</f>
        <v>1.25</v>
      </c>
      <c r="H197" s="1" t="s">
        <v>737</v>
      </c>
      <c r="I197">
        <f>IFERROR(VLOOKUP(Master[[#This Row],[Cell_ID]],Registre_Maintenance[],3,FALSE),"")</f>
        <v>0.172153</v>
      </c>
      <c r="J197">
        <f>IFERROR(VLOOKUP(Master[[#This Row],[Cell_ID]],Registre_Maintenance[],4,FALSE),"")</f>
        <v>21.091376</v>
      </c>
      <c r="K197" t="str">
        <f>IFERROR(VLOOKUP(Master[[#This Row],[Cell_ID]],Registre_Maintenance[],5,FALSE),"")</f>
        <v>3G</v>
      </c>
      <c r="L197" t="str">
        <f>IFERROR(VLOOKUP(Master[[#This Row],[Cell_ID]],Registre_Maintenance[],6,FALSE),"")</f>
        <v>Ericsson</v>
      </c>
      <c r="M197" s="1" t="str">
        <f>VLOOKUP(Master[[#This Row],[Province_RDC]],Client[],2,FALSE)</f>
        <v>CLI-00076</v>
      </c>
      <c r="N197" s="1">
        <f>VLOOKUP(Master[[#This Row],[Province_RDC]],Client[],3,FALSE)</f>
        <v>46</v>
      </c>
      <c r="O197" s="1" t="str">
        <f>VLOOKUP(Master[[#This Row],[Province_RDC]],Client[],4,FALSE)</f>
        <v>Premium 5G 150Go</v>
      </c>
      <c r="P197" s="1">
        <f>VLOOKUP(Master[[#This Row],[Province_RDC]],Client[],5,FALSE)</f>
        <v>283</v>
      </c>
      <c r="Q197" s="1">
        <f>VLOOKUP(Master[[#This Row],[Province_RDC]],Client[],6,FALSE)</f>
        <v>56.05</v>
      </c>
      <c r="R197" s="1">
        <f>VLOOKUP(Master[[#This Row],[Province_RDC]],Client[],7,FALSE)</f>
        <v>1</v>
      </c>
      <c r="S197" s="1" t="str">
        <f>IF(Master[[#This Row],[Type_Forfait]]="Pro Monde","B2B","B2C")</f>
        <v>B2C</v>
      </c>
      <c r="T197" s="1">
        <f>Master[[#This Row],[Anciennete_Mois]]/12</f>
        <v>3.8333333333333335</v>
      </c>
      <c r="U197" s="1">
        <f>Master[[#This Row],[Duree_Cumule_Panne_Min]]/60</f>
        <v>4.7166666666666668</v>
      </c>
      <c r="V19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7" s="6">
        <f>Master[[#This Row],[Facture_Mensuelle]]*Master[[#This Row],[Remise]]</f>
        <v>25.2225</v>
      </c>
    </row>
    <row r="198" spans="1:24" x14ac:dyDescent="0.25">
      <c r="A198" s="1" t="s">
        <v>1024</v>
      </c>
      <c r="B198" t="str">
        <f>IFERROR(VLOOKUP(Master[[#This Row],[Cell_ID]],Registre_Maintenance[],2,FALSE),"")</f>
        <v>Mongala</v>
      </c>
      <c r="C198" s="1" t="s">
        <v>1026</v>
      </c>
      <c r="D198" s="2">
        <v>45226.37777777778</v>
      </c>
      <c r="E198" s="3">
        <v>45226.37777777778</v>
      </c>
      <c r="F198">
        <v>74</v>
      </c>
      <c r="G198">
        <f>Master[[#This Row],[Duree_Panne_Min]]/60</f>
        <v>1.2333333333333334</v>
      </c>
      <c r="H198" s="1" t="s">
        <v>737</v>
      </c>
      <c r="I198">
        <f>IFERROR(VLOOKUP(Master[[#This Row],[Cell_ID]],Registre_Maintenance[],3,FALSE),"")</f>
        <v>4.6809229999999999</v>
      </c>
      <c r="J198">
        <f>IFERROR(VLOOKUP(Master[[#This Row],[Cell_ID]],Registre_Maintenance[],4,FALSE),"")</f>
        <v>28.934242000000001</v>
      </c>
      <c r="K198" t="str">
        <f>IFERROR(VLOOKUP(Master[[#This Row],[Cell_ID]],Registre_Maintenance[],5,FALSE),"")</f>
        <v>5G</v>
      </c>
      <c r="L198" t="str">
        <f>IFERROR(VLOOKUP(Master[[#This Row],[Cell_ID]],Registre_Maintenance[],6,FALSE),"")</f>
        <v>Nokia</v>
      </c>
      <c r="M198" s="1" t="str">
        <f>VLOOKUP(Master[[#This Row],[Province_RDC]],Client[],2,FALSE)</f>
        <v>CLI-00865</v>
      </c>
      <c r="N198" s="1">
        <f>VLOOKUP(Master[[#This Row],[Province_RDC]],Client[],3,FALSE)</f>
        <v>34</v>
      </c>
      <c r="O198" s="1" t="str">
        <f>VLOOKUP(Master[[#This Row],[Province_RDC]],Client[],4,FALSE)</f>
        <v>Pro Monde</v>
      </c>
      <c r="P198" s="1">
        <f>VLOOKUP(Master[[#This Row],[Province_RDC]],Client[],5,FALSE)</f>
        <v>453</v>
      </c>
      <c r="Q198" s="1">
        <f>VLOOKUP(Master[[#This Row],[Province_RDC]],Client[],6,FALSE)</f>
        <v>56.84</v>
      </c>
      <c r="R198" s="1">
        <f>VLOOKUP(Master[[#This Row],[Province_RDC]],Client[],7,FALSE)</f>
        <v>0</v>
      </c>
      <c r="S198" s="1" t="str">
        <f>IF(Master[[#This Row],[Type_Forfait]]="Pro Monde","B2B","B2C")</f>
        <v>B2B</v>
      </c>
      <c r="T198" s="1">
        <f>Master[[#This Row],[Anciennete_Mois]]/12</f>
        <v>2.8333333333333335</v>
      </c>
      <c r="U198" s="1">
        <f>Master[[#This Row],[Duree_Cumule_Panne_Min]]/60</f>
        <v>7.55</v>
      </c>
      <c r="V19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8" s="6">
        <f>Master[[#This Row],[Facture_Mensuelle]]*Master[[#This Row],[Remise]]</f>
        <v>25.578000000000003</v>
      </c>
    </row>
    <row r="199" spans="1:24" x14ac:dyDescent="0.25">
      <c r="A199" s="1" t="s">
        <v>1138</v>
      </c>
      <c r="B199" t="str">
        <f>IFERROR(VLOOKUP(Master[[#This Row],[Cell_ID]],Registre_Maintenance[],2,FALSE),"")</f>
        <v>Mongala</v>
      </c>
      <c r="C199" s="1" t="s">
        <v>814</v>
      </c>
      <c r="D199" s="2">
        <v>45205.529861111107</v>
      </c>
      <c r="E199" s="3">
        <v>45205.529861111107</v>
      </c>
      <c r="F199">
        <v>74</v>
      </c>
      <c r="G199">
        <f>Master[[#This Row],[Duree_Panne_Min]]/60</f>
        <v>1.2333333333333334</v>
      </c>
      <c r="H199" s="1" t="s">
        <v>735</v>
      </c>
      <c r="I199">
        <f>IFERROR(VLOOKUP(Master[[#This Row],[Cell_ID]],Registre_Maintenance[],3,FALSE),"")</f>
        <v>-11.514188000000001</v>
      </c>
      <c r="J199">
        <f>IFERROR(VLOOKUP(Master[[#This Row],[Cell_ID]],Registre_Maintenance[],4,FALSE),"")</f>
        <v>15.971181</v>
      </c>
      <c r="K199" t="str">
        <f>IFERROR(VLOOKUP(Master[[#This Row],[Cell_ID]],Registre_Maintenance[],5,FALSE),"")</f>
        <v>5G</v>
      </c>
      <c r="L199" t="str">
        <f>IFERROR(VLOOKUP(Master[[#This Row],[Cell_ID]],Registre_Maintenance[],6,FALSE),"")</f>
        <v>Ericsson</v>
      </c>
      <c r="M199" s="1" t="str">
        <f>VLOOKUP(Master[[#This Row],[Province_RDC]],Client[],2,FALSE)</f>
        <v>CLI-00865</v>
      </c>
      <c r="N199" s="1">
        <f>VLOOKUP(Master[[#This Row],[Province_RDC]],Client[],3,FALSE)</f>
        <v>34</v>
      </c>
      <c r="O199" s="1" t="str">
        <f>VLOOKUP(Master[[#This Row],[Province_RDC]],Client[],4,FALSE)</f>
        <v>Pro Monde</v>
      </c>
      <c r="P199" s="1">
        <f>VLOOKUP(Master[[#This Row],[Province_RDC]],Client[],5,FALSE)</f>
        <v>453</v>
      </c>
      <c r="Q199" s="1">
        <f>VLOOKUP(Master[[#This Row],[Province_RDC]],Client[],6,FALSE)</f>
        <v>56.84</v>
      </c>
      <c r="R199" s="1">
        <f>VLOOKUP(Master[[#This Row],[Province_RDC]],Client[],7,FALSE)</f>
        <v>0</v>
      </c>
      <c r="S199" s="1" t="str">
        <f>IF(Master[[#This Row],[Type_Forfait]]="Pro Monde","B2B","B2C")</f>
        <v>B2B</v>
      </c>
      <c r="T199" s="1">
        <f>Master[[#This Row],[Anciennete_Mois]]/12</f>
        <v>2.8333333333333335</v>
      </c>
      <c r="U199" s="1">
        <f>Master[[#This Row],[Duree_Cumule_Panne_Min]]/60</f>
        <v>7.55</v>
      </c>
      <c r="V19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19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199" s="6">
        <f>Master[[#This Row],[Facture_Mensuelle]]*Master[[#This Row],[Remise]]</f>
        <v>25.578000000000003</v>
      </c>
    </row>
    <row r="200" spans="1:24" x14ac:dyDescent="0.25">
      <c r="A200" s="1" t="s">
        <v>1261</v>
      </c>
      <c r="B200" t="str">
        <f>IFERROR(VLOOKUP(Master[[#This Row],[Cell_ID]],Registre_Maintenance[],2,FALSE),"")</f>
        <v>Lomami</v>
      </c>
      <c r="C200" s="1" t="s">
        <v>1270</v>
      </c>
      <c r="D200" s="2">
        <v>45216.094444444447</v>
      </c>
      <c r="E200" s="3">
        <v>45216.094444444447</v>
      </c>
      <c r="F200">
        <v>74</v>
      </c>
      <c r="G200">
        <f>Master[[#This Row],[Duree_Panne_Min]]/60</f>
        <v>1.2333333333333334</v>
      </c>
      <c r="H200" s="1" t="s">
        <v>732</v>
      </c>
      <c r="I200">
        <f>IFERROR(VLOOKUP(Master[[#This Row],[Cell_ID]],Registre_Maintenance[],3,FALSE),"")</f>
        <v>4.8265669999999998</v>
      </c>
      <c r="J200">
        <f>IFERROR(VLOOKUP(Master[[#This Row],[Cell_ID]],Registre_Maintenance[],4,FALSE),"")</f>
        <v>28.535277000000001</v>
      </c>
      <c r="K200" t="str">
        <f>IFERROR(VLOOKUP(Master[[#This Row],[Cell_ID]],Registre_Maintenance[],5,FALSE),"")</f>
        <v>3G</v>
      </c>
      <c r="L200" t="str">
        <f>IFERROR(VLOOKUP(Master[[#This Row],[Cell_ID]],Registre_Maintenance[],6,FALSE),"")</f>
        <v>Huawei</v>
      </c>
      <c r="M200" s="1" t="str">
        <f>VLOOKUP(Master[[#This Row],[Province_RDC]],Client[],2,FALSE)</f>
        <v>CLI-00505</v>
      </c>
      <c r="N200" s="1">
        <f>VLOOKUP(Master[[#This Row],[Province_RDC]],Client[],3,FALSE)</f>
        <v>59</v>
      </c>
      <c r="O200" s="1" t="str">
        <f>VLOOKUP(Master[[#This Row],[Province_RDC]],Client[],4,FALSE)</f>
        <v>Bloqué 5Go</v>
      </c>
      <c r="P200" s="1">
        <f>VLOOKUP(Master[[#This Row],[Province_RDC]],Client[],5,FALSE)</f>
        <v>196</v>
      </c>
      <c r="Q200" s="1">
        <f>VLOOKUP(Master[[#This Row],[Province_RDC]],Client[],6,FALSE)</f>
        <v>62.53</v>
      </c>
      <c r="R200" s="1">
        <f>VLOOKUP(Master[[#This Row],[Province_RDC]],Client[],7,FALSE)</f>
        <v>0</v>
      </c>
      <c r="S200" s="1" t="str">
        <f>IF(Master[[#This Row],[Type_Forfait]]="Pro Monde","B2B","B2C")</f>
        <v>B2C</v>
      </c>
      <c r="T200" s="1">
        <f>Master[[#This Row],[Anciennete_Mois]]/12</f>
        <v>4.916666666666667</v>
      </c>
      <c r="U200" s="1">
        <f>Master[[#This Row],[Duree_Cumule_Panne_Min]]/60</f>
        <v>3.2666666666666666</v>
      </c>
      <c r="V20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0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00" s="6">
        <f>Master[[#This Row],[Facture_Mensuelle]]*Master[[#This Row],[Remise]]</f>
        <v>0</v>
      </c>
    </row>
    <row r="201" spans="1:24" x14ac:dyDescent="0.25">
      <c r="A201" s="1" t="s">
        <v>1138</v>
      </c>
      <c r="B201" t="str">
        <f>IFERROR(VLOOKUP(Master[[#This Row],[Cell_ID]],Registre_Maintenance[],2,FALSE),"")</f>
        <v>Kwango</v>
      </c>
      <c r="C201" s="1" t="s">
        <v>1163</v>
      </c>
      <c r="D201" s="2">
        <v>45225.406944444447</v>
      </c>
      <c r="E201" s="3">
        <v>45225.406944444447</v>
      </c>
      <c r="F201">
        <v>74</v>
      </c>
      <c r="G201">
        <f>Master[[#This Row],[Duree_Panne_Min]]/60</f>
        <v>1.2333333333333334</v>
      </c>
      <c r="H201" s="1" t="s">
        <v>732</v>
      </c>
      <c r="I201">
        <f>IFERROR(VLOOKUP(Master[[#This Row],[Cell_ID]],Registre_Maintenance[],3,FALSE),"")</f>
        <v>-4.6957509999999996</v>
      </c>
      <c r="J201">
        <f>IFERROR(VLOOKUP(Master[[#This Row],[Cell_ID]],Registre_Maintenance[],4,FALSE),"")</f>
        <v>14.233525999999999</v>
      </c>
      <c r="K201" t="str">
        <f>IFERROR(VLOOKUP(Master[[#This Row],[Cell_ID]],Registre_Maintenance[],5,FALSE),"")</f>
        <v>4G</v>
      </c>
      <c r="L201" t="str">
        <f>IFERROR(VLOOKUP(Master[[#This Row],[Cell_ID]],Registre_Maintenance[],6,FALSE),"")</f>
        <v>Nokia</v>
      </c>
      <c r="M201" s="1" t="str">
        <f>VLOOKUP(Master[[#This Row],[Province_RDC]],Client[],2,FALSE)</f>
        <v>CLI-00569</v>
      </c>
      <c r="N201" s="1">
        <f>VLOOKUP(Master[[#This Row],[Province_RDC]],Client[],3,FALSE)</f>
        <v>110</v>
      </c>
      <c r="O201" s="1" t="str">
        <f>VLOOKUP(Master[[#This Row],[Province_RDC]],Client[],4,FALSE)</f>
        <v>Pro Monde</v>
      </c>
      <c r="P201" s="1">
        <f>VLOOKUP(Master[[#This Row],[Province_RDC]],Client[],5,FALSE)</f>
        <v>423</v>
      </c>
      <c r="Q201" s="1">
        <f>VLOOKUP(Master[[#This Row],[Province_RDC]],Client[],6,FALSE)</f>
        <v>37.35</v>
      </c>
      <c r="R201" s="1">
        <f>VLOOKUP(Master[[#This Row],[Province_RDC]],Client[],7,FALSE)</f>
        <v>4</v>
      </c>
      <c r="S201" s="1" t="str">
        <f>IF(Master[[#This Row],[Type_Forfait]]="Pro Monde","B2B","B2C")</f>
        <v>B2B</v>
      </c>
      <c r="T201" s="1">
        <f>Master[[#This Row],[Anciennete_Mois]]/12</f>
        <v>9.1666666666666661</v>
      </c>
      <c r="U201" s="1">
        <f>Master[[#This Row],[Duree_Cumule_Panne_Min]]/60</f>
        <v>7.05</v>
      </c>
      <c r="V20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0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01" s="6">
        <f>Master[[#This Row],[Facture_Mensuelle]]*Master[[#This Row],[Remise]]</f>
        <v>16.807500000000001</v>
      </c>
    </row>
    <row r="202" spans="1:24" x14ac:dyDescent="0.25">
      <c r="A202" s="1" t="s">
        <v>1059</v>
      </c>
      <c r="B202" t="str">
        <f>IFERROR(VLOOKUP(Master[[#This Row],[Cell_ID]],Registre_Maintenance[],2,FALSE),"")</f>
        <v>Kinshasa</v>
      </c>
      <c r="C202" s="1" t="s">
        <v>1076</v>
      </c>
      <c r="D202" s="2">
        <v>45226.84097222222</v>
      </c>
      <c r="E202" s="3">
        <v>45226.84097222222</v>
      </c>
      <c r="F202">
        <v>74</v>
      </c>
      <c r="G202">
        <f>Master[[#This Row],[Duree_Panne_Min]]/60</f>
        <v>1.2333333333333334</v>
      </c>
      <c r="H202" s="1" t="s">
        <v>735</v>
      </c>
      <c r="I202">
        <f>IFERROR(VLOOKUP(Master[[#This Row],[Cell_ID]],Registre_Maintenance[],3,FALSE),"")</f>
        <v>-11.389362</v>
      </c>
      <c r="J202">
        <f>IFERROR(VLOOKUP(Master[[#This Row],[Cell_ID]],Registre_Maintenance[],4,FALSE),"")</f>
        <v>22.240174</v>
      </c>
      <c r="K202" t="str">
        <f>IFERROR(VLOOKUP(Master[[#This Row],[Cell_ID]],Registre_Maintenance[],5,FALSE),"")</f>
        <v>5G</v>
      </c>
      <c r="L202" t="str">
        <f>IFERROR(VLOOKUP(Master[[#This Row],[Cell_ID]],Registre_Maintenance[],6,FALSE),"")</f>
        <v>ZTE</v>
      </c>
      <c r="M202" s="1" t="str">
        <f>VLOOKUP(Master[[#This Row],[Province_RDC]],Client[],2,FALSE)</f>
        <v>CLI-00611</v>
      </c>
      <c r="N202" s="1">
        <f>VLOOKUP(Master[[#This Row],[Province_RDC]],Client[],3,FALSE)</f>
        <v>79</v>
      </c>
      <c r="O202" s="1" t="str">
        <f>VLOOKUP(Master[[#This Row],[Province_RDC]],Client[],4,FALSE)</f>
        <v>Premium 5G 150Go</v>
      </c>
      <c r="P202" s="1">
        <f>VLOOKUP(Master[[#This Row],[Province_RDC]],Client[],5,FALSE)</f>
        <v>226</v>
      </c>
      <c r="Q202" s="1">
        <f>VLOOKUP(Master[[#This Row],[Province_RDC]],Client[],6,FALSE)</f>
        <v>94.38</v>
      </c>
      <c r="R202" s="1">
        <f>VLOOKUP(Master[[#This Row],[Province_RDC]],Client[],7,FALSE)</f>
        <v>3</v>
      </c>
      <c r="S202" s="1" t="str">
        <f>IF(Master[[#This Row],[Type_Forfait]]="Pro Monde","B2B","B2C")</f>
        <v>B2C</v>
      </c>
      <c r="T202" s="1">
        <f>Master[[#This Row],[Anciennete_Mois]]/12</f>
        <v>6.583333333333333</v>
      </c>
      <c r="U202" s="1">
        <f>Master[[#This Row],[Duree_Cumule_Panne_Min]]/60</f>
        <v>3.7666666666666666</v>
      </c>
      <c r="V20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0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02" s="6">
        <f>Master[[#This Row],[Facture_Mensuelle]]*Master[[#This Row],[Remise]]</f>
        <v>0</v>
      </c>
    </row>
    <row r="203" spans="1:24" x14ac:dyDescent="0.25">
      <c r="A203" s="1" t="s">
        <v>1114</v>
      </c>
      <c r="B203" t="str">
        <f>IFERROR(VLOOKUP(Master[[#This Row],[Cell_ID]],Registre_Maintenance[],2,FALSE),"")</f>
        <v>Kasai-Central</v>
      </c>
      <c r="C203" s="1" t="s">
        <v>1121</v>
      </c>
      <c r="D203" s="2">
        <v>45215.015972222223</v>
      </c>
      <c r="E203" s="3">
        <v>45215.015972222223</v>
      </c>
      <c r="F203">
        <v>74</v>
      </c>
      <c r="G203">
        <f>Master[[#This Row],[Duree_Panne_Min]]/60</f>
        <v>1.2333333333333334</v>
      </c>
      <c r="H203" s="1" t="s">
        <v>732</v>
      </c>
      <c r="I203">
        <f>IFERROR(VLOOKUP(Master[[#This Row],[Cell_ID]],Registre_Maintenance[],3,FALSE),"")</f>
        <v>-5.8352820000000003</v>
      </c>
      <c r="J203">
        <f>IFERROR(VLOOKUP(Master[[#This Row],[Cell_ID]],Registre_Maintenance[],4,FALSE),"")</f>
        <v>26.603978000000001</v>
      </c>
      <c r="K203" t="str">
        <f>IFERROR(VLOOKUP(Master[[#This Row],[Cell_ID]],Registre_Maintenance[],5,FALSE),"")</f>
        <v>4G</v>
      </c>
      <c r="L203" t="str">
        <f>IFERROR(VLOOKUP(Master[[#This Row],[Cell_ID]],Registre_Maintenance[],6,FALSE),"")</f>
        <v>Huawei</v>
      </c>
      <c r="M203" s="1" t="str">
        <f>VLOOKUP(Master[[#This Row],[Province_RDC]],Client[],2,FALSE)</f>
        <v>CLI-00060</v>
      </c>
      <c r="N203" s="1">
        <f>VLOOKUP(Master[[#This Row],[Province_RDC]],Client[],3,FALSE)</f>
        <v>72</v>
      </c>
      <c r="O203" s="1" t="str">
        <f>VLOOKUP(Master[[#This Row],[Province_RDC]],Client[],4,FALSE)</f>
        <v>Pro Monde</v>
      </c>
      <c r="P203" s="1">
        <f>VLOOKUP(Master[[#This Row],[Province_RDC]],Client[],5,FALSE)</f>
        <v>160</v>
      </c>
      <c r="Q203" s="1">
        <f>VLOOKUP(Master[[#This Row],[Province_RDC]],Client[],6,FALSE)</f>
        <v>90.13</v>
      </c>
      <c r="R203" s="1">
        <f>VLOOKUP(Master[[#This Row],[Province_RDC]],Client[],7,FALSE)</f>
        <v>2</v>
      </c>
      <c r="S203" s="1" t="str">
        <f>IF(Master[[#This Row],[Type_Forfait]]="Pro Monde","B2B","B2C")</f>
        <v>B2B</v>
      </c>
      <c r="T203" s="1">
        <f>Master[[#This Row],[Anciennete_Mois]]/12</f>
        <v>6</v>
      </c>
      <c r="U203" s="1">
        <f>Master[[#This Row],[Duree_Cumule_Panne_Min]]/60</f>
        <v>2.6666666666666665</v>
      </c>
      <c r="V20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0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03" s="6">
        <f>Master[[#This Row],[Facture_Mensuelle]]*Master[[#This Row],[Remise]]</f>
        <v>9.0129999999999999</v>
      </c>
    </row>
    <row r="204" spans="1:24" x14ac:dyDescent="0.25">
      <c r="A204" s="1" t="s">
        <v>1382</v>
      </c>
      <c r="B204" t="str">
        <f>IFERROR(VLOOKUP(Master[[#This Row],[Cell_ID]],Registre_Maintenance[],2,FALSE),"")</f>
        <v>Ituri</v>
      </c>
      <c r="C204" s="1" t="s">
        <v>1395</v>
      </c>
      <c r="D204" s="2">
        <v>45200.67083333333</v>
      </c>
      <c r="E204" s="3">
        <v>45200.67083333333</v>
      </c>
      <c r="F204">
        <v>74</v>
      </c>
      <c r="G204">
        <f>Master[[#This Row],[Duree_Panne_Min]]/60</f>
        <v>1.2333333333333334</v>
      </c>
      <c r="H204" s="1" t="s">
        <v>737</v>
      </c>
      <c r="I204">
        <f>IFERROR(VLOOKUP(Master[[#This Row],[Cell_ID]],Registre_Maintenance[],3,FALSE),"")</f>
        <v>-4.6426759999999998</v>
      </c>
      <c r="J204">
        <f>IFERROR(VLOOKUP(Master[[#This Row],[Cell_ID]],Registre_Maintenance[],4,FALSE),"")</f>
        <v>22.124254000000001</v>
      </c>
      <c r="K204" t="str">
        <f>IFERROR(VLOOKUP(Master[[#This Row],[Cell_ID]],Registre_Maintenance[],5,FALSE),"")</f>
        <v>4G</v>
      </c>
      <c r="L204" t="str">
        <f>IFERROR(VLOOKUP(Master[[#This Row],[Cell_ID]],Registre_Maintenance[],6,FALSE),"")</f>
        <v>ZTE</v>
      </c>
      <c r="M204" s="1" t="str">
        <f>VLOOKUP(Master[[#This Row],[Province_RDC]],Client[],2,FALSE)</f>
        <v>CLI-00041</v>
      </c>
      <c r="N204" s="1">
        <f>VLOOKUP(Master[[#This Row],[Province_RDC]],Client[],3,FALSE)</f>
        <v>103</v>
      </c>
      <c r="O204" s="1" t="str">
        <f>VLOOKUP(Master[[#This Row],[Province_RDC]],Client[],4,FALSE)</f>
        <v>Pro Monde</v>
      </c>
      <c r="P204" s="1">
        <f>VLOOKUP(Master[[#This Row],[Province_RDC]],Client[],5,FALSE)</f>
        <v>105</v>
      </c>
      <c r="Q204" s="1">
        <f>VLOOKUP(Master[[#This Row],[Province_RDC]],Client[],6,FALSE)</f>
        <v>61.52</v>
      </c>
      <c r="R204" s="1">
        <f>VLOOKUP(Master[[#This Row],[Province_RDC]],Client[],7,FALSE)</f>
        <v>3</v>
      </c>
      <c r="S204" s="1" t="str">
        <f>IF(Master[[#This Row],[Type_Forfait]]="Pro Monde","B2B","B2C")</f>
        <v>B2B</v>
      </c>
      <c r="T204" s="1">
        <f>Master[[#This Row],[Anciennete_Mois]]/12</f>
        <v>8.5833333333333339</v>
      </c>
      <c r="U204" s="1">
        <f>Master[[#This Row],[Duree_Cumule_Panne_Min]]/60</f>
        <v>1.75</v>
      </c>
      <c r="V20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0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04" s="6">
        <f>Master[[#This Row],[Facture_Mensuelle]]*Master[[#This Row],[Remise]]</f>
        <v>6.152000000000001</v>
      </c>
    </row>
    <row r="205" spans="1:24" x14ac:dyDescent="0.25">
      <c r="A205" s="1" t="s">
        <v>1165</v>
      </c>
      <c r="B205" t="str">
        <f>IFERROR(VLOOKUP(Master[[#This Row],[Cell_ID]],Registre_Maintenance[],2,FALSE),"")</f>
        <v>Haut-Uele</v>
      </c>
      <c r="C205" s="1" t="s">
        <v>1174</v>
      </c>
      <c r="D205" s="2">
        <v>45229.620833333327</v>
      </c>
      <c r="E205" s="3">
        <v>45229.620833333327</v>
      </c>
      <c r="F205">
        <v>74</v>
      </c>
      <c r="G205">
        <f>Master[[#This Row],[Duree_Panne_Min]]/60</f>
        <v>1.2333333333333334</v>
      </c>
      <c r="H205" s="1" t="s">
        <v>737</v>
      </c>
      <c r="I205">
        <f>IFERROR(VLOOKUP(Master[[#This Row],[Cell_ID]],Registre_Maintenance[],3,FALSE),"")</f>
        <v>-12.488033</v>
      </c>
      <c r="J205">
        <f>IFERROR(VLOOKUP(Master[[#This Row],[Cell_ID]],Registre_Maintenance[],4,FALSE),"")</f>
        <v>16.139648000000001</v>
      </c>
      <c r="K205" t="str">
        <f>IFERROR(VLOOKUP(Master[[#This Row],[Cell_ID]],Registre_Maintenance[],5,FALSE),"")</f>
        <v>4G</v>
      </c>
      <c r="L205" t="str">
        <f>IFERROR(VLOOKUP(Master[[#This Row],[Cell_ID]],Registre_Maintenance[],6,FALSE),"")</f>
        <v>Huawei</v>
      </c>
      <c r="M205" s="1" t="str">
        <f>VLOOKUP(Master[[#This Row],[Province_RDC]],Client[],2,FALSE)</f>
        <v>CLI-00439</v>
      </c>
      <c r="N205" s="1">
        <f>VLOOKUP(Master[[#This Row],[Province_RDC]],Client[],3,FALSE)</f>
        <v>40</v>
      </c>
      <c r="O205" s="1" t="str">
        <f>VLOOKUP(Master[[#This Row],[Province_RDC]],Client[],4,FALSE)</f>
        <v>Premium 5G 150Go</v>
      </c>
      <c r="P205" s="1">
        <f>VLOOKUP(Master[[#This Row],[Province_RDC]],Client[],5,FALSE)</f>
        <v>345</v>
      </c>
      <c r="Q205" s="1">
        <f>VLOOKUP(Master[[#This Row],[Province_RDC]],Client[],6,FALSE)</f>
        <v>89.55</v>
      </c>
      <c r="R205" s="1">
        <f>VLOOKUP(Master[[#This Row],[Province_RDC]],Client[],7,FALSE)</f>
        <v>3</v>
      </c>
      <c r="S205" s="1" t="str">
        <f>IF(Master[[#This Row],[Type_Forfait]]="Pro Monde","B2B","B2C")</f>
        <v>B2C</v>
      </c>
      <c r="T205" s="1">
        <f>Master[[#This Row],[Anciennete_Mois]]/12</f>
        <v>3.3333333333333335</v>
      </c>
      <c r="U205" s="1">
        <f>Master[[#This Row],[Duree_Cumule_Panne_Min]]/60</f>
        <v>5.75</v>
      </c>
      <c r="V20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0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05" s="6">
        <f>Master[[#This Row],[Facture_Mensuelle]]*Master[[#This Row],[Remise]]</f>
        <v>40.297499999999999</v>
      </c>
    </row>
    <row r="206" spans="1:24" x14ac:dyDescent="0.25">
      <c r="A206" s="1" t="s">
        <v>730</v>
      </c>
      <c r="B206" t="str">
        <f>IFERROR(VLOOKUP(Master[[#This Row],[Cell_ID]],Registre_Maintenance[],2,FALSE),"")</f>
        <v>Tanganyika</v>
      </c>
      <c r="C206" s="1" t="s">
        <v>771</v>
      </c>
      <c r="D206" s="2">
        <v>45210.051388888889</v>
      </c>
      <c r="E206" s="3">
        <v>45210.051388888889</v>
      </c>
      <c r="F206">
        <v>73</v>
      </c>
      <c r="G206">
        <f>Master[[#This Row],[Duree_Panne_Min]]/60</f>
        <v>1.2166666666666666</v>
      </c>
      <c r="H206" s="1" t="s">
        <v>732</v>
      </c>
      <c r="I206">
        <f>IFERROR(VLOOKUP(Master[[#This Row],[Cell_ID]],Registre_Maintenance[],3,FALSE),"")</f>
        <v>-10.776204</v>
      </c>
      <c r="J206">
        <f>IFERROR(VLOOKUP(Master[[#This Row],[Cell_ID]],Registre_Maintenance[],4,FALSE),"")</f>
        <v>24.672934000000001</v>
      </c>
      <c r="K206" t="str">
        <f>IFERROR(VLOOKUP(Master[[#This Row],[Cell_ID]],Registre_Maintenance[],5,FALSE),"")</f>
        <v>4G</v>
      </c>
      <c r="L206" t="str">
        <f>IFERROR(VLOOKUP(Master[[#This Row],[Cell_ID]],Registre_Maintenance[],6,FALSE),"")</f>
        <v>Ericsson</v>
      </c>
      <c r="M206" s="1" t="str">
        <f>VLOOKUP(Master[[#This Row],[Province_RDC]],Client[],2,FALSE)</f>
        <v>CLI-01618</v>
      </c>
      <c r="N206" s="1">
        <f>VLOOKUP(Master[[#This Row],[Province_RDC]],Client[],3,FALSE)</f>
        <v>115</v>
      </c>
      <c r="O206" s="1" t="str">
        <f>VLOOKUP(Master[[#This Row],[Province_RDC]],Client[],4,FALSE)</f>
        <v>Bloqué 5Go</v>
      </c>
      <c r="P206" s="1">
        <f>VLOOKUP(Master[[#This Row],[Province_RDC]],Client[],5,FALSE)</f>
        <v>176</v>
      </c>
      <c r="Q206" s="1">
        <f>VLOOKUP(Master[[#This Row],[Province_RDC]],Client[],6,FALSE)</f>
        <v>33.28</v>
      </c>
      <c r="R206" s="1">
        <f>VLOOKUP(Master[[#This Row],[Province_RDC]],Client[],7,FALSE)</f>
        <v>4</v>
      </c>
      <c r="S206" s="1" t="str">
        <f>IF(Master[[#This Row],[Type_Forfait]]="Pro Monde","B2B","B2C")</f>
        <v>B2C</v>
      </c>
      <c r="T206" s="1">
        <f>Master[[#This Row],[Anciennete_Mois]]/12</f>
        <v>9.5833333333333339</v>
      </c>
      <c r="U206" s="1">
        <f>Master[[#This Row],[Duree_Cumule_Panne_Min]]/60</f>
        <v>2.9333333333333331</v>
      </c>
      <c r="V20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0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06" s="6">
        <f>Master[[#This Row],[Facture_Mensuelle]]*Master[[#This Row],[Remise]]</f>
        <v>0</v>
      </c>
    </row>
    <row r="207" spans="1:24" x14ac:dyDescent="0.25">
      <c r="A207" s="1" t="s">
        <v>730</v>
      </c>
      <c r="B207" t="str">
        <f>IFERROR(VLOOKUP(Master[[#This Row],[Cell_ID]],Registre_Maintenance[],2,FALSE),"")</f>
        <v>Tanganyika</v>
      </c>
      <c r="C207" s="1" t="s">
        <v>731</v>
      </c>
      <c r="D207" s="2">
        <v>45203.032638888893</v>
      </c>
      <c r="E207" s="3">
        <v>45203.032638888893</v>
      </c>
      <c r="F207">
        <v>73</v>
      </c>
      <c r="G207">
        <f>Master[[#This Row],[Duree_Panne_Min]]/60</f>
        <v>1.2166666666666666</v>
      </c>
      <c r="H207" s="1" t="s">
        <v>732</v>
      </c>
      <c r="I207">
        <f>IFERROR(VLOOKUP(Master[[#This Row],[Cell_ID]],Registre_Maintenance[],3,FALSE),"")</f>
        <v>-11.144149000000001</v>
      </c>
      <c r="J207">
        <f>IFERROR(VLOOKUP(Master[[#This Row],[Cell_ID]],Registre_Maintenance[],4,FALSE),"")</f>
        <v>27.244658999999999</v>
      </c>
      <c r="K207" t="str">
        <f>IFERROR(VLOOKUP(Master[[#This Row],[Cell_ID]],Registre_Maintenance[],5,FALSE),"")</f>
        <v>4G</v>
      </c>
      <c r="L207" t="str">
        <f>IFERROR(VLOOKUP(Master[[#This Row],[Cell_ID]],Registre_Maintenance[],6,FALSE),"")</f>
        <v>Nokia</v>
      </c>
      <c r="M207" s="1" t="str">
        <f>VLOOKUP(Master[[#This Row],[Province_RDC]],Client[],2,FALSE)</f>
        <v>CLI-01618</v>
      </c>
      <c r="N207" s="1">
        <f>VLOOKUP(Master[[#This Row],[Province_RDC]],Client[],3,FALSE)</f>
        <v>115</v>
      </c>
      <c r="O207" s="1" t="str">
        <f>VLOOKUP(Master[[#This Row],[Province_RDC]],Client[],4,FALSE)</f>
        <v>Bloqué 5Go</v>
      </c>
      <c r="P207" s="1">
        <f>VLOOKUP(Master[[#This Row],[Province_RDC]],Client[],5,FALSE)</f>
        <v>176</v>
      </c>
      <c r="Q207" s="1">
        <f>VLOOKUP(Master[[#This Row],[Province_RDC]],Client[],6,FALSE)</f>
        <v>33.28</v>
      </c>
      <c r="R207" s="1">
        <f>VLOOKUP(Master[[#This Row],[Province_RDC]],Client[],7,FALSE)</f>
        <v>4</v>
      </c>
      <c r="S207" s="1" t="str">
        <f>IF(Master[[#This Row],[Type_Forfait]]="Pro Monde","B2B","B2C")</f>
        <v>B2C</v>
      </c>
      <c r="T207" s="1">
        <f>Master[[#This Row],[Anciennete_Mois]]/12</f>
        <v>9.5833333333333339</v>
      </c>
      <c r="U207" s="1">
        <f>Master[[#This Row],[Duree_Cumule_Panne_Min]]/60</f>
        <v>2.9333333333333331</v>
      </c>
      <c r="V20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0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07" s="6">
        <f>Master[[#This Row],[Facture_Mensuelle]]*Master[[#This Row],[Remise]]</f>
        <v>0</v>
      </c>
    </row>
    <row r="208" spans="1:24" x14ac:dyDescent="0.25">
      <c r="A208" s="1" t="s">
        <v>999</v>
      </c>
      <c r="B208" t="str">
        <f>IFERROR(VLOOKUP(Master[[#This Row],[Cell_ID]],Registre_Maintenance[],2,FALSE),"")</f>
        <v>Nord-Ubangi</v>
      </c>
      <c r="C208" s="1" t="s">
        <v>1009</v>
      </c>
      <c r="D208" s="2">
        <v>45222.415277777778</v>
      </c>
      <c r="E208" s="3">
        <v>45222.415277777778</v>
      </c>
      <c r="F208">
        <v>73</v>
      </c>
      <c r="G208">
        <f>Master[[#This Row],[Duree_Panne_Min]]/60</f>
        <v>1.2166666666666666</v>
      </c>
      <c r="H208" s="1" t="s">
        <v>732</v>
      </c>
      <c r="I208">
        <f>IFERROR(VLOOKUP(Master[[#This Row],[Cell_ID]],Registre_Maintenance[],3,FALSE),"")</f>
        <v>-4.8128659999999996</v>
      </c>
      <c r="J208">
        <f>IFERROR(VLOOKUP(Master[[#This Row],[Cell_ID]],Registre_Maintenance[],4,FALSE),"")</f>
        <v>18.559304999999998</v>
      </c>
      <c r="K208" t="str">
        <f>IFERROR(VLOOKUP(Master[[#This Row],[Cell_ID]],Registre_Maintenance[],5,FALSE),"")</f>
        <v>5G</v>
      </c>
      <c r="L208" t="str">
        <f>IFERROR(VLOOKUP(Master[[#This Row],[Cell_ID]],Registre_Maintenance[],6,FALSE),"")</f>
        <v>ZTE</v>
      </c>
      <c r="M208" s="1" t="str">
        <f>VLOOKUP(Master[[#This Row],[Province_RDC]],Client[],2,FALSE)</f>
        <v>CLI-01170</v>
      </c>
      <c r="N208" s="1">
        <f>VLOOKUP(Master[[#This Row],[Province_RDC]],Client[],3,FALSE)</f>
        <v>98</v>
      </c>
      <c r="O208" s="1" t="str">
        <f>VLOOKUP(Master[[#This Row],[Province_RDC]],Client[],4,FALSE)</f>
        <v>Pro Monde</v>
      </c>
      <c r="P208" s="1">
        <f>VLOOKUP(Master[[#This Row],[Province_RDC]],Client[],5,FALSE)</f>
        <v>482</v>
      </c>
      <c r="Q208" s="1">
        <f>VLOOKUP(Master[[#This Row],[Province_RDC]],Client[],6,FALSE)</f>
        <v>55.04</v>
      </c>
      <c r="R208" s="1">
        <f>VLOOKUP(Master[[#This Row],[Province_RDC]],Client[],7,FALSE)</f>
        <v>5</v>
      </c>
      <c r="S208" s="1" t="str">
        <f>IF(Master[[#This Row],[Type_Forfait]]="Pro Monde","B2B","B2C")</f>
        <v>B2B</v>
      </c>
      <c r="T208" s="1">
        <f>Master[[#This Row],[Anciennete_Mois]]/12</f>
        <v>8.1666666666666661</v>
      </c>
      <c r="U208" s="1">
        <f>Master[[#This Row],[Duree_Cumule_Panne_Min]]/60</f>
        <v>8.0333333333333332</v>
      </c>
      <c r="V20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0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08" s="6">
        <f>Master[[#This Row],[Facture_Mensuelle]]*Master[[#This Row],[Remise]]</f>
        <v>24.768000000000001</v>
      </c>
    </row>
    <row r="209" spans="1:24" x14ac:dyDescent="0.25">
      <c r="A209" s="1" t="s">
        <v>1345</v>
      </c>
      <c r="B209" t="str">
        <f>IFERROR(VLOOKUP(Master[[#This Row],[Cell_ID]],Registre_Maintenance[],2,FALSE),"")</f>
        <v>Haut-Katanga</v>
      </c>
      <c r="C209" s="1" t="s">
        <v>983</v>
      </c>
      <c r="D209" s="2">
        <v>45207.955555555563</v>
      </c>
      <c r="E209" s="3">
        <v>45207.955555555563</v>
      </c>
      <c r="F209">
        <v>73</v>
      </c>
      <c r="G209">
        <f>Master[[#This Row],[Duree_Panne_Min]]/60</f>
        <v>1.2166666666666666</v>
      </c>
      <c r="H209" s="1" t="s">
        <v>735</v>
      </c>
      <c r="I209">
        <f>IFERROR(VLOOKUP(Master[[#This Row],[Cell_ID]],Registre_Maintenance[],3,FALSE),"")</f>
        <v>2.016505</v>
      </c>
      <c r="J209">
        <f>IFERROR(VLOOKUP(Master[[#This Row],[Cell_ID]],Registre_Maintenance[],4,FALSE),"")</f>
        <v>14.294164</v>
      </c>
      <c r="K209" t="str">
        <f>IFERROR(VLOOKUP(Master[[#This Row],[Cell_ID]],Registre_Maintenance[],5,FALSE),"")</f>
        <v>5G</v>
      </c>
      <c r="L209" t="str">
        <f>IFERROR(VLOOKUP(Master[[#This Row],[Cell_ID]],Registre_Maintenance[],6,FALSE),"")</f>
        <v>Huawei</v>
      </c>
      <c r="M209" s="1" t="str">
        <f>VLOOKUP(Master[[#This Row],[Province_RDC]],Client[],2,FALSE)</f>
        <v>CLI-00076</v>
      </c>
      <c r="N209" s="1">
        <f>VLOOKUP(Master[[#This Row],[Province_RDC]],Client[],3,FALSE)</f>
        <v>46</v>
      </c>
      <c r="O209" s="1" t="str">
        <f>VLOOKUP(Master[[#This Row],[Province_RDC]],Client[],4,FALSE)</f>
        <v>Premium 5G 150Go</v>
      </c>
      <c r="P209" s="1">
        <f>VLOOKUP(Master[[#This Row],[Province_RDC]],Client[],5,FALSE)</f>
        <v>283</v>
      </c>
      <c r="Q209" s="1">
        <f>VLOOKUP(Master[[#This Row],[Province_RDC]],Client[],6,FALSE)</f>
        <v>56.05</v>
      </c>
      <c r="R209" s="1">
        <f>VLOOKUP(Master[[#This Row],[Province_RDC]],Client[],7,FALSE)</f>
        <v>1</v>
      </c>
      <c r="S209" s="1" t="str">
        <f>IF(Master[[#This Row],[Type_Forfait]]="Pro Monde","B2B","B2C")</f>
        <v>B2C</v>
      </c>
      <c r="T209" s="1">
        <f>Master[[#This Row],[Anciennete_Mois]]/12</f>
        <v>3.8333333333333335</v>
      </c>
      <c r="U209" s="1">
        <f>Master[[#This Row],[Duree_Cumule_Panne_Min]]/60</f>
        <v>4.7166666666666668</v>
      </c>
      <c r="V20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0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09" s="6">
        <f>Master[[#This Row],[Facture_Mensuelle]]*Master[[#This Row],[Remise]]</f>
        <v>25.2225</v>
      </c>
    </row>
    <row r="210" spans="1:24" x14ac:dyDescent="0.25">
      <c r="A210" s="1" t="s">
        <v>779</v>
      </c>
      <c r="B210" t="str">
        <f>IFERROR(VLOOKUP(Master[[#This Row],[Cell_ID]],Registre_Maintenance[],2,FALSE),"")</f>
        <v>Sankuru</v>
      </c>
      <c r="C210" s="1" t="s">
        <v>799</v>
      </c>
      <c r="D210" s="2">
        <v>45213.948611111111</v>
      </c>
      <c r="E210" s="3">
        <v>45213.948611111111</v>
      </c>
      <c r="F210">
        <v>72</v>
      </c>
      <c r="G210">
        <f>Master[[#This Row],[Duree_Panne_Min]]/60</f>
        <v>1.2</v>
      </c>
      <c r="H210" s="1" t="s">
        <v>735</v>
      </c>
      <c r="I210">
        <f>IFERROR(VLOOKUP(Master[[#This Row],[Cell_ID]],Registre_Maintenance[],3,FALSE),"")</f>
        <v>-2.7140689999999998</v>
      </c>
      <c r="J210">
        <f>IFERROR(VLOOKUP(Master[[#This Row],[Cell_ID]],Registre_Maintenance[],4,FALSE),"")</f>
        <v>22.222104000000002</v>
      </c>
      <c r="K210" t="str">
        <f>IFERROR(VLOOKUP(Master[[#This Row],[Cell_ID]],Registre_Maintenance[],5,FALSE),"")</f>
        <v>4G</v>
      </c>
      <c r="L210" t="str">
        <f>IFERROR(VLOOKUP(Master[[#This Row],[Cell_ID]],Registre_Maintenance[],6,FALSE),"")</f>
        <v>Nokia</v>
      </c>
      <c r="M210" s="1" t="str">
        <f>VLOOKUP(Master[[#This Row],[Province_RDC]],Client[],2,FALSE)</f>
        <v>CLI-00530</v>
      </c>
      <c r="N210" s="1">
        <f>VLOOKUP(Master[[#This Row],[Province_RDC]],Client[],3,FALSE)</f>
        <v>35</v>
      </c>
      <c r="O210" s="1" t="str">
        <f>VLOOKUP(Master[[#This Row],[Province_RDC]],Client[],4,FALSE)</f>
        <v>Pro Monde</v>
      </c>
      <c r="P210" s="1">
        <f>VLOOKUP(Master[[#This Row],[Province_RDC]],Client[],5,FALSE)</f>
        <v>465</v>
      </c>
      <c r="Q210" s="1">
        <f>VLOOKUP(Master[[#This Row],[Province_RDC]],Client[],6,FALSE)</f>
        <v>58.59</v>
      </c>
      <c r="R210" s="1">
        <f>VLOOKUP(Master[[#This Row],[Province_RDC]],Client[],7,FALSE)</f>
        <v>5</v>
      </c>
      <c r="S210" s="1" t="str">
        <f>IF(Master[[#This Row],[Type_Forfait]]="Pro Monde","B2B","B2C")</f>
        <v>B2B</v>
      </c>
      <c r="T210" s="1">
        <f>Master[[#This Row],[Anciennete_Mois]]/12</f>
        <v>2.9166666666666665</v>
      </c>
      <c r="U210" s="1">
        <f>Master[[#This Row],[Duree_Cumule_Panne_Min]]/60</f>
        <v>7.75</v>
      </c>
      <c r="V21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10" s="6">
        <f>Master[[#This Row],[Facture_Mensuelle]]*Master[[#This Row],[Remise]]</f>
        <v>26.365500000000001</v>
      </c>
    </row>
    <row r="211" spans="1:24" x14ac:dyDescent="0.25">
      <c r="A211" s="1" t="s">
        <v>823</v>
      </c>
      <c r="B211" t="str">
        <f>IFERROR(VLOOKUP(Master[[#This Row],[Cell_ID]],Registre_Maintenance[],2,FALSE),"")</f>
        <v>Lomami</v>
      </c>
      <c r="C211" s="1" t="s">
        <v>860</v>
      </c>
      <c r="D211" s="2">
        <v>45219.103472222218</v>
      </c>
      <c r="E211" s="3">
        <v>45219.103472222218</v>
      </c>
      <c r="F211">
        <v>72</v>
      </c>
      <c r="G211">
        <f>Master[[#This Row],[Duree_Panne_Min]]/60</f>
        <v>1.2</v>
      </c>
      <c r="H211" s="1" t="s">
        <v>735</v>
      </c>
      <c r="I211">
        <f>IFERROR(VLOOKUP(Master[[#This Row],[Cell_ID]],Registre_Maintenance[],3,FALSE),"")</f>
        <v>-5.7035130000000001</v>
      </c>
      <c r="J211">
        <f>IFERROR(VLOOKUP(Master[[#This Row],[Cell_ID]],Registre_Maintenance[],4,FALSE),"")</f>
        <v>14.331479</v>
      </c>
      <c r="K211" t="str">
        <f>IFERROR(VLOOKUP(Master[[#This Row],[Cell_ID]],Registre_Maintenance[],5,FALSE),"")</f>
        <v>5G</v>
      </c>
      <c r="L211" t="str">
        <f>IFERROR(VLOOKUP(Master[[#This Row],[Cell_ID]],Registre_Maintenance[],6,FALSE),"")</f>
        <v>Nokia</v>
      </c>
      <c r="M211" s="1" t="str">
        <f>VLOOKUP(Master[[#This Row],[Province_RDC]],Client[],2,FALSE)</f>
        <v>CLI-00505</v>
      </c>
      <c r="N211" s="1">
        <f>VLOOKUP(Master[[#This Row],[Province_RDC]],Client[],3,FALSE)</f>
        <v>59</v>
      </c>
      <c r="O211" s="1" t="str">
        <f>VLOOKUP(Master[[#This Row],[Province_RDC]],Client[],4,FALSE)</f>
        <v>Bloqué 5Go</v>
      </c>
      <c r="P211" s="1">
        <f>VLOOKUP(Master[[#This Row],[Province_RDC]],Client[],5,FALSE)</f>
        <v>196</v>
      </c>
      <c r="Q211" s="1">
        <f>VLOOKUP(Master[[#This Row],[Province_RDC]],Client[],6,FALSE)</f>
        <v>62.53</v>
      </c>
      <c r="R211" s="1">
        <f>VLOOKUP(Master[[#This Row],[Province_RDC]],Client[],7,FALSE)</f>
        <v>0</v>
      </c>
      <c r="S211" s="1" t="str">
        <f>IF(Master[[#This Row],[Type_Forfait]]="Pro Monde","B2B","B2C")</f>
        <v>B2C</v>
      </c>
      <c r="T211" s="1">
        <f>Master[[#This Row],[Anciennete_Mois]]/12</f>
        <v>4.916666666666667</v>
      </c>
      <c r="U211" s="1">
        <f>Master[[#This Row],[Duree_Cumule_Panne_Min]]/60</f>
        <v>3.2666666666666666</v>
      </c>
      <c r="V21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1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11" s="6">
        <f>Master[[#This Row],[Facture_Mensuelle]]*Master[[#This Row],[Remise]]</f>
        <v>0</v>
      </c>
    </row>
    <row r="212" spans="1:24" x14ac:dyDescent="0.25">
      <c r="A212" s="1" t="s">
        <v>1288</v>
      </c>
      <c r="B212" t="str">
        <f>IFERROR(VLOOKUP(Master[[#This Row],[Cell_ID]],Registre_Maintenance[],2,FALSE),"")</f>
        <v>Kongo-Central</v>
      </c>
      <c r="C212" s="1" t="s">
        <v>1272</v>
      </c>
      <c r="D212" s="2">
        <v>45202.775694444441</v>
      </c>
      <c r="E212" s="3">
        <v>45202.775694444441</v>
      </c>
      <c r="F212">
        <v>72</v>
      </c>
      <c r="G212">
        <f>Master[[#This Row],[Duree_Panne_Min]]/60</f>
        <v>1.2</v>
      </c>
      <c r="H212" s="1" t="s">
        <v>732</v>
      </c>
      <c r="I212">
        <f>IFERROR(VLOOKUP(Master[[#This Row],[Cell_ID]],Registre_Maintenance[],3,FALSE),"")</f>
        <v>1.981107</v>
      </c>
      <c r="J212">
        <f>IFERROR(VLOOKUP(Master[[#This Row],[Cell_ID]],Registre_Maintenance[],4,FALSE),"")</f>
        <v>23.932569000000001</v>
      </c>
      <c r="K212" t="str">
        <f>IFERROR(VLOOKUP(Master[[#This Row],[Cell_ID]],Registre_Maintenance[],5,FALSE),"")</f>
        <v>3G</v>
      </c>
      <c r="L212" t="str">
        <f>IFERROR(VLOOKUP(Master[[#This Row],[Cell_ID]],Registre_Maintenance[],6,FALSE),"")</f>
        <v>Nokia</v>
      </c>
      <c r="M212" s="1" t="str">
        <f>VLOOKUP(Master[[#This Row],[Province_RDC]],Client[],2,FALSE)</f>
        <v>CLI-01233</v>
      </c>
      <c r="N212" s="1">
        <f>VLOOKUP(Master[[#This Row],[Province_RDC]],Client[],3,FALSE)</f>
        <v>101</v>
      </c>
      <c r="O212" s="1" t="str">
        <f>VLOOKUP(Master[[#This Row],[Province_RDC]],Client[],4,FALSE)</f>
        <v>Pro Monde</v>
      </c>
      <c r="P212" s="1">
        <f>VLOOKUP(Master[[#This Row],[Province_RDC]],Client[],5,FALSE)</f>
        <v>333</v>
      </c>
      <c r="Q212" s="1">
        <f>VLOOKUP(Master[[#This Row],[Province_RDC]],Client[],6,FALSE)</f>
        <v>74.319999999999993</v>
      </c>
      <c r="R212" s="1">
        <f>VLOOKUP(Master[[#This Row],[Province_RDC]],Client[],7,FALSE)</f>
        <v>1</v>
      </c>
      <c r="S212" s="1" t="str">
        <f>IF(Master[[#This Row],[Type_Forfait]]="Pro Monde","B2B","B2C")</f>
        <v>B2B</v>
      </c>
      <c r="T212" s="1">
        <f>Master[[#This Row],[Anciennete_Mois]]/12</f>
        <v>8.4166666666666661</v>
      </c>
      <c r="U212" s="1">
        <f>Master[[#This Row],[Duree_Cumule_Panne_Min]]/60</f>
        <v>5.55</v>
      </c>
      <c r="V21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12" s="6">
        <f>Master[[#This Row],[Facture_Mensuelle]]*Master[[#This Row],[Remise]]</f>
        <v>33.443999999999996</v>
      </c>
    </row>
    <row r="213" spans="1:24" x14ac:dyDescent="0.25">
      <c r="A213" s="1" t="s">
        <v>1024</v>
      </c>
      <c r="B213" t="str">
        <f>IFERROR(VLOOKUP(Master[[#This Row],[Cell_ID]],Registre_Maintenance[],2,FALSE),"")</f>
        <v>Ituri</v>
      </c>
      <c r="C213" s="1" t="s">
        <v>1029</v>
      </c>
      <c r="D213" s="2">
        <v>45230.997916666667</v>
      </c>
      <c r="E213" s="3">
        <v>45230.997916666667</v>
      </c>
      <c r="F213">
        <v>72</v>
      </c>
      <c r="G213">
        <f>Master[[#This Row],[Duree_Panne_Min]]/60</f>
        <v>1.2</v>
      </c>
      <c r="H213" s="1" t="s">
        <v>737</v>
      </c>
      <c r="I213">
        <f>IFERROR(VLOOKUP(Master[[#This Row],[Cell_ID]],Registre_Maintenance[],3,FALSE),"")</f>
        <v>-1.9120569999999999</v>
      </c>
      <c r="J213">
        <f>IFERROR(VLOOKUP(Master[[#This Row],[Cell_ID]],Registre_Maintenance[],4,FALSE),"")</f>
        <v>15.236072999999999</v>
      </c>
      <c r="K213" t="str">
        <f>IFERROR(VLOOKUP(Master[[#This Row],[Cell_ID]],Registre_Maintenance[],5,FALSE),"")</f>
        <v>5G</v>
      </c>
      <c r="L213" t="str">
        <f>IFERROR(VLOOKUP(Master[[#This Row],[Cell_ID]],Registre_Maintenance[],6,FALSE),"")</f>
        <v>Huawei</v>
      </c>
      <c r="M213" s="1" t="str">
        <f>VLOOKUP(Master[[#This Row],[Province_RDC]],Client[],2,FALSE)</f>
        <v>CLI-00041</v>
      </c>
      <c r="N213" s="1">
        <f>VLOOKUP(Master[[#This Row],[Province_RDC]],Client[],3,FALSE)</f>
        <v>103</v>
      </c>
      <c r="O213" s="1" t="str">
        <f>VLOOKUP(Master[[#This Row],[Province_RDC]],Client[],4,FALSE)</f>
        <v>Pro Monde</v>
      </c>
      <c r="P213" s="1">
        <f>VLOOKUP(Master[[#This Row],[Province_RDC]],Client[],5,FALSE)</f>
        <v>105</v>
      </c>
      <c r="Q213" s="1">
        <f>VLOOKUP(Master[[#This Row],[Province_RDC]],Client[],6,FALSE)</f>
        <v>61.52</v>
      </c>
      <c r="R213" s="1">
        <f>VLOOKUP(Master[[#This Row],[Province_RDC]],Client[],7,FALSE)</f>
        <v>3</v>
      </c>
      <c r="S213" s="1" t="str">
        <f>IF(Master[[#This Row],[Type_Forfait]]="Pro Monde","B2B","B2C")</f>
        <v>B2B</v>
      </c>
      <c r="T213" s="1">
        <f>Master[[#This Row],[Anciennete_Mois]]/12</f>
        <v>8.5833333333333339</v>
      </c>
      <c r="U213" s="1">
        <f>Master[[#This Row],[Duree_Cumule_Panne_Min]]/60</f>
        <v>1.75</v>
      </c>
      <c r="V21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1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13" s="6">
        <f>Master[[#This Row],[Facture_Mensuelle]]*Master[[#This Row],[Remise]]</f>
        <v>6.152000000000001</v>
      </c>
    </row>
    <row r="214" spans="1:24" x14ac:dyDescent="0.25">
      <c r="A214" s="1" t="s">
        <v>823</v>
      </c>
      <c r="B214" t="str">
        <f>IFERROR(VLOOKUP(Master[[#This Row],[Cell_ID]],Registre_Maintenance[],2,FALSE),"")</f>
        <v>Nord-Kivu</v>
      </c>
      <c r="C214" s="1" t="s">
        <v>797</v>
      </c>
      <c r="D214" s="2">
        <v>45225.776388888888</v>
      </c>
      <c r="E214" s="3">
        <v>45225.776388888888</v>
      </c>
      <c r="F214">
        <v>71</v>
      </c>
      <c r="G214">
        <f>Master[[#This Row],[Duree_Panne_Min]]/60</f>
        <v>1.1833333333333333</v>
      </c>
      <c r="H214" s="1" t="s">
        <v>732</v>
      </c>
      <c r="I214">
        <f>IFERROR(VLOOKUP(Master[[#This Row],[Cell_ID]],Registre_Maintenance[],3,FALSE),"")</f>
        <v>0.82868600000000003</v>
      </c>
      <c r="J214">
        <f>IFERROR(VLOOKUP(Master[[#This Row],[Cell_ID]],Registre_Maintenance[],4,FALSE),"")</f>
        <v>26.958843999999999</v>
      </c>
      <c r="K214" t="str">
        <f>IFERROR(VLOOKUP(Master[[#This Row],[Cell_ID]],Registre_Maintenance[],5,FALSE),"")</f>
        <v>5G</v>
      </c>
      <c r="L214" t="str">
        <f>IFERROR(VLOOKUP(Master[[#This Row],[Cell_ID]],Registre_Maintenance[],6,FALSE),"")</f>
        <v>ZTE</v>
      </c>
      <c r="M214" s="1" t="str">
        <f>VLOOKUP(Master[[#This Row],[Province_RDC]],Client[],2,FALSE)</f>
        <v>CLI-00837</v>
      </c>
      <c r="N214" s="1">
        <f>VLOOKUP(Master[[#This Row],[Province_RDC]],Client[],3,FALSE)</f>
        <v>16</v>
      </c>
      <c r="O214" s="1" t="str">
        <f>VLOOKUP(Master[[#This Row],[Province_RDC]],Client[],4,FALSE)</f>
        <v>Bloqué 5Go</v>
      </c>
      <c r="P214" s="1">
        <f>VLOOKUP(Master[[#This Row],[Province_RDC]],Client[],5,FALSE)</f>
        <v>390</v>
      </c>
      <c r="Q214" s="1">
        <f>VLOOKUP(Master[[#This Row],[Province_RDC]],Client[],6,FALSE)</f>
        <v>98.17</v>
      </c>
      <c r="R214" s="1">
        <f>VLOOKUP(Master[[#This Row],[Province_RDC]],Client[],7,FALSE)</f>
        <v>5</v>
      </c>
      <c r="S214" s="1" t="str">
        <f>IF(Master[[#This Row],[Type_Forfait]]="Pro Monde","B2B","B2C")</f>
        <v>B2C</v>
      </c>
      <c r="T214" s="1">
        <f>Master[[#This Row],[Anciennete_Mois]]/12</f>
        <v>1.3333333333333333</v>
      </c>
      <c r="U214" s="1">
        <f>Master[[#This Row],[Duree_Cumule_Panne_Min]]/60</f>
        <v>6.5</v>
      </c>
      <c r="V21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14" s="6">
        <f>Master[[#This Row],[Facture_Mensuelle]]*Master[[#This Row],[Remise]]</f>
        <v>44.176500000000004</v>
      </c>
    </row>
    <row r="215" spans="1:24" x14ac:dyDescent="0.25">
      <c r="A215" s="1" t="s">
        <v>861</v>
      </c>
      <c r="B215" t="str">
        <f>IFERROR(VLOOKUP(Master[[#This Row],[Cell_ID]],Registre_Maintenance[],2,FALSE),"")</f>
        <v>Kasai-Central</v>
      </c>
      <c r="C215" s="1" t="s">
        <v>863</v>
      </c>
      <c r="D215" s="2">
        <v>45204.81527777778</v>
      </c>
      <c r="E215" s="3">
        <v>45204.81527777778</v>
      </c>
      <c r="F215">
        <v>71</v>
      </c>
      <c r="G215">
        <f>Master[[#This Row],[Duree_Panne_Min]]/60</f>
        <v>1.1833333333333333</v>
      </c>
      <c r="H215" s="1" t="s">
        <v>737</v>
      </c>
      <c r="I215">
        <f>IFERROR(VLOOKUP(Master[[#This Row],[Cell_ID]],Registre_Maintenance[],3,FALSE),"")</f>
        <v>-10.414493</v>
      </c>
      <c r="J215">
        <f>IFERROR(VLOOKUP(Master[[#This Row],[Cell_ID]],Registre_Maintenance[],4,FALSE),"")</f>
        <v>12.333356999999999</v>
      </c>
      <c r="K215" t="str">
        <f>IFERROR(VLOOKUP(Master[[#This Row],[Cell_ID]],Registre_Maintenance[],5,FALSE),"")</f>
        <v>3G</v>
      </c>
      <c r="L215" t="str">
        <f>IFERROR(VLOOKUP(Master[[#This Row],[Cell_ID]],Registre_Maintenance[],6,FALSE),"")</f>
        <v>Ericsson</v>
      </c>
      <c r="M215" s="1" t="str">
        <f>VLOOKUP(Master[[#This Row],[Province_RDC]],Client[],2,FALSE)</f>
        <v>CLI-00060</v>
      </c>
      <c r="N215" s="1">
        <f>VLOOKUP(Master[[#This Row],[Province_RDC]],Client[],3,FALSE)</f>
        <v>72</v>
      </c>
      <c r="O215" s="1" t="str">
        <f>VLOOKUP(Master[[#This Row],[Province_RDC]],Client[],4,FALSE)</f>
        <v>Pro Monde</v>
      </c>
      <c r="P215" s="1">
        <f>VLOOKUP(Master[[#This Row],[Province_RDC]],Client[],5,FALSE)</f>
        <v>160</v>
      </c>
      <c r="Q215" s="1">
        <f>VLOOKUP(Master[[#This Row],[Province_RDC]],Client[],6,FALSE)</f>
        <v>90.13</v>
      </c>
      <c r="R215" s="1">
        <f>VLOOKUP(Master[[#This Row],[Province_RDC]],Client[],7,FALSE)</f>
        <v>2</v>
      </c>
      <c r="S215" s="1" t="str">
        <f>IF(Master[[#This Row],[Type_Forfait]]="Pro Monde","B2B","B2C")</f>
        <v>B2B</v>
      </c>
      <c r="T215" s="1">
        <f>Master[[#This Row],[Anciennete_Mois]]/12</f>
        <v>6</v>
      </c>
      <c r="U215" s="1">
        <f>Master[[#This Row],[Duree_Cumule_Panne_Min]]/60</f>
        <v>2.6666666666666665</v>
      </c>
      <c r="V21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1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15" s="6">
        <f>Master[[#This Row],[Facture_Mensuelle]]*Master[[#This Row],[Remise]]</f>
        <v>9.0129999999999999</v>
      </c>
    </row>
    <row r="216" spans="1:24" x14ac:dyDescent="0.25">
      <c r="A216" s="1" t="s">
        <v>730</v>
      </c>
      <c r="B216" t="str">
        <f>IFERROR(VLOOKUP(Master[[#This Row],[Cell_ID]],Registre_Maintenance[],2,FALSE),"")</f>
        <v>Lomami</v>
      </c>
      <c r="C216" s="1" t="s">
        <v>745</v>
      </c>
      <c r="D216" s="2">
        <v>45218.368750000001</v>
      </c>
      <c r="E216" s="3">
        <v>45218.368750000001</v>
      </c>
      <c r="F216">
        <v>70</v>
      </c>
      <c r="G216">
        <f>Master[[#This Row],[Duree_Panne_Min]]/60</f>
        <v>1.1666666666666667</v>
      </c>
      <c r="H216" s="1" t="s">
        <v>732</v>
      </c>
      <c r="I216">
        <f>IFERROR(VLOOKUP(Master[[#This Row],[Cell_ID]],Registre_Maintenance[],3,FALSE),"")</f>
        <v>-8.4227860000000003</v>
      </c>
      <c r="J216">
        <f>IFERROR(VLOOKUP(Master[[#This Row],[Cell_ID]],Registre_Maintenance[],4,FALSE),"")</f>
        <v>16.781293000000002</v>
      </c>
      <c r="K216" t="str">
        <f>IFERROR(VLOOKUP(Master[[#This Row],[Cell_ID]],Registre_Maintenance[],5,FALSE),"")</f>
        <v>4G</v>
      </c>
      <c r="L216" t="str">
        <f>IFERROR(VLOOKUP(Master[[#This Row],[Cell_ID]],Registre_Maintenance[],6,FALSE),"")</f>
        <v>Huawei</v>
      </c>
      <c r="M216" s="1" t="str">
        <f>VLOOKUP(Master[[#This Row],[Province_RDC]],Client[],2,FALSE)</f>
        <v>CLI-00505</v>
      </c>
      <c r="N216" s="1">
        <f>VLOOKUP(Master[[#This Row],[Province_RDC]],Client[],3,FALSE)</f>
        <v>59</v>
      </c>
      <c r="O216" s="1" t="str">
        <f>VLOOKUP(Master[[#This Row],[Province_RDC]],Client[],4,FALSE)</f>
        <v>Bloqué 5Go</v>
      </c>
      <c r="P216" s="1">
        <f>VLOOKUP(Master[[#This Row],[Province_RDC]],Client[],5,FALSE)</f>
        <v>196</v>
      </c>
      <c r="Q216" s="1">
        <f>VLOOKUP(Master[[#This Row],[Province_RDC]],Client[],6,FALSE)</f>
        <v>62.53</v>
      </c>
      <c r="R216" s="1">
        <f>VLOOKUP(Master[[#This Row],[Province_RDC]],Client[],7,FALSE)</f>
        <v>0</v>
      </c>
      <c r="S216" s="1" t="str">
        <f>IF(Master[[#This Row],[Type_Forfait]]="Pro Monde","B2B","B2C")</f>
        <v>B2C</v>
      </c>
      <c r="T216" s="1">
        <f>Master[[#This Row],[Anciennete_Mois]]/12</f>
        <v>4.916666666666667</v>
      </c>
      <c r="U216" s="1">
        <f>Master[[#This Row],[Duree_Cumule_Panne_Min]]/60</f>
        <v>3.2666666666666666</v>
      </c>
      <c r="V21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1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16" s="6">
        <f>Master[[#This Row],[Facture_Mensuelle]]*Master[[#This Row],[Remise]]</f>
        <v>0</v>
      </c>
    </row>
    <row r="217" spans="1:24" x14ac:dyDescent="0.25">
      <c r="A217" s="1" t="s">
        <v>1361</v>
      </c>
      <c r="B217" t="str">
        <f>IFERROR(VLOOKUP(Master[[#This Row],[Cell_ID]],Registre_Maintenance[],2,FALSE),"")</f>
        <v>Bas-Uele</v>
      </c>
      <c r="C217" s="1" t="s">
        <v>1053</v>
      </c>
      <c r="D217" s="2">
        <v>45203.041666666657</v>
      </c>
      <c r="E217" s="3">
        <v>45203.041666666657</v>
      </c>
      <c r="F217">
        <v>69</v>
      </c>
      <c r="G217">
        <f>Master[[#This Row],[Duree_Panne_Min]]/60</f>
        <v>1.1499999999999999</v>
      </c>
      <c r="H217" s="1" t="s">
        <v>737</v>
      </c>
      <c r="I217">
        <f>IFERROR(VLOOKUP(Master[[#This Row],[Cell_ID]],Registre_Maintenance[],3,FALSE),"")</f>
        <v>-2.2876210000000001</v>
      </c>
      <c r="J217">
        <f>IFERROR(VLOOKUP(Master[[#This Row],[Cell_ID]],Registre_Maintenance[],4,FALSE),"")</f>
        <v>27.582545</v>
      </c>
      <c r="K217" t="str">
        <f>IFERROR(VLOOKUP(Master[[#This Row],[Cell_ID]],Registre_Maintenance[],5,FALSE),"")</f>
        <v>4G</v>
      </c>
      <c r="L217" t="str">
        <f>IFERROR(VLOOKUP(Master[[#This Row],[Cell_ID]],Registre_Maintenance[],6,FALSE),"")</f>
        <v>Huawei</v>
      </c>
      <c r="M217" s="1" t="str">
        <f>VLOOKUP(Master[[#This Row],[Province_RDC]],Client[],2,FALSE)</f>
        <v>CLI-01128</v>
      </c>
      <c r="N217" s="1">
        <f>VLOOKUP(Master[[#This Row],[Province_RDC]],Client[],3,FALSE)</f>
        <v>112</v>
      </c>
      <c r="O217" s="1" t="str">
        <f>VLOOKUP(Master[[#This Row],[Province_RDC]],Client[],4,FALSE)</f>
        <v>Premium 5G 150Go</v>
      </c>
      <c r="P217" s="1">
        <f>VLOOKUP(Master[[#This Row],[Province_RDC]],Client[],5,FALSE)</f>
        <v>460</v>
      </c>
      <c r="Q217" s="1">
        <f>VLOOKUP(Master[[#This Row],[Province_RDC]],Client[],6,FALSE)</f>
        <v>55.47</v>
      </c>
      <c r="R217" s="1">
        <f>VLOOKUP(Master[[#This Row],[Province_RDC]],Client[],7,FALSE)</f>
        <v>4</v>
      </c>
      <c r="S217" s="1" t="str">
        <f>IF(Master[[#This Row],[Type_Forfait]]="Pro Monde","B2B","B2C")</f>
        <v>B2C</v>
      </c>
      <c r="T217" s="1">
        <f>Master[[#This Row],[Anciennete_Mois]]/12</f>
        <v>9.3333333333333339</v>
      </c>
      <c r="U217" s="1">
        <f>Master[[#This Row],[Duree_Cumule_Panne_Min]]/60</f>
        <v>7.666666666666667</v>
      </c>
      <c r="V21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17" s="6">
        <f>Master[[#This Row],[Facture_Mensuelle]]*Master[[#This Row],[Remise]]</f>
        <v>24.961500000000001</v>
      </c>
    </row>
    <row r="218" spans="1:24" x14ac:dyDescent="0.25">
      <c r="A218" s="1" t="s">
        <v>1261</v>
      </c>
      <c r="B218" t="str">
        <f>IFERROR(VLOOKUP(Master[[#This Row],[Cell_ID]],Registre_Maintenance[],2,FALSE),"")</f>
        <v>Tshopo</v>
      </c>
      <c r="C218" s="1" t="s">
        <v>885</v>
      </c>
      <c r="D218" s="2">
        <v>45226.969444444447</v>
      </c>
      <c r="E218" s="3">
        <v>45226.969444444447</v>
      </c>
      <c r="F218">
        <v>68</v>
      </c>
      <c r="G218">
        <f>Master[[#This Row],[Duree_Panne_Min]]/60</f>
        <v>1.1333333333333333</v>
      </c>
      <c r="H218" s="1" t="s">
        <v>732</v>
      </c>
      <c r="I218">
        <f>IFERROR(VLOOKUP(Master[[#This Row],[Cell_ID]],Registre_Maintenance[],3,FALSE),"")</f>
        <v>3.0603760000000002</v>
      </c>
      <c r="J218">
        <f>IFERROR(VLOOKUP(Master[[#This Row],[Cell_ID]],Registre_Maintenance[],4,FALSE),"")</f>
        <v>19.708034000000001</v>
      </c>
      <c r="K218" t="str">
        <f>IFERROR(VLOOKUP(Master[[#This Row],[Cell_ID]],Registre_Maintenance[],5,FALSE),"")</f>
        <v>3G</v>
      </c>
      <c r="L218" t="str">
        <f>IFERROR(VLOOKUP(Master[[#This Row],[Cell_ID]],Registre_Maintenance[],6,FALSE),"")</f>
        <v>ZTE</v>
      </c>
      <c r="M218" s="1" t="str">
        <f>VLOOKUP(Master[[#This Row],[Province_RDC]],Client[],2,FALSE)</f>
        <v>CLI-00745</v>
      </c>
      <c r="N218" s="1">
        <f>VLOOKUP(Master[[#This Row],[Province_RDC]],Client[],3,FALSE)</f>
        <v>6</v>
      </c>
      <c r="O218" s="1" t="str">
        <f>VLOOKUP(Master[[#This Row],[Province_RDC]],Client[],4,FALSE)</f>
        <v>Premium 5G 150Go</v>
      </c>
      <c r="P218" s="1">
        <f>VLOOKUP(Master[[#This Row],[Province_RDC]],Client[],5,FALSE)</f>
        <v>207</v>
      </c>
      <c r="Q218" s="1">
        <f>VLOOKUP(Master[[#This Row],[Province_RDC]],Client[],6,FALSE)</f>
        <v>61.55</v>
      </c>
      <c r="R218" s="1">
        <f>VLOOKUP(Master[[#This Row],[Province_RDC]],Client[],7,FALSE)</f>
        <v>0</v>
      </c>
      <c r="S218" s="1" t="str">
        <f>IF(Master[[#This Row],[Type_Forfait]]="Pro Monde","B2B","B2C")</f>
        <v>B2C</v>
      </c>
      <c r="T218" s="1">
        <f>Master[[#This Row],[Anciennete_Mois]]/12</f>
        <v>0.5</v>
      </c>
      <c r="U218" s="1">
        <f>Master[[#This Row],[Duree_Cumule_Panne_Min]]/60</f>
        <v>3.45</v>
      </c>
      <c r="V21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18" s="6">
        <f>Master[[#This Row],[Facture_Mensuelle]]*Master[[#This Row],[Remise]]</f>
        <v>0</v>
      </c>
    </row>
    <row r="219" spans="1:24" x14ac:dyDescent="0.25">
      <c r="A219" s="1" t="s">
        <v>861</v>
      </c>
      <c r="B219" t="str">
        <f>IFERROR(VLOOKUP(Master[[#This Row],[Cell_ID]],Registre_Maintenance[],2,FALSE),"")</f>
        <v>Sud-Ubangi</v>
      </c>
      <c r="C219" s="1" t="s">
        <v>893</v>
      </c>
      <c r="D219" s="2">
        <v>45209.901388888888</v>
      </c>
      <c r="E219" s="3">
        <v>45209.901388888888</v>
      </c>
      <c r="F219">
        <v>68</v>
      </c>
      <c r="G219">
        <f>Master[[#This Row],[Duree_Panne_Min]]/60</f>
        <v>1.1333333333333333</v>
      </c>
      <c r="H219" s="1" t="s">
        <v>735</v>
      </c>
      <c r="I219">
        <f>IFERROR(VLOOKUP(Master[[#This Row],[Cell_ID]],Registre_Maintenance[],3,FALSE),"")</f>
        <v>-8.3241560000000003</v>
      </c>
      <c r="J219">
        <f>IFERROR(VLOOKUP(Master[[#This Row],[Cell_ID]],Registre_Maintenance[],4,FALSE),"")</f>
        <v>19.543866000000001</v>
      </c>
      <c r="K219" t="str">
        <f>IFERROR(VLOOKUP(Master[[#This Row],[Cell_ID]],Registre_Maintenance[],5,FALSE),"")</f>
        <v>4G</v>
      </c>
      <c r="L219" t="str">
        <f>IFERROR(VLOOKUP(Master[[#This Row],[Cell_ID]],Registre_Maintenance[],6,FALSE),"")</f>
        <v>ZTE</v>
      </c>
      <c r="M219" s="1" t="str">
        <f>VLOOKUP(Master[[#This Row],[Province_RDC]],Client[],2,FALSE)</f>
        <v>CLI-00280</v>
      </c>
      <c r="N219" s="1">
        <f>VLOOKUP(Master[[#This Row],[Province_RDC]],Client[],3,FALSE)</f>
        <v>113</v>
      </c>
      <c r="O219" s="1" t="str">
        <f>VLOOKUP(Master[[#This Row],[Province_RDC]],Client[],4,FALSE)</f>
        <v>Illimité 50Go</v>
      </c>
      <c r="P219" s="1">
        <f>VLOOKUP(Master[[#This Row],[Province_RDC]],Client[],5,FALSE)</f>
        <v>380</v>
      </c>
      <c r="Q219" s="1">
        <f>VLOOKUP(Master[[#This Row],[Province_RDC]],Client[],6,FALSE)</f>
        <v>12.11</v>
      </c>
      <c r="R219" s="1">
        <f>VLOOKUP(Master[[#This Row],[Province_RDC]],Client[],7,FALSE)</f>
        <v>0</v>
      </c>
      <c r="S219" s="1" t="str">
        <f>IF(Master[[#This Row],[Type_Forfait]]="Pro Monde","B2B","B2C")</f>
        <v>B2C</v>
      </c>
      <c r="T219" s="1">
        <f>Master[[#This Row],[Anciennete_Mois]]/12</f>
        <v>9.4166666666666661</v>
      </c>
      <c r="U219" s="1">
        <f>Master[[#This Row],[Duree_Cumule_Panne_Min]]/60</f>
        <v>6.333333333333333</v>
      </c>
      <c r="V21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1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19" s="6">
        <f>Master[[#This Row],[Facture_Mensuelle]]*Master[[#This Row],[Remise]]</f>
        <v>5.4494999999999996</v>
      </c>
    </row>
    <row r="220" spans="1:24" x14ac:dyDescent="0.25">
      <c r="A220" s="1" t="s">
        <v>730</v>
      </c>
      <c r="B220" t="str">
        <f>IFERROR(VLOOKUP(Master[[#This Row],[Cell_ID]],Registre_Maintenance[],2,FALSE),"")</f>
        <v>Nord-Ubangi</v>
      </c>
      <c r="C220" s="1" t="s">
        <v>746</v>
      </c>
      <c r="D220" s="2">
        <v>45227.033333333333</v>
      </c>
      <c r="E220" s="3">
        <v>45227.033333333333</v>
      </c>
      <c r="F220">
        <v>68</v>
      </c>
      <c r="G220">
        <f>Master[[#This Row],[Duree_Panne_Min]]/60</f>
        <v>1.1333333333333333</v>
      </c>
      <c r="H220" s="1" t="s">
        <v>737</v>
      </c>
      <c r="I220">
        <f>IFERROR(VLOOKUP(Master[[#This Row],[Cell_ID]],Registre_Maintenance[],3,FALSE),"")</f>
        <v>-10.375266999999999</v>
      </c>
      <c r="J220">
        <f>IFERROR(VLOOKUP(Master[[#This Row],[Cell_ID]],Registre_Maintenance[],4,FALSE),"")</f>
        <v>17.993663000000002</v>
      </c>
      <c r="K220" t="str">
        <f>IFERROR(VLOOKUP(Master[[#This Row],[Cell_ID]],Registre_Maintenance[],5,FALSE),"")</f>
        <v>5G</v>
      </c>
      <c r="L220" t="str">
        <f>IFERROR(VLOOKUP(Master[[#This Row],[Cell_ID]],Registre_Maintenance[],6,FALSE),"")</f>
        <v>ZTE</v>
      </c>
      <c r="M220" s="1" t="str">
        <f>VLOOKUP(Master[[#This Row],[Province_RDC]],Client[],2,FALSE)</f>
        <v>CLI-01170</v>
      </c>
      <c r="N220" s="1">
        <f>VLOOKUP(Master[[#This Row],[Province_RDC]],Client[],3,FALSE)</f>
        <v>98</v>
      </c>
      <c r="O220" s="1" t="str">
        <f>VLOOKUP(Master[[#This Row],[Province_RDC]],Client[],4,FALSE)</f>
        <v>Pro Monde</v>
      </c>
      <c r="P220" s="1">
        <f>VLOOKUP(Master[[#This Row],[Province_RDC]],Client[],5,FALSE)</f>
        <v>482</v>
      </c>
      <c r="Q220" s="1">
        <f>VLOOKUP(Master[[#This Row],[Province_RDC]],Client[],6,FALSE)</f>
        <v>55.04</v>
      </c>
      <c r="R220" s="1">
        <f>VLOOKUP(Master[[#This Row],[Province_RDC]],Client[],7,FALSE)</f>
        <v>5</v>
      </c>
      <c r="S220" s="1" t="str">
        <f>IF(Master[[#This Row],[Type_Forfait]]="Pro Monde","B2B","B2C")</f>
        <v>B2B</v>
      </c>
      <c r="T220" s="1">
        <f>Master[[#This Row],[Anciennete_Mois]]/12</f>
        <v>8.1666666666666661</v>
      </c>
      <c r="U220" s="1">
        <f>Master[[#This Row],[Duree_Cumule_Panne_Min]]/60</f>
        <v>8.0333333333333332</v>
      </c>
      <c r="V22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0" s="6">
        <f>Master[[#This Row],[Facture_Mensuelle]]*Master[[#This Row],[Remise]]</f>
        <v>24.768000000000001</v>
      </c>
    </row>
    <row r="221" spans="1:24" x14ac:dyDescent="0.25">
      <c r="A221" s="1" t="s">
        <v>823</v>
      </c>
      <c r="B221" t="str">
        <f>IFERROR(VLOOKUP(Master[[#This Row],[Cell_ID]],Registre_Maintenance[],2,FALSE),"")</f>
        <v>Nord-Kivu</v>
      </c>
      <c r="C221" s="1" t="s">
        <v>832</v>
      </c>
      <c r="D221" s="2">
        <v>45208.072916666657</v>
      </c>
      <c r="E221" s="3">
        <v>45208.072916666657</v>
      </c>
      <c r="F221">
        <v>68</v>
      </c>
      <c r="G221">
        <f>Master[[#This Row],[Duree_Panne_Min]]/60</f>
        <v>1.1333333333333333</v>
      </c>
      <c r="H221" s="1" t="s">
        <v>732</v>
      </c>
      <c r="I221">
        <f>IFERROR(VLOOKUP(Master[[#This Row],[Cell_ID]],Registre_Maintenance[],3,FALSE),"")</f>
        <v>1.017161</v>
      </c>
      <c r="J221">
        <f>IFERROR(VLOOKUP(Master[[#This Row],[Cell_ID]],Registre_Maintenance[],4,FALSE),"")</f>
        <v>16.519689</v>
      </c>
      <c r="K221" t="str">
        <f>IFERROR(VLOOKUP(Master[[#This Row],[Cell_ID]],Registre_Maintenance[],5,FALSE),"")</f>
        <v>3G</v>
      </c>
      <c r="L221" t="str">
        <f>IFERROR(VLOOKUP(Master[[#This Row],[Cell_ID]],Registre_Maintenance[],6,FALSE),"")</f>
        <v>Nokia</v>
      </c>
      <c r="M221" s="1" t="str">
        <f>VLOOKUP(Master[[#This Row],[Province_RDC]],Client[],2,FALSE)</f>
        <v>CLI-00837</v>
      </c>
      <c r="N221" s="1">
        <f>VLOOKUP(Master[[#This Row],[Province_RDC]],Client[],3,FALSE)</f>
        <v>16</v>
      </c>
      <c r="O221" s="1" t="str">
        <f>VLOOKUP(Master[[#This Row],[Province_RDC]],Client[],4,FALSE)</f>
        <v>Bloqué 5Go</v>
      </c>
      <c r="P221" s="1">
        <f>VLOOKUP(Master[[#This Row],[Province_RDC]],Client[],5,FALSE)</f>
        <v>390</v>
      </c>
      <c r="Q221" s="1">
        <f>VLOOKUP(Master[[#This Row],[Province_RDC]],Client[],6,FALSE)</f>
        <v>98.17</v>
      </c>
      <c r="R221" s="1">
        <f>VLOOKUP(Master[[#This Row],[Province_RDC]],Client[],7,FALSE)</f>
        <v>5</v>
      </c>
      <c r="S221" s="1" t="str">
        <f>IF(Master[[#This Row],[Type_Forfait]]="Pro Monde","B2B","B2C")</f>
        <v>B2C</v>
      </c>
      <c r="T221" s="1">
        <f>Master[[#This Row],[Anciennete_Mois]]/12</f>
        <v>1.3333333333333333</v>
      </c>
      <c r="U221" s="1">
        <f>Master[[#This Row],[Duree_Cumule_Panne_Min]]/60</f>
        <v>6.5</v>
      </c>
      <c r="V22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1" s="6">
        <f>Master[[#This Row],[Facture_Mensuelle]]*Master[[#This Row],[Remise]]</f>
        <v>44.176500000000004</v>
      </c>
    </row>
    <row r="222" spans="1:24" x14ac:dyDescent="0.25">
      <c r="A222" s="1" t="s">
        <v>999</v>
      </c>
      <c r="B222" t="str">
        <f>IFERROR(VLOOKUP(Master[[#This Row],[Cell_ID]],Registre_Maintenance[],2,FALSE),"")</f>
        <v>Ituri</v>
      </c>
      <c r="C222" s="1" t="s">
        <v>1005</v>
      </c>
      <c r="D222" s="2">
        <v>45207.57916666667</v>
      </c>
      <c r="E222" s="3">
        <v>45207.57916666667</v>
      </c>
      <c r="F222">
        <v>68</v>
      </c>
      <c r="G222">
        <f>Master[[#This Row],[Duree_Panne_Min]]/60</f>
        <v>1.1333333333333333</v>
      </c>
      <c r="H222" s="1" t="s">
        <v>732</v>
      </c>
      <c r="I222">
        <f>IFERROR(VLOOKUP(Master[[#This Row],[Cell_ID]],Registre_Maintenance[],3,FALSE),"")</f>
        <v>-3.7720639999999999</v>
      </c>
      <c r="J222">
        <f>IFERROR(VLOOKUP(Master[[#This Row],[Cell_ID]],Registre_Maintenance[],4,FALSE),"")</f>
        <v>16.006277999999998</v>
      </c>
      <c r="K222" t="str">
        <f>IFERROR(VLOOKUP(Master[[#This Row],[Cell_ID]],Registre_Maintenance[],5,FALSE),"")</f>
        <v>5G</v>
      </c>
      <c r="L222" t="str">
        <f>IFERROR(VLOOKUP(Master[[#This Row],[Cell_ID]],Registre_Maintenance[],6,FALSE),"")</f>
        <v>ZTE</v>
      </c>
      <c r="M222" s="1" t="str">
        <f>VLOOKUP(Master[[#This Row],[Province_RDC]],Client[],2,FALSE)</f>
        <v>CLI-00041</v>
      </c>
      <c r="N222" s="1">
        <f>VLOOKUP(Master[[#This Row],[Province_RDC]],Client[],3,FALSE)</f>
        <v>103</v>
      </c>
      <c r="O222" s="1" t="str">
        <f>VLOOKUP(Master[[#This Row],[Province_RDC]],Client[],4,FALSE)</f>
        <v>Pro Monde</v>
      </c>
      <c r="P222" s="1">
        <f>VLOOKUP(Master[[#This Row],[Province_RDC]],Client[],5,FALSE)</f>
        <v>105</v>
      </c>
      <c r="Q222" s="1">
        <f>VLOOKUP(Master[[#This Row],[Province_RDC]],Client[],6,FALSE)</f>
        <v>61.52</v>
      </c>
      <c r="R222" s="1">
        <f>VLOOKUP(Master[[#This Row],[Province_RDC]],Client[],7,FALSE)</f>
        <v>3</v>
      </c>
      <c r="S222" s="1" t="str">
        <f>IF(Master[[#This Row],[Type_Forfait]]="Pro Monde","B2B","B2C")</f>
        <v>B2B</v>
      </c>
      <c r="T222" s="1">
        <f>Master[[#This Row],[Anciennete_Mois]]/12</f>
        <v>8.5833333333333339</v>
      </c>
      <c r="U222" s="1">
        <f>Master[[#This Row],[Duree_Cumule_Panne_Min]]/60</f>
        <v>1.75</v>
      </c>
      <c r="V22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2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22" s="6">
        <f>Master[[#This Row],[Facture_Mensuelle]]*Master[[#This Row],[Remise]]</f>
        <v>6.152000000000001</v>
      </c>
    </row>
    <row r="223" spans="1:24" x14ac:dyDescent="0.25">
      <c r="A223" s="1" t="s">
        <v>902</v>
      </c>
      <c r="B223" t="str">
        <f>IFERROR(VLOOKUP(Master[[#This Row],[Cell_ID]],Registre_Maintenance[],2,FALSE),"")</f>
        <v>Equateur</v>
      </c>
      <c r="C223" s="1" t="s">
        <v>932</v>
      </c>
      <c r="D223" s="2">
        <v>45226.790277777778</v>
      </c>
      <c r="E223" s="3">
        <v>45226.790277777778</v>
      </c>
      <c r="F223">
        <v>68</v>
      </c>
      <c r="G223">
        <f>Master[[#This Row],[Duree_Panne_Min]]/60</f>
        <v>1.1333333333333333</v>
      </c>
      <c r="H223" s="1" t="s">
        <v>737</v>
      </c>
      <c r="I223">
        <f>IFERROR(VLOOKUP(Master[[#This Row],[Cell_ID]],Registre_Maintenance[],3,FALSE),"")</f>
        <v>-0.37665700000000002</v>
      </c>
      <c r="J223">
        <f>IFERROR(VLOOKUP(Master[[#This Row],[Cell_ID]],Registre_Maintenance[],4,FALSE),"")</f>
        <v>25.154807999999999</v>
      </c>
      <c r="K223" t="str">
        <f>IFERROR(VLOOKUP(Master[[#This Row],[Cell_ID]],Registre_Maintenance[],5,FALSE),"")</f>
        <v>3G</v>
      </c>
      <c r="L223" t="str">
        <f>IFERROR(VLOOKUP(Master[[#This Row],[Cell_ID]],Registre_Maintenance[],6,FALSE),"")</f>
        <v>Nokia</v>
      </c>
      <c r="M223" s="1" t="str">
        <f>VLOOKUP(Master[[#This Row],[Province_RDC]],Client[],2,FALSE)</f>
        <v>CLI-00643</v>
      </c>
      <c r="N223" s="1">
        <f>VLOOKUP(Master[[#This Row],[Province_RDC]],Client[],3,FALSE)</f>
        <v>14</v>
      </c>
      <c r="O223" s="1" t="str">
        <f>VLOOKUP(Master[[#This Row],[Province_RDC]],Client[],4,FALSE)</f>
        <v>Pro Monde</v>
      </c>
      <c r="P223" s="1">
        <f>VLOOKUP(Master[[#This Row],[Province_RDC]],Client[],5,FALSE)</f>
        <v>316</v>
      </c>
      <c r="Q223" s="1">
        <f>VLOOKUP(Master[[#This Row],[Province_RDC]],Client[],6,FALSE)</f>
        <v>62.34</v>
      </c>
      <c r="R223" s="1">
        <f>VLOOKUP(Master[[#This Row],[Province_RDC]],Client[],7,FALSE)</f>
        <v>4</v>
      </c>
      <c r="S223" s="1" t="str">
        <f>IF(Master[[#This Row],[Type_Forfait]]="Pro Monde","B2B","B2C")</f>
        <v>B2B</v>
      </c>
      <c r="T223" s="1">
        <f>Master[[#This Row],[Anciennete_Mois]]/12</f>
        <v>1.1666666666666667</v>
      </c>
      <c r="U223" s="1">
        <f>Master[[#This Row],[Duree_Cumule_Panne_Min]]/60</f>
        <v>5.2666666666666666</v>
      </c>
      <c r="V22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3" s="6">
        <f>Master[[#This Row],[Facture_Mensuelle]]*Master[[#This Row],[Remise]]</f>
        <v>28.053000000000001</v>
      </c>
    </row>
    <row r="224" spans="1:24" x14ac:dyDescent="0.25">
      <c r="A224" s="1" t="s">
        <v>1361</v>
      </c>
      <c r="B224" t="str">
        <f>IFERROR(VLOOKUP(Master[[#This Row],[Cell_ID]],Registre_Maintenance[],2,FALSE),"")</f>
        <v>Bas-Uele</v>
      </c>
      <c r="C224" s="1" t="s">
        <v>1363</v>
      </c>
      <c r="D224" s="2">
        <v>45208.961805555547</v>
      </c>
      <c r="E224" s="3">
        <v>45208.961805555547</v>
      </c>
      <c r="F224">
        <v>68</v>
      </c>
      <c r="G224">
        <f>Master[[#This Row],[Duree_Panne_Min]]/60</f>
        <v>1.1333333333333333</v>
      </c>
      <c r="H224" s="1" t="s">
        <v>732</v>
      </c>
      <c r="I224">
        <f>IFERROR(VLOOKUP(Master[[#This Row],[Cell_ID]],Registre_Maintenance[],3,FALSE),"")</f>
        <v>-2.3269820000000001</v>
      </c>
      <c r="J224">
        <f>IFERROR(VLOOKUP(Master[[#This Row],[Cell_ID]],Registre_Maintenance[],4,FALSE),"")</f>
        <v>14.609259</v>
      </c>
      <c r="K224" t="str">
        <f>IFERROR(VLOOKUP(Master[[#This Row],[Cell_ID]],Registre_Maintenance[],5,FALSE),"")</f>
        <v>3G</v>
      </c>
      <c r="L224" t="str">
        <f>IFERROR(VLOOKUP(Master[[#This Row],[Cell_ID]],Registre_Maintenance[],6,FALSE),"")</f>
        <v>Nokia</v>
      </c>
      <c r="M224" s="1" t="str">
        <f>VLOOKUP(Master[[#This Row],[Province_RDC]],Client[],2,FALSE)</f>
        <v>CLI-01128</v>
      </c>
      <c r="N224" s="1">
        <f>VLOOKUP(Master[[#This Row],[Province_RDC]],Client[],3,FALSE)</f>
        <v>112</v>
      </c>
      <c r="O224" s="1" t="str">
        <f>VLOOKUP(Master[[#This Row],[Province_RDC]],Client[],4,FALSE)</f>
        <v>Premium 5G 150Go</v>
      </c>
      <c r="P224" s="1">
        <f>VLOOKUP(Master[[#This Row],[Province_RDC]],Client[],5,FALSE)</f>
        <v>460</v>
      </c>
      <c r="Q224" s="1">
        <f>VLOOKUP(Master[[#This Row],[Province_RDC]],Client[],6,FALSE)</f>
        <v>55.47</v>
      </c>
      <c r="R224" s="1">
        <f>VLOOKUP(Master[[#This Row],[Province_RDC]],Client[],7,FALSE)</f>
        <v>4</v>
      </c>
      <c r="S224" s="1" t="str">
        <f>IF(Master[[#This Row],[Type_Forfait]]="Pro Monde","B2B","B2C")</f>
        <v>B2C</v>
      </c>
      <c r="T224" s="1">
        <f>Master[[#This Row],[Anciennete_Mois]]/12</f>
        <v>9.3333333333333339</v>
      </c>
      <c r="U224" s="1">
        <f>Master[[#This Row],[Duree_Cumule_Panne_Min]]/60</f>
        <v>7.666666666666667</v>
      </c>
      <c r="V22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4" s="6">
        <f>Master[[#This Row],[Facture_Mensuelle]]*Master[[#This Row],[Remise]]</f>
        <v>24.961500000000001</v>
      </c>
    </row>
    <row r="225" spans="1:24" x14ac:dyDescent="0.25">
      <c r="A225" s="1" t="s">
        <v>1219</v>
      </c>
      <c r="B225" t="str">
        <f>IFERROR(VLOOKUP(Master[[#This Row],[Cell_ID]],Registre_Maintenance[],2,FALSE),"")</f>
        <v>Tshuapa</v>
      </c>
      <c r="C225" s="1" t="s">
        <v>1143</v>
      </c>
      <c r="D225" s="2">
        <v>45221.780555555553</v>
      </c>
      <c r="E225" s="3">
        <v>45221.780555555553</v>
      </c>
      <c r="F225">
        <v>67</v>
      </c>
      <c r="G225">
        <f>Master[[#This Row],[Duree_Panne_Min]]/60</f>
        <v>1.1166666666666667</v>
      </c>
      <c r="H225" s="1" t="s">
        <v>732</v>
      </c>
      <c r="I225">
        <f>IFERROR(VLOOKUP(Master[[#This Row],[Cell_ID]],Registre_Maintenance[],3,FALSE),"")</f>
        <v>-7.789663</v>
      </c>
      <c r="J225">
        <f>IFERROR(VLOOKUP(Master[[#This Row],[Cell_ID]],Registre_Maintenance[],4,FALSE),"")</f>
        <v>26.529098000000001</v>
      </c>
      <c r="K225" t="str">
        <f>IFERROR(VLOOKUP(Master[[#This Row],[Cell_ID]],Registre_Maintenance[],5,FALSE),"")</f>
        <v>5G</v>
      </c>
      <c r="L225" t="str">
        <f>IFERROR(VLOOKUP(Master[[#This Row],[Cell_ID]],Registre_Maintenance[],6,FALSE),"")</f>
        <v>Nokia</v>
      </c>
      <c r="M225" s="1" t="str">
        <f>VLOOKUP(Master[[#This Row],[Province_RDC]],Client[],2,FALSE)</f>
        <v>CLI-00894</v>
      </c>
      <c r="N225" s="1">
        <f>VLOOKUP(Master[[#This Row],[Province_RDC]],Client[],3,FALSE)</f>
        <v>63</v>
      </c>
      <c r="O225" s="1" t="str">
        <f>VLOOKUP(Master[[#This Row],[Province_RDC]],Client[],4,FALSE)</f>
        <v>Pro Monde</v>
      </c>
      <c r="P225" s="1">
        <f>VLOOKUP(Master[[#This Row],[Province_RDC]],Client[],5,FALSE)</f>
        <v>205</v>
      </c>
      <c r="Q225" s="1">
        <f>VLOOKUP(Master[[#This Row],[Province_RDC]],Client[],6,FALSE)</f>
        <v>89.19</v>
      </c>
      <c r="R225" s="1">
        <f>VLOOKUP(Master[[#This Row],[Province_RDC]],Client[],7,FALSE)</f>
        <v>0</v>
      </c>
      <c r="S225" s="1" t="str">
        <f>IF(Master[[#This Row],[Type_Forfait]]="Pro Monde","B2B","B2C")</f>
        <v>B2B</v>
      </c>
      <c r="T225" s="1">
        <f>Master[[#This Row],[Anciennete_Mois]]/12</f>
        <v>5.25</v>
      </c>
      <c r="U225" s="1">
        <f>Master[[#This Row],[Duree_Cumule_Panne_Min]]/60</f>
        <v>3.4166666666666665</v>
      </c>
      <c r="V22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2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25" s="6">
        <f>Master[[#This Row],[Facture_Mensuelle]]*Master[[#This Row],[Remise]]</f>
        <v>8.9190000000000005</v>
      </c>
    </row>
    <row r="226" spans="1:24" x14ac:dyDescent="0.25">
      <c r="A226" s="1" t="s">
        <v>1193</v>
      </c>
      <c r="B226" t="str">
        <f>IFERROR(VLOOKUP(Master[[#This Row],[Cell_ID]],Registre_Maintenance[],2,FALSE),"")</f>
        <v>Nord-Ubangi</v>
      </c>
      <c r="C226" s="1" t="s">
        <v>990</v>
      </c>
      <c r="D226" s="2">
        <v>45209.659722222219</v>
      </c>
      <c r="E226" s="3">
        <v>45209.659722222219</v>
      </c>
      <c r="F226">
        <v>67</v>
      </c>
      <c r="G226">
        <f>Master[[#This Row],[Duree_Panne_Min]]/60</f>
        <v>1.1166666666666667</v>
      </c>
      <c r="H226" s="1" t="s">
        <v>737</v>
      </c>
      <c r="I226">
        <f>IFERROR(VLOOKUP(Master[[#This Row],[Cell_ID]],Registre_Maintenance[],3,FALSE),"")</f>
        <v>-7.7839049999999999</v>
      </c>
      <c r="J226">
        <f>IFERROR(VLOOKUP(Master[[#This Row],[Cell_ID]],Registre_Maintenance[],4,FALSE),"")</f>
        <v>14.114281999999999</v>
      </c>
      <c r="K226" t="str">
        <f>IFERROR(VLOOKUP(Master[[#This Row],[Cell_ID]],Registre_Maintenance[],5,FALSE),"")</f>
        <v>3G</v>
      </c>
      <c r="L226" t="str">
        <f>IFERROR(VLOOKUP(Master[[#This Row],[Cell_ID]],Registre_Maintenance[],6,FALSE),"")</f>
        <v>ZTE</v>
      </c>
      <c r="M226" s="1" t="str">
        <f>VLOOKUP(Master[[#This Row],[Province_RDC]],Client[],2,FALSE)</f>
        <v>CLI-01170</v>
      </c>
      <c r="N226" s="1">
        <f>VLOOKUP(Master[[#This Row],[Province_RDC]],Client[],3,FALSE)</f>
        <v>98</v>
      </c>
      <c r="O226" s="1" t="str">
        <f>VLOOKUP(Master[[#This Row],[Province_RDC]],Client[],4,FALSE)</f>
        <v>Pro Monde</v>
      </c>
      <c r="P226" s="1">
        <f>VLOOKUP(Master[[#This Row],[Province_RDC]],Client[],5,FALSE)</f>
        <v>482</v>
      </c>
      <c r="Q226" s="1">
        <f>VLOOKUP(Master[[#This Row],[Province_RDC]],Client[],6,FALSE)</f>
        <v>55.04</v>
      </c>
      <c r="R226" s="1">
        <f>VLOOKUP(Master[[#This Row],[Province_RDC]],Client[],7,FALSE)</f>
        <v>5</v>
      </c>
      <c r="S226" s="1" t="str">
        <f>IF(Master[[#This Row],[Type_Forfait]]="Pro Monde","B2B","B2C")</f>
        <v>B2B</v>
      </c>
      <c r="T226" s="1">
        <f>Master[[#This Row],[Anciennete_Mois]]/12</f>
        <v>8.1666666666666661</v>
      </c>
      <c r="U226" s="1">
        <f>Master[[#This Row],[Duree_Cumule_Panne_Min]]/60</f>
        <v>8.0333333333333332</v>
      </c>
      <c r="V22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6" s="6">
        <f>Master[[#This Row],[Facture_Mensuelle]]*Master[[#This Row],[Remise]]</f>
        <v>24.768000000000001</v>
      </c>
    </row>
    <row r="227" spans="1:24" x14ac:dyDescent="0.25">
      <c r="A227" s="1" t="s">
        <v>1308</v>
      </c>
      <c r="B227" t="str">
        <f>IFERROR(VLOOKUP(Master[[#This Row],[Cell_ID]],Registre_Maintenance[],2,FALSE),"")</f>
        <v>Mai-Ndombe</v>
      </c>
      <c r="C227" s="1" t="s">
        <v>1170</v>
      </c>
      <c r="D227" s="2">
        <v>45227.77847222222</v>
      </c>
      <c r="E227" s="3">
        <v>45227.77847222222</v>
      </c>
      <c r="F227">
        <v>67</v>
      </c>
      <c r="G227">
        <f>Master[[#This Row],[Duree_Panne_Min]]/60</f>
        <v>1.1166666666666667</v>
      </c>
      <c r="H227" s="1" t="s">
        <v>737</v>
      </c>
      <c r="I227">
        <f>IFERROR(VLOOKUP(Master[[#This Row],[Cell_ID]],Registre_Maintenance[],3,FALSE),"")</f>
        <v>-0.47411900000000001</v>
      </c>
      <c r="J227">
        <f>IFERROR(VLOOKUP(Master[[#This Row],[Cell_ID]],Registre_Maintenance[],4,FALSE),"")</f>
        <v>27.184329000000002</v>
      </c>
      <c r="K227" t="str">
        <f>IFERROR(VLOOKUP(Master[[#This Row],[Cell_ID]],Registre_Maintenance[],5,FALSE),"")</f>
        <v>5G</v>
      </c>
      <c r="L227" t="str">
        <f>IFERROR(VLOOKUP(Master[[#This Row],[Cell_ID]],Registre_Maintenance[],6,FALSE),"")</f>
        <v>ZTE</v>
      </c>
      <c r="M227" s="1" t="str">
        <f>VLOOKUP(Master[[#This Row],[Province_RDC]],Client[],2,FALSE)</f>
        <v>CLI-00361</v>
      </c>
      <c r="N227" s="1">
        <f>VLOOKUP(Master[[#This Row],[Province_RDC]],Client[],3,FALSE)</f>
        <v>66</v>
      </c>
      <c r="O227" s="1" t="str">
        <f>VLOOKUP(Master[[#This Row],[Province_RDC]],Client[],4,FALSE)</f>
        <v>Illimité 50Go</v>
      </c>
      <c r="P227" s="1">
        <f>VLOOKUP(Master[[#This Row],[Province_RDC]],Client[],5,FALSE)</f>
        <v>270</v>
      </c>
      <c r="Q227" s="1">
        <f>VLOOKUP(Master[[#This Row],[Province_RDC]],Client[],6,FALSE)</f>
        <v>75.88</v>
      </c>
      <c r="R227" s="1">
        <f>VLOOKUP(Master[[#This Row],[Province_RDC]],Client[],7,FALSE)</f>
        <v>3</v>
      </c>
      <c r="S227" s="1" t="str">
        <f>IF(Master[[#This Row],[Type_Forfait]]="Pro Monde","B2B","B2C")</f>
        <v>B2C</v>
      </c>
      <c r="T227" s="1">
        <f>Master[[#This Row],[Anciennete_Mois]]/12</f>
        <v>5.5</v>
      </c>
      <c r="U227" s="1">
        <f>Master[[#This Row],[Duree_Cumule_Panne_Min]]/60</f>
        <v>4.5</v>
      </c>
      <c r="V22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2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27" s="6">
        <f>Master[[#This Row],[Facture_Mensuelle]]*Master[[#This Row],[Remise]]</f>
        <v>34.146000000000001</v>
      </c>
    </row>
    <row r="228" spans="1:24" x14ac:dyDescent="0.25">
      <c r="A228" s="1" t="s">
        <v>1165</v>
      </c>
      <c r="B228" t="str">
        <f>IFERROR(VLOOKUP(Master[[#This Row],[Cell_ID]],Registre_Maintenance[],2,FALSE),"")</f>
        <v>Lualaba</v>
      </c>
      <c r="C228" s="1" t="s">
        <v>1038</v>
      </c>
      <c r="D228" s="2">
        <v>45216.183333333327</v>
      </c>
      <c r="E228" s="3">
        <v>45216.183333333327</v>
      </c>
      <c r="F228">
        <v>67</v>
      </c>
      <c r="G228">
        <f>Master[[#This Row],[Duree_Panne_Min]]/60</f>
        <v>1.1166666666666667</v>
      </c>
      <c r="H228" s="1" t="s">
        <v>735</v>
      </c>
      <c r="I228">
        <f>IFERROR(VLOOKUP(Master[[#This Row],[Cell_ID]],Registre_Maintenance[],3,FALSE),"")</f>
        <v>-10.967288</v>
      </c>
      <c r="J228">
        <f>IFERROR(VLOOKUP(Master[[#This Row],[Cell_ID]],Registre_Maintenance[],4,FALSE),"")</f>
        <v>17.617781000000001</v>
      </c>
      <c r="K228" t="str">
        <f>IFERROR(VLOOKUP(Master[[#This Row],[Cell_ID]],Registre_Maintenance[],5,FALSE),"")</f>
        <v>4G</v>
      </c>
      <c r="L228" t="str">
        <f>IFERROR(VLOOKUP(Master[[#This Row],[Cell_ID]],Registre_Maintenance[],6,FALSE),"")</f>
        <v>Ericsson</v>
      </c>
      <c r="M228" s="1" t="str">
        <f>VLOOKUP(Master[[#This Row],[Province_RDC]],Client[],2,FALSE)</f>
        <v>CLI-01005</v>
      </c>
      <c r="N228" s="1">
        <f>VLOOKUP(Master[[#This Row],[Province_RDC]],Client[],3,FALSE)</f>
        <v>80</v>
      </c>
      <c r="O228" s="1" t="str">
        <f>VLOOKUP(Master[[#This Row],[Province_RDC]],Client[],4,FALSE)</f>
        <v>Illimité 50Go</v>
      </c>
      <c r="P228" s="1">
        <f>VLOOKUP(Master[[#This Row],[Province_RDC]],Client[],5,FALSE)</f>
        <v>155</v>
      </c>
      <c r="Q228" s="1">
        <f>VLOOKUP(Master[[#This Row],[Province_RDC]],Client[],6,FALSE)</f>
        <v>28.96</v>
      </c>
      <c r="R228" s="1">
        <f>VLOOKUP(Master[[#This Row],[Province_RDC]],Client[],7,FALSE)</f>
        <v>2</v>
      </c>
      <c r="S228" s="1" t="str">
        <f>IF(Master[[#This Row],[Type_Forfait]]="Pro Monde","B2B","B2C")</f>
        <v>B2C</v>
      </c>
      <c r="T228" s="1">
        <f>Master[[#This Row],[Anciennete_Mois]]/12</f>
        <v>6.666666666666667</v>
      </c>
      <c r="U228" s="1">
        <f>Master[[#This Row],[Duree_Cumule_Panne_Min]]/60</f>
        <v>2.5833333333333335</v>
      </c>
      <c r="V22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2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28" s="6">
        <f>Master[[#This Row],[Facture_Mensuelle]]*Master[[#This Row],[Remise]]</f>
        <v>0</v>
      </c>
    </row>
    <row r="229" spans="1:24" x14ac:dyDescent="0.25">
      <c r="A229" s="1" t="s">
        <v>1165</v>
      </c>
      <c r="B229" t="str">
        <f>IFERROR(VLOOKUP(Master[[#This Row],[Cell_ID]],Registre_Maintenance[],2,FALSE),"")</f>
        <v>Lualaba</v>
      </c>
      <c r="C229" s="1" t="s">
        <v>1192</v>
      </c>
      <c r="D229" s="2">
        <v>45210.366666666669</v>
      </c>
      <c r="E229" s="3">
        <v>45210.366666666669</v>
      </c>
      <c r="F229">
        <v>67</v>
      </c>
      <c r="G229">
        <f>Master[[#This Row],[Duree_Panne_Min]]/60</f>
        <v>1.1166666666666667</v>
      </c>
      <c r="H229" s="1" t="s">
        <v>735</v>
      </c>
      <c r="I229">
        <f>IFERROR(VLOOKUP(Master[[#This Row],[Cell_ID]],Registre_Maintenance[],3,FALSE),"")</f>
        <v>-8.0301989999999996</v>
      </c>
      <c r="J229">
        <f>IFERROR(VLOOKUP(Master[[#This Row],[Cell_ID]],Registre_Maintenance[],4,FALSE),"")</f>
        <v>24.122495000000001</v>
      </c>
      <c r="K229" t="str">
        <f>IFERROR(VLOOKUP(Master[[#This Row],[Cell_ID]],Registre_Maintenance[],5,FALSE),"")</f>
        <v>5G</v>
      </c>
      <c r="L229" t="str">
        <f>IFERROR(VLOOKUP(Master[[#This Row],[Cell_ID]],Registre_Maintenance[],6,FALSE),"")</f>
        <v>ZTE</v>
      </c>
      <c r="M229" s="1" t="str">
        <f>VLOOKUP(Master[[#This Row],[Province_RDC]],Client[],2,FALSE)</f>
        <v>CLI-01005</v>
      </c>
      <c r="N229" s="1">
        <f>VLOOKUP(Master[[#This Row],[Province_RDC]],Client[],3,FALSE)</f>
        <v>80</v>
      </c>
      <c r="O229" s="1" t="str">
        <f>VLOOKUP(Master[[#This Row],[Province_RDC]],Client[],4,FALSE)</f>
        <v>Illimité 50Go</v>
      </c>
      <c r="P229" s="1">
        <f>VLOOKUP(Master[[#This Row],[Province_RDC]],Client[],5,FALSE)</f>
        <v>155</v>
      </c>
      <c r="Q229" s="1">
        <f>VLOOKUP(Master[[#This Row],[Province_RDC]],Client[],6,FALSE)</f>
        <v>28.96</v>
      </c>
      <c r="R229" s="1">
        <f>VLOOKUP(Master[[#This Row],[Province_RDC]],Client[],7,FALSE)</f>
        <v>2</v>
      </c>
      <c r="S229" s="1" t="str">
        <f>IF(Master[[#This Row],[Type_Forfait]]="Pro Monde","B2B","B2C")</f>
        <v>B2C</v>
      </c>
      <c r="T229" s="1">
        <f>Master[[#This Row],[Anciennete_Mois]]/12</f>
        <v>6.666666666666667</v>
      </c>
      <c r="U229" s="1">
        <f>Master[[#This Row],[Duree_Cumule_Panne_Min]]/60</f>
        <v>2.5833333333333335</v>
      </c>
      <c r="V22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2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29" s="6">
        <f>Master[[#This Row],[Facture_Mensuelle]]*Master[[#This Row],[Remise]]</f>
        <v>0</v>
      </c>
    </row>
    <row r="230" spans="1:24" x14ac:dyDescent="0.25">
      <c r="A230" s="1" t="s">
        <v>1219</v>
      </c>
      <c r="B230" t="str">
        <f>IFERROR(VLOOKUP(Master[[#This Row],[Cell_ID]],Registre_Maintenance[],2,FALSE),"")</f>
        <v>Haut-Uele</v>
      </c>
      <c r="C230" s="1" t="s">
        <v>1236</v>
      </c>
      <c r="D230" s="2">
        <v>45221.647916666669</v>
      </c>
      <c r="E230" s="3">
        <v>45221.647916666669</v>
      </c>
      <c r="F230">
        <v>67</v>
      </c>
      <c r="G230">
        <f>Master[[#This Row],[Duree_Panne_Min]]/60</f>
        <v>1.1166666666666667</v>
      </c>
      <c r="H230" s="1" t="s">
        <v>732</v>
      </c>
      <c r="I230">
        <f>IFERROR(VLOOKUP(Master[[#This Row],[Cell_ID]],Registre_Maintenance[],3,FALSE),"")</f>
        <v>-11.924048000000001</v>
      </c>
      <c r="J230">
        <f>IFERROR(VLOOKUP(Master[[#This Row],[Cell_ID]],Registre_Maintenance[],4,FALSE),"")</f>
        <v>24.177174999999998</v>
      </c>
      <c r="K230" t="str">
        <f>IFERROR(VLOOKUP(Master[[#This Row],[Cell_ID]],Registre_Maintenance[],5,FALSE),"")</f>
        <v>3G</v>
      </c>
      <c r="L230" t="str">
        <f>IFERROR(VLOOKUP(Master[[#This Row],[Cell_ID]],Registre_Maintenance[],6,FALSE),"")</f>
        <v>Nokia</v>
      </c>
      <c r="M230" s="1" t="str">
        <f>VLOOKUP(Master[[#This Row],[Province_RDC]],Client[],2,FALSE)</f>
        <v>CLI-00439</v>
      </c>
      <c r="N230" s="1">
        <f>VLOOKUP(Master[[#This Row],[Province_RDC]],Client[],3,FALSE)</f>
        <v>40</v>
      </c>
      <c r="O230" s="1" t="str">
        <f>VLOOKUP(Master[[#This Row],[Province_RDC]],Client[],4,FALSE)</f>
        <v>Premium 5G 150Go</v>
      </c>
      <c r="P230" s="1">
        <f>VLOOKUP(Master[[#This Row],[Province_RDC]],Client[],5,FALSE)</f>
        <v>345</v>
      </c>
      <c r="Q230" s="1">
        <f>VLOOKUP(Master[[#This Row],[Province_RDC]],Client[],6,FALSE)</f>
        <v>89.55</v>
      </c>
      <c r="R230" s="1">
        <f>VLOOKUP(Master[[#This Row],[Province_RDC]],Client[],7,FALSE)</f>
        <v>3</v>
      </c>
      <c r="S230" s="1" t="str">
        <f>IF(Master[[#This Row],[Type_Forfait]]="Pro Monde","B2B","B2C")</f>
        <v>B2C</v>
      </c>
      <c r="T230" s="1">
        <f>Master[[#This Row],[Anciennete_Mois]]/12</f>
        <v>3.3333333333333335</v>
      </c>
      <c r="U230" s="1">
        <f>Master[[#This Row],[Duree_Cumule_Panne_Min]]/60</f>
        <v>5.75</v>
      </c>
      <c r="V23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0" s="6">
        <f>Master[[#This Row],[Facture_Mensuelle]]*Master[[#This Row],[Remise]]</f>
        <v>40.297499999999999</v>
      </c>
    </row>
    <row r="231" spans="1:24" x14ac:dyDescent="0.25">
      <c r="A231" s="1" t="s">
        <v>902</v>
      </c>
      <c r="B231" t="str">
        <f>IFERROR(VLOOKUP(Master[[#This Row],[Cell_ID]],Registre_Maintenance[],2,FALSE),"")</f>
        <v>Bas-Uele</v>
      </c>
      <c r="C231" s="1" t="s">
        <v>922</v>
      </c>
      <c r="D231" s="2">
        <v>45205.018055555563</v>
      </c>
      <c r="E231" s="3">
        <v>45205.018055555563</v>
      </c>
      <c r="F231">
        <v>67</v>
      </c>
      <c r="G231">
        <f>Master[[#This Row],[Duree_Panne_Min]]/60</f>
        <v>1.1166666666666667</v>
      </c>
      <c r="H231" s="1" t="s">
        <v>737</v>
      </c>
      <c r="I231">
        <f>IFERROR(VLOOKUP(Master[[#This Row],[Cell_ID]],Registre_Maintenance[],3,FALSE),"")</f>
        <v>1.5278670000000001</v>
      </c>
      <c r="J231">
        <f>IFERROR(VLOOKUP(Master[[#This Row],[Cell_ID]],Registre_Maintenance[],4,FALSE),"")</f>
        <v>13.899388999999999</v>
      </c>
      <c r="K231" t="str">
        <f>IFERROR(VLOOKUP(Master[[#This Row],[Cell_ID]],Registre_Maintenance[],5,FALSE),"")</f>
        <v>3G</v>
      </c>
      <c r="L231" t="str">
        <f>IFERROR(VLOOKUP(Master[[#This Row],[Cell_ID]],Registre_Maintenance[],6,FALSE),"")</f>
        <v>Huawei</v>
      </c>
      <c r="M231" s="1" t="str">
        <f>VLOOKUP(Master[[#This Row],[Province_RDC]],Client[],2,FALSE)</f>
        <v>CLI-01128</v>
      </c>
      <c r="N231" s="1">
        <f>VLOOKUP(Master[[#This Row],[Province_RDC]],Client[],3,FALSE)</f>
        <v>112</v>
      </c>
      <c r="O231" s="1" t="str">
        <f>VLOOKUP(Master[[#This Row],[Province_RDC]],Client[],4,FALSE)</f>
        <v>Premium 5G 150Go</v>
      </c>
      <c r="P231" s="1">
        <f>VLOOKUP(Master[[#This Row],[Province_RDC]],Client[],5,FALSE)</f>
        <v>460</v>
      </c>
      <c r="Q231" s="1">
        <f>VLOOKUP(Master[[#This Row],[Province_RDC]],Client[],6,FALSE)</f>
        <v>55.47</v>
      </c>
      <c r="R231" s="1">
        <f>VLOOKUP(Master[[#This Row],[Province_RDC]],Client[],7,FALSE)</f>
        <v>4</v>
      </c>
      <c r="S231" s="1" t="str">
        <f>IF(Master[[#This Row],[Type_Forfait]]="Pro Monde","B2B","B2C")</f>
        <v>B2C</v>
      </c>
      <c r="T231" s="1">
        <f>Master[[#This Row],[Anciennete_Mois]]/12</f>
        <v>9.3333333333333339</v>
      </c>
      <c r="U231" s="1">
        <f>Master[[#This Row],[Duree_Cumule_Panne_Min]]/60</f>
        <v>7.666666666666667</v>
      </c>
      <c r="V23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1" s="6">
        <f>Master[[#This Row],[Facture_Mensuelle]]*Master[[#This Row],[Remise]]</f>
        <v>24.961500000000001</v>
      </c>
    </row>
    <row r="232" spans="1:24" x14ac:dyDescent="0.25">
      <c r="A232" s="1" t="s">
        <v>1114</v>
      </c>
      <c r="B232" t="str">
        <f>IFERROR(VLOOKUP(Master[[#This Row],[Cell_ID]],Registre_Maintenance[],2,FALSE),"")</f>
        <v>Sankuru</v>
      </c>
      <c r="C232" s="1" t="s">
        <v>1042</v>
      </c>
      <c r="D232" s="2">
        <v>45215.990277777782</v>
      </c>
      <c r="E232" s="3">
        <v>45215.990277777782</v>
      </c>
      <c r="F232">
        <v>66</v>
      </c>
      <c r="G232">
        <f>Master[[#This Row],[Duree_Panne_Min]]/60</f>
        <v>1.1000000000000001</v>
      </c>
      <c r="H232" s="1" t="s">
        <v>737</v>
      </c>
      <c r="I232">
        <f>IFERROR(VLOOKUP(Master[[#This Row],[Cell_ID]],Registre_Maintenance[],3,FALSE),"")</f>
        <v>-1.4110389999999999</v>
      </c>
      <c r="J232">
        <f>IFERROR(VLOOKUP(Master[[#This Row],[Cell_ID]],Registre_Maintenance[],4,FALSE),"")</f>
        <v>21.261644</v>
      </c>
      <c r="K232" t="str">
        <f>IFERROR(VLOOKUP(Master[[#This Row],[Cell_ID]],Registre_Maintenance[],5,FALSE),"")</f>
        <v>4G</v>
      </c>
      <c r="L232" t="str">
        <f>IFERROR(VLOOKUP(Master[[#This Row],[Cell_ID]],Registre_Maintenance[],6,FALSE),"")</f>
        <v>ZTE</v>
      </c>
      <c r="M232" s="1" t="str">
        <f>VLOOKUP(Master[[#This Row],[Province_RDC]],Client[],2,FALSE)</f>
        <v>CLI-00530</v>
      </c>
      <c r="N232" s="1">
        <f>VLOOKUP(Master[[#This Row],[Province_RDC]],Client[],3,FALSE)</f>
        <v>35</v>
      </c>
      <c r="O232" s="1" t="str">
        <f>VLOOKUP(Master[[#This Row],[Province_RDC]],Client[],4,FALSE)</f>
        <v>Pro Monde</v>
      </c>
      <c r="P232" s="1">
        <f>VLOOKUP(Master[[#This Row],[Province_RDC]],Client[],5,FALSE)</f>
        <v>465</v>
      </c>
      <c r="Q232" s="1">
        <f>VLOOKUP(Master[[#This Row],[Province_RDC]],Client[],6,FALSE)</f>
        <v>58.59</v>
      </c>
      <c r="R232" s="1">
        <f>VLOOKUP(Master[[#This Row],[Province_RDC]],Client[],7,FALSE)</f>
        <v>5</v>
      </c>
      <c r="S232" s="1" t="str">
        <f>IF(Master[[#This Row],[Type_Forfait]]="Pro Monde","B2B","B2C")</f>
        <v>B2B</v>
      </c>
      <c r="T232" s="1">
        <f>Master[[#This Row],[Anciennete_Mois]]/12</f>
        <v>2.9166666666666665</v>
      </c>
      <c r="U232" s="1">
        <f>Master[[#This Row],[Duree_Cumule_Panne_Min]]/60</f>
        <v>7.75</v>
      </c>
      <c r="V23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2" s="6">
        <f>Master[[#This Row],[Facture_Mensuelle]]*Master[[#This Row],[Remise]]</f>
        <v>26.365500000000001</v>
      </c>
    </row>
    <row r="233" spans="1:24" x14ac:dyDescent="0.25">
      <c r="A233" s="1" t="s">
        <v>861</v>
      </c>
      <c r="B233" t="str">
        <f>IFERROR(VLOOKUP(Master[[#This Row],[Cell_ID]],Registre_Maintenance[],2,FALSE),"")</f>
        <v>Lualaba</v>
      </c>
      <c r="C233" s="1" t="s">
        <v>872</v>
      </c>
      <c r="D233" s="2">
        <v>45210.45</v>
      </c>
      <c r="E233" s="3">
        <v>45210.45</v>
      </c>
      <c r="F233">
        <v>66</v>
      </c>
      <c r="G233">
        <f>Master[[#This Row],[Duree_Panne_Min]]/60</f>
        <v>1.1000000000000001</v>
      </c>
      <c r="H233" s="1" t="s">
        <v>732</v>
      </c>
      <c r="I233">
        <f>IFERROR(VLOOKUP(Master[[#This Row],[Cell_ID]],Registre_Maintenance[],3,FALSE),"")</f>
        <v>-9.7803979999999999</v>
      </c>
      <c r="J233">
        <f>IFERROR(VLOOKUP(Master[[#This Row],[Cell_ID]],Registre_Maintenance[],4,FALSE),"")</f>
        <v>17.686595000000001</v>
      </c>
      <c r="K233" t="str">
        <f>IFERROR(VLOOKUP(Master[[#This Row],[Cell_ID]],Registre_Maintenance[],5,FALSE),"")</f>
        <v>4G</v>
      </c>
      <c r="L233" t="str">
        <f>IFERROR(VLOOKUP(Master[[#This Row],[Cell_ID]],Registre_Maintenance[],6,FALSE),"")</f>
        <v>Ericsson</v>
      </c>
      <c r="M233" s="1" t="str">
        <f>VLOOKUP(Master[[#This Row],[Province_RDC]],Client[],2,FALSE)</f>
        <v>CLI-01005</v>
      </c>
      <c r="N233" s="1">
        <f>VLOOKUP(Master[[#This Row],[Province_RDC]],Client[],3,FALSE)</f>
        <v>80</v>
      </c>
      <c r="O233" s="1" t="str">
        <f>VLOOKUP(Master[[#This Row],[Province_RDC]],Client[],4,FALSE)</f>
        <v>Illimité 50Go</v>
      </c>
      <c r="P233" s="1">
        <f>VLOOKUP(Master[[#This Row],[Province_RDC]],Client[],5,FALSE)</f>
        <v>155</v>
      </c>
      <c r="Q233" s="1">
        <f>VLOOKUP(Master[[#This Row],[Province_RDC]],Client[],6,FALSE)</f>
        <v>28.96</v>
      </c>
      <c r="R233" s="1">
        <f>VLOOKUP(Master[[#This Row],[Province_RDC]],Client[],7,FALSE)</f>
        <v>2</v>
      </c>
      <c r="S233" s="1" t="str">
        <f>IF(Master[[#This Row],[Type_Forfait]]="Pro Monde","B2B","B2C")</f>
        <v>B2C</v>
      </c>
      <c r="T233" s="1">
        <f>Master[[#This Row],[Anciennete_Mois]]/12</f>
        <v>6.666666666666667</v>
      </c>
      <c r="U233" s="1">
        <f>Master[[#This Row],[Duree_Cumule_Panne_Min]]/60</f>
        <v>2.5833333333333335</v>
      </c>
      <c r="V23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3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33" s="6">
        <f>Master[[#This Row],[Facture_Mensuelle]]*Master[[#This Row],[Remise]]</f>
        <v>0</v>
      </c>
    </row>
    <row r="234" spans="1:24" x14ac:dyDescent="0.25">
      <c r="A234" s="1" t="s">
        <v>1086</v>
      </c>
      <c r="B234" t="str">
        <f>IFERROR(VLOOKUP(Master[[#This Row],[Cell_ID]],Registre_Maintenance[],2,FALSE),"")</f>
        <v>Kasai-Oriental</v>
      </c>
      <c r="C234" s="1" t="s">
        <v>1090</v>
      </c>
      <c r="D234" s="2">
        <v>45207.133333333331</v>
      </c>
      <c r="E234" s="3">
        <v>45207.133333333331</v>
      </c>
      <c r="F234">
        <v>66</v>
      </c>
      <c r="G234">
        <f>Master[[#This Row],[Duree_Panne_Min]]/60</f>
        <v>1.1000000000000001</v>
      </c>
      <c r="H234" s="1" t="s">
        <v>735</v>
      </c>
      <c r="I234">
        <f>IFERROR(VLOOKUP(Master[[#This Row],[Cell_ID]],Registre_Maintenance[],3,FALSE),"")</f>
        <v>-5.4073029999999997</v>
      </c>
      <c r="J234">
        <f>IFERROR(VLOOKUP(Master[[#This Row],[Cell_ID]],Registre_Maintenance[],4,FALSE),"")</f>
        <v>29.762294000000001</v>
      </c>
      <c r="K234" t="str">
        <f>IFERROR(VLOOKUP(Master[[#This Row],[Cell_ID]],Registre_Maintenance[],5,FALSE),"")</f>
        <v>3G</v>
      </c>
      <c r="L234" t="str">
        <f>IFERROR(VLOOKUP(Master[[#This Row],[Cell_ID]],Registre_Maintenance[],6,FALSE),"")</f>
        <v>Ericsson</v>
      </c>
      <c r="M234" s="1" t="str">
        <f>VLOOKUP(Master[[#This Row],[Province_RDC]],Client[],2,FALSE)</f>
        <v>CLI-01837</v>
      </c>
      <c r="N234" s="1">
        <f>VLOOKUP(Master[[#This Row],[Province_RDC]],Client[],3,FALSE)</f>
        <v>97</v>
      </c>
      <c r="O234" s="1" t="str">
        <f>VLOOKUP(Master[[#This Row],[Province_RDC]],Client[],4,FALSE)</f>
        <v>Pro Monde</v>
      </c>
      <c r="P234" s="1">
        <f>VLOOKUP(Master[[#This Row],[Province_RDC]],Client[],5,FALSE)</f>
        <v>319</v>
      </c>
      <c r="Q234" s="1">
        <f>VLOOKUP(Master[[#This Row],[Province_RDC]],Client[],6,FALSE)</f>
        <v>31.25</v>
      </c>
      <c r="R234" s="1">
        <f>VLOOKUP(Master[[#This Row],[Province_RDC]],Client[],7,FALSE)</f>
        <v>1</v>
      </c>
      <c r="S234" s="1" t="str">
        <f>IF(Master[[#This Row],[Type_Forfait]]="Pro Monde","B2B","B2C")</f>
        <v>B2B</v>
      </c>
      <c r="T234" s="1">
        <f>Master[[#This Row],[Anciennete_Mois]]/12</f>
        <v>8.0833333333333339</v>
      </c>
      <c r="U234" s="1">
        <f>Master[[#This Row],[Duree_Cumule_Panne_Min]]/60</f>
        <v>5.3166666666666664</v>
      </c>
      <c r="V23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4" s="6">
        <f>Master[[#This Row],[Facture_Mensuelle]]*Master[[#This Row],[Remise]]</f>
        <v>14.0625</v>
      </c>
    </row>
    <row r="235" spans="1:24" x14ac:dyDescent="0.25">
      <c r="A235" s="1" t="s">
        <v>1193</v>
      </c>
      <c r="B235" t="str">
        <f>IFERROR(VLOOKUP(Master[[#This Row],[Cell_ID]],Registre_Maintenance[],2,FALSE),"")</f>
        <v>Ituri</v>
      </c>
      <c r="C235" s="1" t="s">
        <v>1213</v>
      </c>
      <c r="D235" s="2">
        <v>45209.558333333327</v>
      </c>
      <c r="E235" s="3">
        <v>45209.558333333327</v>
      </c>
      <c r="F235">
        <v>66</v>
      </c>
      <c r="G235">
        <f>Master[[#This Row],[Duree_Panne_Min]]/60</f>
        <v>1.1000000000000001</v>
      </c>
      <c r="H235" s="1" t="s">
        <v>735</v>
      </c>
      <c r="I235">
        <f>IFERROR(VLOOKUP(Master[[#This Row],[Cell_ID]],Registre_Maintenance[],3,FALSE),"")</f>
        <v>-12.595355</v>
      </c>
      <c r="J235">
        <f>IFERROR(VLOOKUP(Master[[#This Row],[Cell_ID]],Registre_Maintenance[],4,FALSE),"")</f>
        <v>17.897442000000002</v>
      </c>
      <c r="K235" t="str">
        <f>IFERROR(VLOOKUP(Master[[#This Row],[Cell_ID]],Registre_Maintenance[],5,FALSE),"")</f>
        <v>4G</v>
      </c>
      <c r="L235" t="str">
        <f>IFERROR(VLOOKUP(Master[[#This Row],[Cell_ID]],Registre_Maintenance[],6,FALSE),"")</f>
        <v>Huawei</v>
      </c>
      <c r="M235" s="1" t="str">
        <f>VLOOKUP(Master[[#This Row],[Province_RDC]],Client[],2,FALSE)</f>
        <v>CLI-00041</v>
      </c>
      <c r="N235" s="1">
        <f>VLOOKUP(Master[[#This Row],[Province_RDC]],Client[],3,FALSE)</f>
        <v>103</v>
      </c>
      <c r="O235" s="1" t="str">
        <f>VLOOKUP(Master[[#This Row],[Province_RDC]],Client[],4,FALSE)</f>
        <v>Pro Monde</v>
      </c>
      <c r="P235" s="1">
        <f>VLOOKUP(Master[[#This Row],[Province_RDC]],Client[],5,FALSE)</f>
        <v>105</v>
      </c>
      <c r="Q235" s="1">
        <f>VLOOKUP(Master[[#This Row],[Province_RDC]],Client[],6,FALSE)</f>
        <v>61.52</v>
      </c>
      <c r="R235" s="1">
        <f>VLOOKUP(Master[[#This Row],[Province_RDC]],Client[],7,FALSE)</f>
        <v>3</v>
      </c>
      <c r="S235" s="1" t="str">
        <f>IF(Master[[#This Row],[Type_Forfait]]="Pro Monde","B2B","B2C")</f>
        <v>B2B</v>
      </c>
      <c r="T235" s="1">
        <f>Master[[#This Row],[Anciennete_Mois]]/12</f>
        <v>8.5833333333333339</v>
      </c>
      <c r="U235" s="1">
        <f>Master[[#This Row],[Duree_Cumule_Panne_Min]]/60</f>
        <v>1.75</v>
      </c>
      <c r="V23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3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35" s="6">
        <f>Master[[#This Row],[Facture_Mensuelle]]*Master[[#This Row],[Remise]]</f>
        <v>6.152000000000001</v>
      </c>
    </row>
    <row r="236" spans="1:24" x14ac:dyDescent="0.25">
      <c r="A236" s="1" t="s">
        <v>1165</v>
      </c>
      <c r="B236" t="str">
        <f>IFERROR(VLOOKUP(Master[[#This Row],[Cell_ID]],Registre_Maintenance[],2,FALSE),"")</f>
        <v>Equateur</v>
      </c>
      <c r="C236" s="1" t="s">
        <v>1190</v>
      </c>
      <c r="D236" s="2">
        <v>45226.313194444447</v>
      </c>
      <c r="E236" s="3">
        <v>45226.313194444447</v>
      </c>
      <c r="F236">
        <v>66</v>
      </c>
      <c r="G236">
        <f>Master[[#This Row],[Duree_Panne_Min]]/60</f>
        <v>1.1000000000000001</v>
      </c>
      <c r="H236" s="1" t="s">
        <v>737</v>
      </c>
      <c r="I236">
        <f>IFERROR(VLOOKUP(Master[[#This Row],[Cell_ID]],Registre_Maintenance[],3,FALSE),"")</f>
        <v>-12.839263000000001</v>
      </c>
      <c r="J236">
        <f>IFERROR(VLOOKUP(Master[[#This Row],[Cell_ID]],Registre_Maintenance[],4,FALSE),"")</f>
        <v>12.355677</v>
      </c>
      <c r="K236" t="str">
        <f>IFERROR(VLOOKUP(Master[[#This Row],[Cell_ID]],Registre_Maintenance[],5,FALSE),"")</f>
        <v>3G</v>
      </c>
      <c r="L236" t="str">
        <f>IFERROR(VLOOKUP(Master[[#This Row],[Cell_ID]],Registre_Maintenance[],6,FALSE),"")</f>
        <v>Huawei</v>
      </c>
      <c r="M236" s="1" t="str">
        <f>VLOOKUP(Master[[#This Row],[Province_RDC]],Client[],2,FALSE)</f>
        <v>CLI-00643</v>
      </c>
      <c r="N236" s="1">
        <f>VLOOKUP(Master[[#This Row],[Province_RDC]],Client[],3,FALSE)</f>
        <v>14</v>
      </c>
      <c r="O236" s="1" t="str">
        <f>VLOOKUP(Master[[#This Row],[Province_RDC]],Client[],4,FALSE)</f>
        <v>Pro Monde</v>
      </c>
      <c r="P236" s="1">
        <f>VLOOKUP(Master[[#This Row],[Province_RDC]],Client[],5,FALSE)</f>
        <v>316</v>
      </c>
      <c r="Q236" s="1">
        <f>VLOOKUP(Master[[#This Row],[Province_RDC]],Client[],6,FALSE)</f>
        <v>62.34</v>
      </c>
      <c r="R236" s="1">
        <f>VLOOKUP(Master[[#This Row],[Province_RDC]],Client[],7,FALSE)</f>
        <v>4</v>
      </c>
      <c r="S236" s="1" t="str">
        <f>IF(Master[[#This Row],[Type_Forfait]]="Pro Monde","B2B","B2C")</f>
        <v>B2B</v>
      </c>
      <c r="T236" s="1">
        <f>Master[[#This Row],[Anciennete_Mois]]/12</f>
        <v>1.1666666666666667</v>
      </c>
      <c r="U236" s="1">
        <f>Master[[#This Row],[Duree_Cumule_Panne_Min]]/60</f>
        <v>5.2666666666666666</v>
      </c>
      <c r="V23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3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36" s="6">
        <f>Master[[#This Row],[Facture_Mensuelle]]*Master[[#This Row],[Remise]]</f>
        <v>28.053000000000001</v>
      </c>
    </row>
    <row r="237" spans="1:24" x14ac:dyDescent="0.25">
      <c r="A237" s="1" t="s">
        <v>902</v>
      </c>
      <c r="B237" t="str">
        <f>IFERROR(VLOOKUP(Master[[#This Row],[Cell_ID]],Registre_Maintenance[],2,FALSE),"")</f>
        <v>Tshuapa</v>
      </c>
      <c r="C237" s="1" t="s">
        <v>912</v>
      </c>
      <c r="D237" s="2">
        <v>45219.801388888889</v>
      </c>
      <c r="E237" s="3">
        <v>45219.801388888889</v>
      </c>
      <c r="F237">
        <v>65</v>
      </c>
      <c r="G237">
        <f>Master[[#This Row],[Duree_Panne_Min]]/60</f>
        <v>1.0833333333333333</v>
      </c>
      <c r="H237" s="1" t="s">
        <v>735</v>
      </c>
      <c r="I237">
        <f>IFERROR(VLOOKUP(Master[[#This Row],[Cell_ID]],Registre_Maintenance[],3,FALSE),"")</f>
        <v>0.52897499999999997</v>
      </c>
      <c r="J237">
        <f>IFERROR(VLOOKUP(Master[[#This Row],[Cell_ID]],Registre_Maintenance[],4,FALSE),"")</f>
        <v>13.849651</v>
      </c>
      <c r="K237" t="str">
        <f>IFERROR(VLOOKUP(Master[[#This Row],[Cell_ID]],Registre_Maintenance[],5,FALSE),"")</f>
        <v>3G</v>
      </c>
      <c r="L237" t="str">
        <f>IFERROR(VLOOKUP(Master[[#This Row],[Cell_ID]],Registre_Maintenance[],6,FALSE),"")</f>
        <v>ZTE</v>
      </c>
      <c r="M237" s="1" t="str">
        <f>VLOOKUP(Master[[#This Row],[Province_RDC]],Client[],2,FALSE)</f>
        <v>CLI-00894</v>
      </c>
      <c r="N237" s="1">
        <f>VLOOKUP(Master[[#This Row],[Province_RDC]],Client[],3,FALSE)</f>
        <v>63</v>
      </c>
      <c r="O237" s="1" t="str">
        <f>VLOOKUP(Master[[#This Row],[Province_RDC]],Client[],4,FALSE)</f>
        <v>Pro Monde</v>
      </c>
      <c r="P237" s="1">
        <f>VLOOKUP(Master[[#This Row],[Province_RDC]],Client[],5,FALSE)</f>
        <v>205</v>
      </c>
      <c r="Q237" s="1">
        <f>VLOOKUP(Master[[#This Row],[Province_RDC]],Client[],6,FALSE)</f>
        <v>89.19</v>
      </c>
      <c r="R237" s="1">
        <f>VLOOKUP(Master[[#This Row],[Province_RDC]],Client[],7,FALSE)</f>
        <v>0</v>
      </c>
      <c r="S237" s="1" t="str">
        <f>IF(Master[[#This Row],[Type_Forfait]]="Pro Monde","B2B","B2C")</f>
        <v>B2B</v>
      </c>
      <c r="T237" s="1">
        <f>Master[[#This Row],[Anciennete_Mois]]/12</f>
        <v>5.25</v>
      </c>
      <c r="U237" s="1">
        <f>Master[[#This Row],[Duree_Cumule_Panne_Min]]/60</f>
        <v>3.4166666666666665</v>
      </c>
      <c r="V23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3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37" s="6">
        <f>Master[[#This Row],[Facture_Mensuelle]]*Master[[#This Row],[Remise]]</f>
        <v>8.9190000000000005</v>
      </c>
    </row>
    <row r="238" spans="1:24" x14ac:dyDescent="0.25">
      <c r="A238" s="1" t="s">
        <v>1288</v>
      </c>
      <c r="B238" t="str">
        <f>IFERROR(VLOOKUP(Master[[#This Row],[Cell_ID]],Registre_Maintenance[],2,FALSE),"")</f>
        <v>Tanganyika</v>
      </c>
      <c r="C238" s="1" t="s">
        <v>1294</v>
      </c>
      <c r="D238" s="2">
        <v>45221.861805555563</v>
      </c>
      <c r="E238" s="3">
        <v>45221.861805555563</v>
      </c>
      <c r="F238">
        <v>65</v>
      </c>
      <c r="G238">
        <f>Master[[#This Row],[Duree_Panne_Min]]/60</f>
        <v>1.0833333333333333</v>
      </c>
      <c r="H238" s="1" t="s">
        <v>732</v>
      </c>
      <c r="I238">
        <f>IFERROR(VLOOKUP(Master[[#This Row],[Cell_ID]],Registre_Maintenance[],3,FALSE),"")</f>
        <v>-3.9148719999999999</v>
      </c>
      <c r="J238">
        <f>IFERROR(VLOOKUP(Master[[#This Row],[Cell_ID]],Registre_Maintenance[],4,FALSE),"")</f>
        <v>12.260933</v>
      </c>
      <c r="K238" t="str">
        <f>IFERROR(VLOOKUP(Master[[#This Row],[Cell_ID]],Registre_Maintenance[],5,FALSE),"")</f>
        <v>4G</v>
      </c>
      <c r="L238" t="str">
        <f>IFERROR(VLOOKUP(Master[[#This Row],[Cell_ID]],Registre_Maintenance[],6,FALSE),"")</f>
        <v>Ericsson</v>
      </c>
      <c r="M238" s="1" t="str">
        <f>VLOOKUP(Master[[#This Row],[Province_RDC]],Client[],2,FALSE)</f>
        <v>CLI-01618</v>
      </c>
      <c r="N238" s="1">
        <f>VLOOKUP(Master[[#This Row],[Province_RDC]],Client[],3,FALSE)</f>
        <v>115</v>
      </c>
      <c r="O238" s="1" t="str">
        <f>VLOOKUP(Master[[#This Row],[Province_RDC]],Client[],4,FALSE)</f>
        <v>Bloqué 5Go</v>
      </c>
      <c r="P238" s="1">
        <f>VLOOKUP(Master[[#This Row],[Province_RDC]],Client[],5,FALSE)</f>
        <v>176</v>
      </c>
      <c r="Q238" s="1">
        <f>VLOOKUP(Master[[#This Row],[Province_RDC]],Client[],6,FALSE)</f>
        <v>33.28</v>
      </c>
      <c r="R238" s="1">
        <f>VLOOKUP(Master[[#This Row],[Province_RDC]],Client[],7,FALSE)</f>
        <v>4</v>
      </c>
      <c r="S238" s="1" t="str">
        <f>IF(Master[[#This Row],[Type_Forfait]]="Pro Monde","B2B","B2C")</f>
        <v>B2C</v>
      </c>
      <c r="T238" s="1">
        <f>Master[[#This Row],[Anciennete_Mois]]/12</f>
        <v>9.5833333333333339</v>
      </c>
      <c r="U238" s="1">
        <f>Master[[#This Row],[Duree_Cumule_Panne_Min]]/60</f>
        <v>2.9333333333333331</v>
      </c>
      <c r="V23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3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38" s="6">
        <f>Master[[#This Row],[Facture_Mensuelle]]*Master[[#This Row],[Remise]]</f>
        <v>0</v>
      </c>
    </row>
    <row r="239" spans="1:24" x14ac:dyDescent="0.25">
      <c r="A239" s="1" t="s">
        <v>902</v>
      </c>
      <c r="B239" t="str">
        <f>IFERROR(VLOOKUP(Master[[#This Row],[Cell_ID]],Registre_Maintenance[],2,FALSE),"")</f>
        <v>Lomami</v>
      </c>
      <c r="C239" s="1" t="s">
        <v>749</v>
      </c>
      <c r="D239" s="2">
        <v>45215.376388888893</v>
      </c>
      <c r="E239" s="3">
        <v>45215.376388888893</v>
      </c>
      <c r="F239">
        <v>65</v>
      </c>
      <c r="G239">
        <f>Master[[#This Row],[Duree_Panne_Min]]/60</f>
        <v>1.0833333333333333</v>
      </c>
      <c r="H239" s="1" t="s">
        <v>737</v>
      </c>
      <c r="I239">
        <f>IFERROR(VLOOKUP(Master[[#This Row],[Cell_ID]],Registre_Maintenance[],3,FALSE),"")</f>
        <v>-2.2371569999999998</v>
      </c>
      <c r="J239">
        <f>IFERROR(VLOOKUP(Master[[#This Row],[Cell_ID]],Registre_Maintenance[],4,FALSE),"")</f>
        <v>25.926188</v>
      </c>
      <c r="K239" t="str">
        <f>IFERROR(VLOOKUP(Master[[#This Row],[Cell_ID]],Registre_Maintenance[],5,FALSE),"")</f>
        <v>3G</v>
      </c>
      <c r="L239" t="str">
        <f>IFERROR(VLOOKUP(Master[[#This Row],[Cell_ID]],Registre_Maintenance[],6,FALSE),"")</f>
        <v>Nokia</v>
      </c>
      <c r="M239" s="1" t="str">
        <f>VLOOKUP(Master[[#This Row],[Province_RDC]],Client[],2,FALSE)</f>
        <v>CLI-00505</v>
      </c>
      <c r="N239" s="1">
        <f>VLOOKUP(Master[[#This Row],[Province_RDC]],Client[],3,FALSE)</f>
        <v>59</v>
      </c>
      <c r="O239" s="1" t="str">
        <f>VLOOKUP(Master[[#This Row],[Province_RDC]],Client[],4,FALSE)</f>
        <v>Bloqué 5Go</v>
      </c>
      <c r="P239" s="1">
        <f>VLOOKUP(Master[[#This Row],[Province_RDC]],Client[],5,FALSE)</f>
        <v>196</v>
      </c>
      <c r="Q239" s="1">
        <f>VLOOKUP(Master[[#This Row],[Province_RDC]],Client[],6,FALSE)</f>
        <v>62.53</v>
      </c>
      <c r="R239" s="1">
        <f>VLOOKUP(Master[[#This Row],[Province_RDC]],Client[],7,FALSE)</f>
        <v>0</v>
      </c>
      <c r="S239" s="1" t="str">
        <f>IF(Master[[#This Row],[Type_Forfait]]="Pro Monde","B2B","B2C")</f>
        <v>B2C</v>
      </c>
      <c r="T239" s="1">
        <f>Master[[#This Row],[Anciennete_Mois]]/12</f>
        <v>4.916666666666667</v>
      </c>
      <c r="U239" s="1">
        <f>Master[[#This Row],[Duree_Cumule_Panne_Min]]/60</f>
        <v>3.2666666666666666</v>
      </c>
      <c r="V23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3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39" s="6">
        <f>Master[[#This Row],[Facture_Mensuelle]]*Master[[#This Row],[Remise]]</f>
        <v>0</v>
      </c>
    </row>
    <row r="240" spans="1:24" x14ac:dyDescent="0.25">
      <c r="A240" s="1" t="s">
        <v>1361</v>
      </c>
      <c r="B240" t="str">
        <f>IFERROR(VLOOKUP(Master[[#This Row],[Cell_ID]],Registre_Maintenance[],2,FALSE),"")</f>
        <v>Haut-Lomami</v>
      </c>
      <c r="C240" s="1" t="s">
        <v>1271</v>
      </c>
      <c r="D240" s="2">
        <v>45220.222916666673</v>
      </c>
      <c r="E240" s="3">
        <v>45220.222916666673</v>
      </c>
      <c r="F240">
        <v>65</v>
      </c>
      <c r="G240">
        <f>Master[[#This Row],[Duree_Panne_Min]]/60</f>
        <v>1.0833333333333333</v>
      </c>
      <c r="H240" s="1" t="s">
        <v>737</v>
      </c>
      <c r="I240">
        <f>IFERROR(VLOOKUP(Master[[#This Row],[Cell_ID]],Registre_Maintenance[],3,FALSE),"")</f>
        <v>-1.3938550000000001</v>
      </c>
      <c r="J240">
        <f>IFERROR(VLOOKUP(Master[[#This Row],[Cell_ID]],Registre_Maintenance[],4,FALSE),"")</f>
        <v>15.097554000000001</v>
      </c>
      <c r="K240" t="str">
        <f>IFERROR(VLOOKUP(Master[[#This Row],[Cell_ID]],Registre_Maintenance[],5,FALSE),"")</f>
        <v>4G</v>
      </c>
      <c r="L240" t="str">
        <f>IFERROR(VLOOKUP(Master[[#This Row],[Cell_ID]],Registre_Maintenance[],6,FALSE),"")</f>
        <v>Huawei</v>
      </c>
      <c r="M240" s="1" t="str">
        <f>VLOOKUP(Master[[#This Row],[Province_RDC]],Client[],2,FALSE)</f>
        <v>CLI-01325</v>
      </c>
      <c r="N240" s="1">
        <f>VLOOKUP(Master[[#This Row],[Province_RDC]],Client[],3,FALSE)</f>
        <v>44</v>
      </c>
      <c r="O240" s="1" t="str">
        <f>VLOOKUP(Master[[#This Row],[Province_RDC]],Client[],4,FALSE)</f>
        <v>Bloqué 5Go</v>
      </c>
      <c r="P240" s="1">
        <f>VLOOKUP(Master[[#This Row],[Province_RDC]],Client[],5,FALSE)</f>
        <v>348</v>
      </c>
      <c r="Q240" s="1">
        <f>VLOOKUP(Master[[#This Row],[Province_RDC]],Client[],6,FALSE)</f>
        <v>58.67</v>
      </c>
      <c r="R240" s="1">
        <f>VLOOKUP(Master[[#This Row],[Province_RDC]],Client[],7,FALSE)</f>
        <v>0</v>
      </c>
      <c r="S240" s="1" t="str">
        <f>IF(Master[[#This Row],[Type_Forfait]]="Pro Monde","B2B","B2C")</f>
        <v>B2C</v>
      </c>
      <c r="T240" s="1">
        <f>Master[[#This Row],[Anciennete_Mois]]/12</f>
        <v>3.6666666666666665</v>
      </c>
      <c r="U240" s="1">
        <f>Master[[#This Row],[Duree_Cumule_Panne_Min]]/60</f>
        <v>5.8</v>
      </c>
      <c r="V24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0" s="6">
        <f>Master[[#This Row],[Facture_Mensuelle]]*Master[[#This Row],[Remise]]</f>
        <v>26.401500000000002</v>
      </c>
    </row>
    <row r="241" spans="1:24" x14ac:dyDescent="0.25">
      <c r="A241" s="1" t="s">
        <v>1308</v>
      </c>
      <c r="B241" t="str">
        <f>IFERROR(VLOOKUP(Master[[#This Row],[Cell_ID]],Registre_Maintenance[],2,FALSE),"")</f>
        <v>Haut-Katanga</v>
      </c>
      <c r="C241" s="1" t="s">
        <v>1025</v>
      </c>
      <c r="D241" s="2">
        <v>45226.659722222219</v>
      </c>
      <c r="E241" s="3">
        <v>45226.659722222219</v>
      </c>
      <c r="F241">
        <v>65</v>
      </c>
      <c r="G241">
        <f>Master[[#This Row],[Duree_Panne_Min]]/60</f>
        <v>1.0833333333333333</v>
      </c>
      <c r="H241" s="1" t="s">
        <v>735</v>
      </c>
      <c r="I241">
        <f>IFERROR(VLOOKUP(Master[[#This Row],[Cell_ID]],Registre_Maintenance[],3,FALSE),"")</f>
        <v>-11.594525000000001</v>
      </c>
      <c r="J241">
        <f>IFERROR(VLOOKUP(Master[[#This Row],[Cell_ID]],Registre_Maintenance[],4,FALSE),"")</f>
        <v>29.744895</v>
      </c>
      <c r="K241" t="str">
        <f>IFERROR(VLOOKUP(Master[[#This Row],[Cell_ID]],Registre_Maintenance[],5,FALSE),"")</f>
        <v>3G</v>
      </c>
      <c r="L241" t="str">
        <f>IFERROR(VLOOKUP(Master[[#This Row],[Cell_ID]],Registre_Maintenance[],6,FALSE),"")</f>
        <v>ZTE</v>
      </c>
      <c r="M241" s="1" t="str">
        <f>VLOOKUP(Master[[#This Row],[Province_RDC]],Client[],2,FALSE)</f>
        <v>CLI-00076</v>
      </c>
      <c r="N241" s="1">
        <f>VLOOKUP(Master[[#This Row],[Province_RDC]],Client[],3,FALSE)</f>
        <v>46</v>
      </c>
      <c r="O241" s="1" t="str">
        <f>VLOOKUP(Master[[#This Row],[Province_RDC]],Client[],4,FALSE)</f>
        <v>Premium 5G 150Go</v>
      </c>
      <c r="P241" s="1">
        <f>VLOOKUP(Master[[#This Row],[Province_RDC]],Client[],5,FALSE)</f>
        <v>283</v>
      </c>
      <c r="Q241" s="1">
        <f>VLOOKUP(Master[[#This Row],[Province_RDC]],Client[],6,FALSE)</f>
        <v>56.05</v>
      </c>
      <c r="R241" s="1">
        <f>VLOOKUP(Master[[#This Row],[Province_RDC]],Client[],7,FALSE)</f>
        <v>1</v>
      </c>
      <c r="S241" s="1" t="str">
        <f>IF(Master[[#This Row],[Type_Forfait]]="Pro Monde","B2B","B2C")</f>
        <v>B2C</v>
      </c>
      <c r="T241" s="1">
        <f>Master[[#This Row],[Anciennete_Mois]]/12</f>
        <v>3.8333333333333335</v>
      </c>
      <c r="U241" s="1">
        <f>Master[[#This Row],[Duree_Cumule_Panne_Min]]/60</f>
        <v>4.7166666666666668</v>
      </c>
      <c r="V24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1" s="6">
        <f>Master[[#This Row],[Facture_Mensuelle]]*Master[[#This Row],[Remise]]</f>
        <v>25.2225</v>
      </c>
    </row>
    <row r="242" spans="1:24" x14ac:dyDescent="0.25">
      <c r="A242" s="1" t="s">
        <v>1330</v>
      </c>
      <c r="B242" t="str">
        <f>IFERROR(VLOOKUP(Master[[#This Row],[Cell_ID]],Registre_Maintenance[],2,FALSE),"")</f>
        <v>Haut-Katanga</v>
      </c>
      <c r="C242" s="1" t="s">
        <v>753</v>
      </c>
      <c r="D242" s="2">
        <v>45224.428472222222</v>
      </c>
      <c r="E242" s="3">
        <v>45224.428472222222</v>
      </c>
      <c r="F242">
        <v>65</v>
      </c>
      <c r="G242">
        <f>Master[[#This Row],[Duree_Panne_Min]]/60</f>
        <v>1.0833333333333333</v>
      </c>
      <c r="H242" s="1" t="s">
        <v>735</v>
      </c>
      <c r="I242">
        <f>IFERROR(VLOOKUP(Master[[#This Row],[Cell_ID]],Registre_Maintenance[],3,FALSE),"")</f>
        <v>0.172153</v>
      </c>
      <c r="J242">
        <f>IFERROR(VLOOKUP(Master[[#This Row],[Cell_ID]],Registre_Maintenance[],4,FALSE),"")</f>
        <v>21.091376</v>
      </c>
      <c r="K242" t="str">
        <f>IFERROR(VLOOKUP(Master[[#This Row],[Cell_ID]],Registre_Maintenance[],5,FALSE),"")</f>
        <v>3G</v>
      </c>
      <c r="L242" t="str">
        <f>IFERROR(VLOOKUP(Master[[#This Row],[Cell_ID]],Registre_Maintenance[],6,FALSE),"")</f>
        <v>Ericsson</v>
      </c>
      <c r="M242" s="1" t="str">
        <f>VLOOKUP(Master[[#This Row],[Province_RDC]],Client[],2,FALSE)</f>
        <v>CLI-00076</v>
      </c>
      <c r="N242" s="1">
        <f>VLOOKUP(Master[[#This Row],[Province_RDC]],Client[],3,FALSE)</f>
        <v>46</v>
      </c>
      <c r="O242" s="1" t="str">
        <f>VLOOKUP(Master[[#This Row],[Province_RDC]],Client[],4,FALSE)</f>
        <v>Premium 5G 150Go</v>
      </c>
      <c r="P242" s="1">
        <f>VLOOKUP(Master[[#This Row],[Province_RDC]],Client[],5,FALSE)</f>
        <v>283</v>
      </c>
      <c r="Q242" s="1">
        <f>VLOOKUP(Master[[#This Row],[Province_RDC]],Client[],6,FALSE)</f>
        <v>56.05</v>
      </c>
      <c r="R242" s="1">
        <f>VLOOKUP(Master[[#This Row],[Province_RDC]],Client[],7,FALSE)</f>
        <v>1</v>
      </c>
      <c r="S242" s="1" t="str">
        <f>IF(Master[[#This Row],[Type_Forfait]]="Pro Monde","B2B","B2C")</f>
        <v>B2C</v>
      </c>
      <c r="T242" s="1">
        <f>Master[[#This Row],[Anciennete_Mois]]/12</f>
        <v>3.8333333333333335</v>
      </c>
      <c r="U242" s="1">
        <f>Master[[#This Row],[Duree_Cumule_Panne_Min]]/60</f>
        <v>4.7166666666666668</v>
      </c>
      <c r="V24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2" s="6">
        <f>Master[[#This Row],[Facture_Mensuelle]]*Master[[#This Row],[Remise]]</f>
        <v>25.2225</v>
      </c>
    </row>
    <row r="243" spans="1:24" x14ac:dyDescent="0.25">
      <c r="A243" s="1" t="s">
        <v>978</v>
      </c>
      <c r="B243" t="str">
        <f>IFERROR(VLOOKUP(Master[[#This Row],[Cell_ID]],Registre_Maintenance[],2,FALSE),"")</f>
        <v>Haut-Katanga</v>
      </c>
      <c r="C243" s="1" t="s">
        <v>983</v>
      </c>
      <c r="D243" s="2">
        <v>45203.652083333327</v>
      </c>
      <c r="E243" s="3">
        <v>45203.652083333327</v>
      </c>
      <c r="F243">
        <v>65</v>
      </c>
      <c r="G243">
        <f>Master[[#This Row],[Duree_Panne_Min]]/60</f>
        <v>1.0833333333333333</v>
      </c>
      <c r="H243" s="1" t="s">
        <v>737</v>
      </c>
      <c r="I243">
        <f>IFERROR(VLOOKUP(Master[[#This Row],[Cell_ID]],Registre_Maintenance[],3,FALSE),"")</f>
        <v>2.016505</v>
      </c>
      <c r="J243">
        <f>IFERROR(VLOOKUP(Master[[#This Row],[Cell_ID]],Registre_Maintenance[],4,FALSE),"")</f>
        <v>14.294164</v>
      </c>
      <c r="K243" t="str">
        <f>IFERROR(VLOOKUP(Master[[#This Row],[Cell_ID]],Registre_Maintenance[],5,FALSE),"")</f>
        <v>5G</v>
      </c>
      <c r="L243" t="str">
        <f>IFERROR(VLOOKUP(Master[[#This Row],[Cell_ID]],Registre_Maintenance[],6,FALSE),"")</f>
        <v>Huawei</v>
      </c>
      <c r="M243" s="1" t="str">
        <f>VLOOKUP(Master[[#This Row],[Province_RDC]],Client[],2,FALSE)</f>
        <v>CLI-00076</v>
      </c>
      <c r="N243" s="1">
        <f>VLOOKUP(Master[[#This Row],[Province_RDC]],Client[],3,FALSE)</f>
        <v>46</v>
      </c>
      <c r="O243" s="1" t="str">
        <f>VLOOKUP(Master[[#This Row],[Province_RDC]],Client[],4,FALSE)</f>
        <v>Premium 5G 150Go</v>
      </c>
      <c r="P243" s="1">
        <f>VLOOKUP(Master[[#This Row],[Province_RDC]],Client[],5,FALSE)</f>
        <v>283</v>
      </c>
      <c r="Q243" s="1">
        <f>VLOOKUP(Master[[#This Row],[Province_RDC]],Client[],6,FALSE)</f>
        <v>56.05</v>
      </c>
      <c r="R243" s="1">
        <f>VLOOKUP(Master[[#This Row],[Province_RDC]],Client[],7,FALSE)</f>
        <v>1</v>
      </c>
      <c r="S243" s="1" t="str">
        <f>IF(Master[[#This Row],[Type_Forfait]]="Pro Monde","B2B","B2C")</f>
        <v>B2C</v>
      </c>
      <c r="T243" s="1">
        <f>Master[[#This Row],[Anciennete_Mois]]/12</f>
        <v>3.8333333333333335</v>
      </c>
      <c r="U243" s="1">
        <f>Master[[#This Row],[Duree_Cumule_Panne_Min]]/60</f>
        <v>4.7166666666666668</v>
      </c>
      <c r="V24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3" s="6">
        <f>Master[[#This Row],[Facture_Mensuelle]]*Master[[#This Row],[Remise]]</f>
        <v>25.2225</v>
      </c>
    </row>
    <row r="244" spans="1:24" x14ac:dyDescent="0.25">
      <c r="A244" s="1" t="s">
        <v>1308</v>
      </c>
      <c r="B244" t="str">
        <f>IFERROR(VLOOKUP(Master[[#This Row],[Cell_ID]],Registre_Maintenance[],2,FALSE),"")</f>
        <v>Tshopo</v>
      </c>
      <c r="C244" s="1" t="s">
        <v>1327</v>
      </c>
      <c r="D244" s="2">
        <v>45221.388194444437</v>
      </c>
      <c r="E244" s="3">
        <v>45221.388194444437</v>
      </c>
      <c r="F244">
        <v>64</v>
      </c>
      <c r="G244">
        <f>Master[[#This Row],[Duree_Panne_Min]]/60</f>
        <v>1.0666666666666667</v>
      </c>
      <c r="H244" s="1" t="s">
        <v>735</v>
      </c>
      <c r="I244">
        <f>IFERROR(VLOOKUP(Master[[#This Row],[Cell_ID]],Registre_Maintenance[],3,FALSE),"")</f>
        <v>-12.070842000000001</v>
      </c>
      <c r="J244">
        <f>IFERROR(VLOOKUP(Master[[#This Row],[Cell_ID]],Registre_Maintenance[],4,FALSE),"")</f>
        <v>14.757847</v>
      </c>
      <c r="K244" t="str">
        <f>IFERROR(VLOOKUP(Master[[#This Row],[Cell_ID]],Registre_Maintenance[],5,FALSE),"")</f>
        <v>4G</v>
      </c>
      <c r="L244" t="str">
        <f>IFERROR(VLOOKUP(Master[[#This Row],[Cell_ID]],Registre_Maintenance[],6,FALSE),"")</f>
        <v>ZTE</v>
      </c>
      <c r="M244" s="1" t="str">
        <f>VLOOKUP(Master[[#This Row],[Province_RDC]],Client[],2,FALSE)</f>
        <v>CLI-00745</v>
      </c>
      <c r="N244" s="1">
        <f>VLOOKUP(Master[[#This Row],[Province_RDC]],Client[],3,FALSE)</f>
        <v>6</v>
      </c>
      <c r="O244" s="1" t="str">
        <f>VLOOKUP(Master[[#This Row],[Province_RDC]],Client[],4,FALSE)</f>
        <v>Premium 5G 150Go</v>
      </c>
      <c r="P244" s="1">
        <f>VLOOKUP(Master[[#This Row],[Province_RDC]],Client[],5,FALSE)</f>
        <v>207</v>
      </c>
      <c r="Q244" s="1">
        <f>VLOOKUP(Master[[#This Row],[Province_RDC]],Client[],6,FALSE)</f>
        <v>61.55</v>
      </c>
      <c r="R244" s="1">
        <f>VLOOKUP(Master[[#This Row],[Province_RDC]],Client[],7,FALSE)</f>
        <v>0</v>
      </c>
      <c r="S244" s="1" t="str">
        <f>IF(Master[[#This Row],[Type_Forfait]]="Pro Monde","B2B","B2C")</f>
        <v>B2C</v>
      </c>
      <c r="T244" s="1">
        <f>Master[[#This Row],[Anciennete_Mois]]/12</f>
        <v>0.5</v>
      </c>
      <c r="U244" s="1">
        <f>Master[[#This Row],[Duree_Cumule_Panne_Min]]/60</f>
        <v>3.45</v>
      </c>
      <c r="V24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44" s="6">
        <f>Master[[#This Row],[Facture_Mensuelle]]*Master[[#This Row],[Remise]]</f>
        <v>0</v>
      </c>
    </row>
    <row r="245" spans="1:24" x14ac:dyDescent="0.25">
      <c r="A245" s="1" t="s">
        <v>730</v>
      </c>
      <c r="B245" t="str">
        <f>IFERROR(VLOOKUP(Master[[#This Row],[Cell_ID]],Registre_Maintenance[],2,FALSE),"")</f>
        <v>Tshopo</v>
      </c>
      <c r="C245" s="1" t="s">
        <v>760</v>
      </c>
      <c r="D245" s="2">
        <v>45203.511805555558</v>
      </c>
      <c r="E245" s="3">
        <v>45203.511805555558</v>
      </c>
      <c r="F245">
        <v>64</v>
      </c>
      <c r="G245">
        <f>Master[[#This Row],[Duree_Panne_Min]]/60</f>
        <v>1.0666666666666667</v>
      </c>
      <c r="H245" s="1" t="s">
        <v>737</v>
      </c>
      <c r="I245">
        <f>IFERROR(VLOOKUP(Master[[#This Row],[Cell_ID]],Registre_Maintenance[],3,FALSE),"")</f>
        <v>0.23583499999999999</v>
      </c>
      <c r="J245">
        <f>IFERROR(VLOOKUP(Master[[#This Row],[Cell_ID]],Registre_Maintenance[],4,FALSE),"")</f>
        <v>24.889558999999998</v>
      </c>
      <c r="K245" t="str">
        <f>IFERROR(VLOOKUP(Master[[#This Row],[Cell_ID]],Registre_Maintenance[],5,FALSE),"")</f>
        <v>3G</v>
      </c>
      <c r="L245" t="str">
        <f>IFERROR(VLOOKUP(Master[[#This Row],[Cell_ID]],Registre_Maintenance[],6,FALSE),"")</f>
        <v>ZTE</v>
      </c>
      <c r="M245" s="1" t="str">
        <f>VLOOKUP(Master[[#This Row],[Province_RDC]],Client[],2,FALSE)</f>
        <v>CLI-00745</v>
      </c>
      <c r="N245" s="1">
        <f>VLOOKUP(Master[[#This Row],[Province_RDC]],Client[],3,FALSE)</f>
        <v>6</v>
      </c>
      <c r="O245" s="1" t="str">
        <f>VLOOKUP(Master[[#This Row],[Province_RDC]],Client[],4,FALSE)</f>
        <v>Premium 5G 150Go</v>
      </c>
      <c r="P245" s="1">
        <f>VLOOKUP(Master[[#This Row],[Province_RDC]],Client[],5,FALSE)</f>
        <v>207</v>
      </c>
      <c r="Q245" s="1">
        <f>VLOOKUP(Master[[#This Row],[Province_RDC]],Client[],6,FALSE)</f>
        <v>61.55</v>
      </c>
      <c r="R245" s="1">
        <f>VLOOKUP(Master[[#This Row],[Province_RDC]],Client[],7,FALSE)</f>
        <v>0</v>
      </c>
      <c r="S245" s="1" t="str">
        <f>IF(Master[[#This Row],[Type_Forfait]]="Pro Monde","B2B","B2C")</f>
        <v>B2C</v>
      </c>
      <c r="T245" s="1">
        <f>Master[[#This Row],[Anciennete_Mois]]/12</f>
        <v>0.5</v>
      </c>
      <c r="U245" s="1">
        <f>Master[[#This Row],[Duree_Cumule_Panne_Min]]/60</f>
        <v>3.45</v>
      </c>
      <c r="V24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45" s="6">
        <f>Master[[#This Row],[Facture_Mensuelle]]*Master[[#This Row],[Remise]]</f>
        <v>0</v>
      </c>
    </row>
    <row r="246" spans="1:24" x14ac:dyDescent="0.25">
      <c r="A246" s="1" t="s">
        <v>861</v>
      </c>
      <c r="B246" t="str">
        <f>IFERROR(VLOOKUP(Master[[#This Row],[Cell_ID]],Registre_Maintenance[],2,FALSE),"")</f>
        <v>Maniema</v>
      </c>
      <c r="C246" s="1" t="s">
        <v>886</v>
      </c>
      <c r="D246" s="2">
        <v>45203.750694444447</v>
      </c>
      <c r="E246" s="3">
        <v>45203.750694444447</v>
      </c>
      <c r="F246">
        <v>64</v>
      </c>
      <c r="G246">
        <f>Master[[#This Row],[Duree_Panne_Min]]/60</f>
        <v>1.0666666666666667</v>
      </c>
      <c r="H246" s="1" t="s">
        <v>737</v>
      </c>
      <c r="I246">
        <f>IFERROR(VLOOKUP(Master[[#This Row],[Cell_ID]],Registre_Maintenance[],3,FALSE),"")</f>
        <v>-4.6818410000000004</v>
      </c>
      <c r="J246">
        <f>IFERROR(VLOOKUP(Master[[#This Row],[Cell_ID]],Registre_Maintenance[],4,FALSE),"")</f>
        <v>17.541618</v>
      </c>
      <c r="K246" t="str">
        <f>IFERROR(VLOOKUP(Master[[#This Row],[Cell_ID]],Registre_Maintenance[],5,FALSE),"")</f>
        <v>4G</v>
      </c>
      <c r="L246" t="str">
        <f>IFERROR(VLOOKUP(Master[[#This Row],[Cell_ID]],Registre_Maintenance[],6,FALSE),"")</f>
        <v>Ericsson</v>
      </c>
      <c r="M246" s="1" t="str">
        <f>VLOOKUP(Master[[#This Row],[Province_RDC]],Client[],2,FALSE)</f>
        <v>CLI-00185</v>
      </c>
      <c r="N246" s="1">
        <f>VLOOKUP(Master[[#This Row],[Province_RDC]],Client[],3,FALSE)</f>
        <v>81</v>
      </c>
      <c r="O246" s="1" t="str">
        <f>VLOOKUP(Master[[#This Row],[Province_RDC]],Client[],4,FALSE)</f>
        <v>Pro Monde</v>
      </c>
      <c r="P246" s="1">
        <f>VLOOKUP(Master[[#This Row],[Province_RDC]],Client[],5,FALSE)</f>
        <v>154</v>
      </c>
      <c r="Q246" s="1">
        <f>VLOOKUP(Master[[#This Row],[Province_RDC]],Client[],6,FALSE)</f>
        <v>19.47</v>
      </c>
      <c r="R246" s="1">
        <f>VLOOKUP(Master[[#This Row],[Province_RDC]],Client[],7,FALSE)</f>
        <v>3</v>
      </c>
      <c r="S246" s="1" t="str">
        <f>IF(Master[[#This Row],[Type_Forfait]]="Pro Monde","B2B","B2C")</f>
        <v>B2B</v>
      </c>
      <c r="T246" s="1">
        <f>Master[[#This Row],[Anciennete_Mois]]/12</f>
        <v>6.75</v>
      </c>
      <c r="U246" s="1">
        <f>Master[[#This Row],[Duree_Cumule_Panne_Min]]/60</f>
        <v>2.5666666666666669</v>
      </c>
      <c r="V24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4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46" s="6">
        <f>Master[[#This Row],[Facture_Mensuelle]]*Master[[#This Row],[Remise]]</f>
        <v>1.9470000000000001</v>
      </c>
    </row>
    <row r="247" spans="1:24" x14ac:dyDescent="0.25">
      <c r="A247" s="1" t="s">
        <v>861</v>
      </c>
      <c r="B247" t="str">
        <f>IFERROR(VLOOKUP(Master[[#This Row],[Cell_ID]],Registre_Maintenance[],2,FALSE),"")</f>
        <v>Haut-Uele</v>
      </c>
      <c r="C247" s="1" t="s">
        <v>873</v>
      </c>
      <c r="D247" s="2">
        <v>45228.511805555558</v>
      </c>
      <c r="E247" s="3">
        <v>45228.511805555558</v>
      </c>
      <c r="F247">
        <v>64</v>
      </c>
      <c r="G247">
        <f>Master[[#This Row],[Duree_Panne_Min]]/60</f>
        <v>1.0666666666666667</v>
      </c>
      <c r="H247" s="1" t="s">
        <v>735</v>
      </c>
      <c r="I247">
        <f>IFERROR(VLOOKUP(Master[[#This Row],[Cell_ID]],Registre_Maintenance[],3,FALSE),"")</f>
        <v>-4.4351269999999996</v>
      </c>
      <c r="J247">
        <f>IFERROR(VLOOKUP(Master[[#This Row],[Cell_ID]],Registre_Maintenance[],4,FALSE),"")</f>
        <v>24.825467</v>
      </c>
      <c r="K247" t="str">
        <f>IFERROR(VLOOKUP(Master[[#This Row],[Cell_ID]],Registre_Maintenance[],5,FALSE),"")</f>
        <v>4G</v>
      </c>
      <c r="L247" t="str">
        <f>IFERROR(VLOOKUP(Master[[#This Row],[Cell_ID]],Registre_Maintenance[],6,FALSE),"")</f>
        <v>Huawei</v>
      </c>
      <c r="M247" s="1" t="str">
        <f>VLOOKUP(Master[[#This Row],[Province_RDC]],Client[],2,FALSE)</f>
        <v>CLI-00439</v>
      </c>
      <c r="N247" s="1">
        <f>VLOOKUP(Master[[#This Row],[Province_RDC]],Client[],3,FALSE)</f>
        <v>40</v>
      </c>
      <c r="O247" s="1" t="str">
        <f>VLOOKUP(Master[[#This Row],[Province_RDC]],Client[],4,FALSE)</f>
        <v>Premium 5G 150Go</v>
      </c>
      <c r="P247" s="1">
        <f>VLOOKUP(Master[[#This Row],[Province_RDC]],Client[],5,FALSE)</f>
        <v>345</v>
      </c>
      <c r="Q247" s="1">
        <f>VLOOKUP(Master[[#This Row],[Province_RDC]],Client[],6,FALSE)</f>
        <v>89.55</v>
      </c>
      <c r="R247" s="1">
        <f>VLOOKUP(Master[[#This Row],[Province_RDC]],Client[],7,FALSE)</f>
        <v>3</v>
      </c>
      <c r="S247" s="1" t="str">
        <f>IF(Master[[#This Row],[Type_Forfait]]="Pro Monde","B2B","B2C")</f>
        <v>B2C</v>
      </c>
      <c r="T247" s="1">
        <f>Master[[#This Row],[Anciennete_Mois]]/12</f>
        <v>3.3333333333333335</v>
      </c>
      <c r="U247" s="1">
        <f>Master[[#This Row],[Duree_Cumule_Panne_Min]]/60</f>
        <v>5.75</v>
      </c>
      <c r="V24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7" s="6">
        <f>Master[[#This Row],[Facture_Mensuelle]]*Master[[#This Row],[Remise]]</f>
        <v>40.297499999999999</v>
      </c>
    </row>
    <row r="248" spans="1:24" x14ac:dyDescent="0.25">
      <c r="A248" s="1" t="s">
        <v>823</v>
      </c>
      <c r="B248" t="str">
        <f>IFERROR(VLOOKUP(Master[[#This Row],[Cell_ID]],Registre_Maintenance[],2,FALSE),"")</f>
        <v>Haut-Katanga</v>
      </c>
      <c r="C248" s="1" t="s">
        <v>792</v>
      </c>
      <c r="D248" s="2">
        <v>45220.436805555553</v>
      </c>
      <c r="E248" s="3">
        <v>45220.436805555553</v>
      </c>
      <c r="F248">
        <v>64</v>
      </c>
      <c r="G248">
        <f>Master[[#This Row],[Duree_Panne_Min]]/60</f>
        <v>1.0666666666666667</v>
      </c>
      <c r="H248" s="1" t="s">
        <v>735</v>
      </c>
      <c r="I248">
        <f>IFERROR(VLOOKUP(Master[[#This Row],[Cell_ID]],Registre_Maintenance[],3,FALSE),"")</f>
        <v>-5.5445120000000001</v>
      </c>
      <c r="J248">
        <f>IFERROR(VLOOKUP(Master[[#This Row],[Cell_ID]],Registre_Maintenance[],4,FALSE),"")</f>
        <v>27.547335</v>
      </c>
      <c r="K248" t="str">
        <f>IFERROR(VLOOKUP(Master[[#This Row],[Cell_ID]],Registre_Maintenance[],5,FALSE),"")</f>
        <v>4G</v>
      </c>
      <c r="L248" t="str">
        <f>IFERROR(VLOOKUP(Master[[#This Row],[Cell_ID]],Registre_Maintenance[],6,FALSE),"")</f>
        <v>Ericsson</v>
      </c>
      <c r="M248" s="1" t="str">
        <f>VLOOKUP(Master[[#This Row],[Province_RDC]],Client[],2,FALSE)</f>
        <v>CLI-00076</v>
      </c>
      <c r="N248" s="1">
        <f>VLOOKUP(Master[[#This Row],[Province_RDC]],Client[],3,FALSE)</f>
        <v>46</v>
      </c>
      <c r="O248" s="1" t="str">
        <f>VLOOKUP(Master[[#This Row],[Province_RDC]],Client[],4,FALSE)</f>
        <v>Premium 5G 150Go</v>
      </c>
      <c r="P248" s="1">
        <f>VLOOKUP(Master[[#This Row],[Province_RDC]],Client[],5,FALSE)</f>
        <v>283</v>
      </c>
      <c r="Q248" s="1">
        <f>VLOOKUP(Master[[#This Row],[Province_RDC]],Client[],6,FALSE)</f>
        <v>56.05</v>
      </c>
      <c r="R248" s="1">
        <f>VLOOKUP(Master[[#This Row],[Province_RDC]],Client[],7,FALSE)</f>
        <v>1</v>
      </c>
      <c r="S248" s="1" t="str">
        <f>IF(Master[[#This Row],[Type_Forfait]]="Pro Monde","B2B","B2C")</f>
        <v>B2C</v>
      </c>
      <c r="T248" s="1">
        <f>Master[[#This Row],[Anciennete_Mois]]/12</f>
        <v>3.8333333333333335</v>
      </c>
      <c r="U248" s="1">
        <f>Master[[#This Row],[Duree_Cumule_Panne_Min]]/60</f>
        <v>4.7166666666666668</v>
      </c>
      <c r="V24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48" s="6">
        <f>Master[[#This Row],[Facture_Mensuelle]]*Master[[#This Row],[Remise]]</f>
        <v>25.2225</v>
      </c>
    </row>
    <row r="249" spans="1:24" x14ac:dyDescent="0.25">
      <c r="A249" s="1" t="s">
        <v>1193</v>
      </c>
      <c r="B249" t="str">
        <f>IFERROR(VLOOKUP(Master[[#This Row],[Cell_ID]],Registre_Maintenance[],2,FALSE),"")</f>
        <v>Tshopo</v>
      </c>
      <c r="C249" s="1" t="s">
        <v>1196</v>
      </c>
      <c r="D249" s="2">
        <v>45202.699305555558</v>
      </c>
      <c r="E249" s="3">
        <v>45202.699305555558</v>
      </c>
      <c r="F249">
        <v>63</v>
      </c>
      <c r="G249">
        <f>Master[[#This Row],[Duree_Panne_Min]]/60</f>
        <v>1.05</v>
      </c>
      <c r="H249" s="1" t="s">
        <v>735</v>
      </c>
      <c r="I249">
        <f>IFERROR(VLOOKUP(Master[[#This Row],[Cell_ID]],Registre_Maintenance[],3,FALSE),"")</f>
        <v>1.400674</v>
      </c>
      <c r="J249">
        <f>IFERROR(VLOOKUP(Master[[#This Row],[Cell_ID]],Registre_Maintenance[],4,FALSE),"")</f>
        <v>13.503126999999999</v>
      </c>
      <c r="K249" t="str">
        <f>IFERROR(VLOOKUP(Master[[#This Row],[Cell_ID]],Registre_Maintenance[],5,FALSE),"")</f>
        <v>5G</v>
      </c>
      <c r="L249" t="str">
        <f>IFERROR(VLOOKUP(Master[[#This Row],[Cell_ID]],Registre_Maintenance[],6,FALSE),"")</f>
        <v>ZTE</v>
      </c>
      <c r="M249" s="1" t="str">
        <f>VLOOKUP(Master[[#This Row],[Province_RDC]],Client[],2,FALSE)</f>
        <v>CLI-00745</v>
      </c>
      <c r="N249" s="1">
        <f>VLOOKUP(Master[[#This Row],[Province_RDC]],Client[],3,FALSE)</f>
        <v>6</v>
      </c>
      <c r="O249" s="1" t="str">
        <f>VLOOKUP(Master[[#This Row],[Province_RDC]],Client[],4,FALSE)</f>
        <v>Premium 5G 150Go</v>
      </c>
      <c r="P249" s="1">
        <f>VLOOKUP(Master[[#This Row],[Province_RDC]],Client[],5,FALSE)</f>
        <v>207</v>
      </c>
      <c r="Q249" s="1">
        <f>VLOOKUP(Master[[#This Row],[Province_RDC]],Client[],6,FALSE)</f>
        <v>61.55</v>
      </c>
      <c r="R249" s="1">
        <f>VLOOKUP(Master[[#This Row],[Province_RDC]],Client[],7,FALSE)</f>
        <v>0</v>
      </c>
      <c r="S249" s="1" t="str">
        <f>IF(Master[[#This Row],[Type_Forfait]]="Pro Monde","B2B","B2C")</f>
        <v>B2C</v>
      </c>
      <c r="T249" s="1">
        <f>Master[[#This Row],[Anciennete_Mois]]/12</f>
        <v>0.5</v>
      </c>
      <c r="U249" s="1">
        <f>Master[[#This Row],[Duree_Cumule_Panne_Min]]/60</f>
        <v>3.45</v>
      </c>
      <c r="V24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4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49" s="6">
        <f>Master[[#This Row],[Facture_Mensuelle]]*Master[[#This Row],[Remise]]</f>
        <v>0</v>
      </c>
    </row>
    <row r="250" spans="1:24" x14ac:dyDescent="0.25">
      <c r="A250" s="1" t="s">
        <v>978</v>
      </c>
      <c r="B250" t="str">
        <f>IFERROR(VLOOKUP(Master[[#This Row],[Cell_ID]],Registre_Maintenance[],2,FALSE),"")</f>
        <v>Tanganyika</v>
      </c>
      <c r="C250" s="1" t="s">
        <v>731</v>
      </c>
      <c r="D250" s="2">
        <v>45228.791666666657</v>
      </c>
      <c r="E250" s="3">
        <v>45228.791666666657</v>
      </c>
      <c r="F250">
        <v>63</v>
      </c>
      <c r="G250">
        <f>Master[[#This Row],[Duree_Panne_Min]]/60</f>
        <v>1.05</v>
      </c>
      <c r="H250" s="1" t="s">
        <v>732</v>
      </c>
      <c r="I250">
        <f>IFERROR(VLOOKUP(Master[[#This Row],[Cell_ID]],Registre_Maintenance[],3,FALSE),"")</f>
        <v>-11.144149000000001</v>
      </c>
      <c r="J250">
        <f>IFERROR(VLOOKUP(Master[[#This Row],[Cell_ID]],Registre_Maintenance[],4,FALSE),"")</f>
        <v>27.244658999999999</v>
      </c>
      <c r="K250" t="str">
        <f>IFERROR(VLOOKUP(Master[[#This Row],[Cell_ID]],Registre_Maintenance[],5,FALSE),"")</f>
        <v>4G</v>
      </c>
      <c r="L250" t="str">
        <f>IFERROR(VLOOKUP(Master[[#This Row],[Cell_ID]],Registre_Maintenance[],6,FALSE),"")</f>
        <v>Nokia</v>
      </c>
      <c r="M250" s="1" t="str">
        <f>VLOOKUP(Master[[#This Row],[Province_RDC]],Client[],2,FALSE)</f>
        <v>CLI-01618</v>
      </c>
      <c r="N250" s="1">
        <f>VLOOKUP(Master[[#This Row],[Province_RDC]],Client[],3,FALSE)</f>
        <v>115</v>
      </c>
      <c r="O250" s="1" t="str">
        <f>VLOOKUP(Master[[#This Row],[Province_RDC]],Client[],4,FALSE)</f>
        <v>Bloqué 5Go</v>
      </c>
      <c r="P250" s="1">
        <f>VLOOKUP(Master[[#This Row],[Province_RDC]],Client[],5,FALSE)</f>
        <v>176</v>
      </c>
      <c r="Q250" s="1">
        <f>VLOOKUP(Master[[#This Row],[Province_RDC]],Client[],6,FALSE)</f>
        <v>33.28</v>
      </c>
      <c r="R250" s="1">
        <f>VLOOKUP(Master[[#This Row],[Province_RDC]],Client[],7,FALSE)</f>
        <v>4</v>
      </c>
      <c r="S250" s="1" t="str">
        <f>IF(Master[[#This Row],[Type_Forfait]]="Pro Monde","B2B","B2C")</f>
        <v>B2C</v>
      </c>
      <c r="T250" s="1">
        <f>Master[[#This Row],[Anciennete_Mois]]/12</f>
        <v>9.5833333333333339</v>
      </c>
      <c r="U250" s="1">
        <f>Master[[#This Row],[Duree_Cumule_Panne_Min]]/60</f>
        <v>2.9333333333333331</v>
      </c>
      <c r="V25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5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50" s="6">
        <f>Master[[#This Row],[Facture_Mensuelle]]*Master[[#This Row],[Remise]]</f>
        <v>0</v>
      </c>
    </row>
    <row r="251" spans="1:24" x14ac:dyDescent="0.25">
      <c r="A251" s="1" t="s">
        <v>1165</v>
      </c>
      <c r="B251" t="str">
        <f>IFERROR(VLOOKUP(Master[[#This Row],[Cell_ID]],Registre_Maintenance[],2,FALSE),"")</f>
        <v>Sud-Ubangi</v>
      </c>
      <c r="C251" s="1" t="s">
        <v>1071</v>
      </c>
      <c r="D251" s="2">
        <v>45213.066666666673</v>
      </c>
      <c r="E251" s="3">
        <v>45213.066666666673</v>
      </c>
      <c r="F251">
        <v>63</v>
      </c>
      <c r="G251">
        <f>Master[[#This Row],[Duree_Panne_Min]]/60</f>
        <v>1.05</v>
      </c>
      <c r="H251" s="1" t="s">
        <v>732</v>
      </c>
      <c r="I251">
        <f>IFERROR(VLOOKUP(Master[[#This Row],[Cell_ID]],Registre_Maintenance[],3,FALSE),"")</f>
        <v>-11.387295999999999</v>
      </c>
      <c r="J251">
        <f>IFERROR(VLOOKUP(Master[[#This Row],[Cell_ID]],Registre_Maintenance[],4,FALSE),"")</f>
        <v>19.384257999999999</v>
      </c>
      <c r="K251" t="str">
        <f>IFERROR(VLOOKUP(Master[[#This Row],[Cell_ID]],Registre_Maintenance[],5,FALSE),"")</f>
        <v>3G</v>
      </c>
      <c r="L251" t="str">
        <f>IFERROR(VLOOKUP(Master[[#This Row],[Cell_ID]],Registre_Maintenance[],6,FALSE),"")</f>
        <v>Huawei</v>
      </c>
      <c r="M251" s="1" t="str">
        <f>VLOOKUP(Master[[#This Row],[Province_RDC]],Client[],2,FALSE)</f>
        <v>CLI-00280</v>
      </c>
      <c r="N251" s="1">
        <f>VLOOKUP(Master[[#This Row],[Province_RDC]],Client[],3,FALSE)</f>
        <v>113</v>
      </c>
      <c r="O251" s="1" t="str">
        <f>VLOOKUP(Master[[#This Row],[Province_RDC]],Client[],4,FALSE)</f>
        <v>Illimité 50Go</v>
      </c>
      <c r="P251" s="1">
        <f>VLOOKUP(Master[[#This Row],[Province_RDC]],Client[],5,FALSE)</f>
        <v>380</v>
      </c>
      <c r="Q251" s="1">
        <f>VLOOKUP(Master[[#This Row],[Province_RDC]],Client[],6,FALSE)</f>
        <v>12.11</v>
      </c>
      <c r="R251" s="1">
        <f>VLOOKUP(Master[[#This Row],[Province_RDC]],Client[],7,FALSE)</f>
        <v>0</v>
      </c>
      <c r="S251" s="1" t="str">
        <f>IF(Master[[#This Row],[Type_Forfait]]="Pro Monde","B2B","B2C")</f>
        <v>B2C</v>
      </c>
      <c r="T251" s="1">
        <f>Master[[#This Row],[Anciennete_Mois]]/12</f>
        <v>9.4166666666666661</v>
      </c>
      <c r="U251" s="1">
        <f>Master[[#This Row],[Duree_Cumule_Panne_Min]]/60</f>
        <v>6.333333333333333</v>
      </c>
      <c r="V25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1" s="6">
        <f>Master[[#This Row],[Facture_Mensuelle]]*Master[[#This Row],[Remise]]</f>
        <v>5.4494999999999996</v>
      </c>
    </row>
    <row r="252" spans="1:24" x14ac:dyDescent="0.25">
      <c r="A252" s="1" t="s">
        <v>999</v>
      </c>
      <c r="B252" t="str">
        <f>IFERROR(VLOOKUP(Master[[#This Row],[Cell_ID]],Registre_Maintenance[],2,FALSE),"")</f>
        <v>Sud-Kivu</v>
      </c>
      <c r="C252" s="1" t="s">
        <v>1020</v>
      </c>
      <c r="D252" s="2">
        <v>45213.342361111107</v>
      </c>
      <c r="E252" s="3">
        <v>45213.342361111107</v>
      </c>
      <c r="F252">
        <v>63</v>
      </c>
      <c r="G252">
        <f>Master[[#This Row],[Duree_Panne_Min]]/60</f>
        <v>1.05</v>
      </c>
      <c r="H252" s="1" t="s">
        <v>735</v>
      </c>
      <c r="I252">
        <f>IFERROR(VLOOKUP(Master[[#This Row],[Cell_ID]],Registre_Maintenance[],3,FALSE),"")</f>
        <v>0.31740800000000002</v>
      </c>
      <c r="J252">
        <f>IFERROR(VLOOKUP(Master[[#This Row],[Cell_ID]],Registre_Maintenance[],4,FALSE),"")</f>
        <v>27.197666999999999</v>
      </c>
      <c r="K252" t="str">
        <f>IFERROR(VLOOKUP(Master[[#This Row],[Cell_ID]],Registre_Maintenance[],5,FALSE),"")</f>
        <v>5G</v>
      </c>
      <c r="L252" t="str">
        <f>IFERROR(VLOOKUP(Master[[#This Row],[Cell_ID]],Registre_Maintenance[],6,FALSE),"")</f>
        <v>Nokia</v>
      </c>
      <c r="M252" s="1" t="str">
        <f>VLOOKUP(Master[[#This Row],[Province_RDC]],Client[],2,FALSE)</f>
        <v>CLI-01855</v>
      </c>
      <c r="N252" s="1">
        <f>VLOOKUP(Master[[#This Row],[Province_RDC]],Client[],3,FALSE)</f>
        <v>101</v>
      </c>
      <c r="O252" s="1" t="str">
        <f>VLOOKUP(Master[[#This Row],[Province_RDC]],Client[],4,FALSE)</f>
        <v>Illimité 50Go</v>
      </c>
      <c r="P252" s="1">
        <f>VLOOKUP(Master[[#This Row],[Province_RDC]],Client[],5,FALSE)</f>
        <v>358</v>
      </c>
      <c r="Q252" s="1">
        <f>VLOOKUP(Master[[#This Row],[Province_RDC]],Client[],6,FALSE)</f>
        <v>29.24</v>
      </c>
      <c r="R252" s="1">
        <f>VLOOKUP(Master[[#This Row],[Province_RDC]],Client[],7,FALSE)</f>
        <v>3</v>
      </c>
      <c r="S252" s="1" t="str">
        <f>IF(Master[[#This Row],[Type_Forfait]]="Pro Monde","B2B","B2C")</f>
        <v>B2C</v>
      </c>
      <c r="T252" s="1">
        <f>Master[[#This Row],[Anciennete_Mois]]/12</f>
        <v>8.4166666666666661</v>
      </c>
      <c r="U252" s="1">
        <f>Master[[#This Row],[Duree_Cumule_Panne_Min]]/60</f>
        <v>5.9666666666666668</v>
      </c>
      <c r="V25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2" s="6">
        <f>Master[[#This Row],[Facture_Mensuelle]]*Master[[#This Row],[Remise]]</f>
        <v>13.157999999999999</v>
      </c>
    </row>
    <row r="253" spans="1:24" x14ac:dyDescent="0.25">
      <c r="A253" s="1" t="s">
        <v>1086</v>
      </c>
      <c r="B253" t="str">
        <f>IFERROR(VLOOKUP(Master[[#This Row],[Cell_ID]],Registre_Maintenance[],2,FALSE),"")</f>
        <v>Maniema</v>
      </c>
      <c r="C253" s="1" t="s">
        <v>1096</v>
      </c>
      <c r="D253" s="2">
        <v>45209.53125</v>
      </c>
      <c r="E253" s="3">
        <v>45209.53125</v>
      </c>
      <c r="F253">
        <v>63</v>
      </c>
      <c r="G253">
        <f>Master[[#This Row],[Duree_Panne_Min]]/60</f>
        <v>1.05</v>
      </c>
      <c r="H253" s="1" t="s">
        <v>732</v>
      </c>
      <c r="I253">
        <f>IFERROR(VLOOKUP(Master[[#This Row],[Cell_ID]],Registre_Maintenance[],3,FALSE),"")</f>
        <v>1.727095</v>
      </c>
      <c r="J253">
        <f>IFERROR(VLOOKUP(Master[[#This Row],[Cell_ID]],Registre_Maintenance[],4,FALSE),"")</f>
        <v>22.099651999999999</v>
      </c>
      <c r="K253" t="str">
        <f>IFERROR(VLOOKUP(Master[[#This Row],[Cell_ID]],Registre_Maintenance[],5,FALSE),"")</f>
        <v>4G</v>
      </c>
      <c r="L253" t="str">
        <f>IFERROR(VLOOKUP(Master[[#This Row],[Cell_ID]],Registre_Maintenance[],6,FALSE),"")</f>
        <v>Huawei</v>
      </c>
      <c r="M253" s="1" t="str">
        <f>VLOOKUP(Master[[#This Row],[Province_RDC]],Client[],2,FALSE)</f>
        <v>CLI-00185</v>
      </c>
      <c r="N253" s="1">
        <f>VLOOKUP(Master[[#This Row],[Province_RDC]],Client[],3,FALSE)</f>
        <v>81</v>
      </c>
      <c r="O253" s="1" t="str">
        <f>VLOOKUP(Master[[#This Row],[Province_RDC]],Client[],4,FALSE)</f>
        <v>Pro Monde</v>
      </c>
      <c r="P253" s="1">
        <f>VLOOKUP(Master[[#This Row],[Province_RDC]],Client[],5,FALSE)</f>
        <v>154</v>
      </c>
      <c r="Q253" s="1">
        <f>VLOOKUP(Master[[#This Row],[Province_RDC]],Client[],6,FALSE)</f>
        <v>19.47</v>
      </c>
      <c r="R253" s="1">
        <f>VLOOKUP(Master[[#This Row],[Province_RDC]],Client[],7,FALSE)</f>
        <v>3</v>
      </c>
      <c r="S253" s="1" t="str">
        <f>IF(Master[[#This Row],[Type_Forfait]]="Pro Monde","B2B","B2C")</f>
        <v>B2B</v>
      </c>
      <c r="T253" s="1">
        <f>Master[[#This Row],[Anciennete_Mois]]/12</f>
        <v>6.75</v>
      </c>
      <c r="U253" s="1">
        <f>Master[[#This Row],[Duree_Cumule_Panne_Min]]/60</f>
        <v>2.5666666666666669</v>
      </c>
      <c r="V25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5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53" s="6">
        <f>Master[[#This Row],[Facture_Mensuelle]]*Master[[#This Row],[Remise]]</f>
        <v>1.9470000000000001</v>
      </c>
    </row>
    <row r="254" spans="1:24" x14ac:dyDescent="0.25">
      <c r="A254" s="1" t="s">
        <v>823</v>
      </c>
      <c r="B254" t="str">
        <f>IFERROR(VLOOKUP(Master[[#This Row],[Cell_ID]],Registre_Maintenance[],2,FALSE),"")</f>
        <v>Lomami</v>
      </c>
      <c r="C254" s="1" t="s">
        <v>855</v>
      </c>
      <c r="D254" s="2">
        <v>45219.420138888891</v>
      </c>
      <c r="E254" s="3">
        <v>45219.420138888891</v>
      </c>
      <c r="F254">
        <v>63</v>
      </c>
      <c r="G254">
        <f>Master[[#This Row],[Duree_Panne_Min]]/60</f>
        <v>1.05</v>
      </c>
      <c r="H254" s="1" t="s">
        <v>737</v>
      </c>
      <c r="I254">
        <f>IFERROR(VLOOKUP(Master[[#This Row],[Cell_ID]],Registre_Maintenance[],3,FALSE),"")</f>
        <v>-9.9875139999999991</v>
      </c>
      <c r="J254">
        <f>IFERROR(VLOOKUP(Master[[#This Row],[Cell_ID]],Registre_Maintenance[],4,FALSE),"")</f>
        <v>12.013676999999999</v>
      </c>
      <c r="K254" t="str">
        <f>IFERROR(VLOOKUP(Master[[#This Row],[Cell_ID]],Registre_Maintenance[],5,FALSE),"")</f>
        <v>3G</v>
      </c>
      <c r="L254" t="str">
        <f>IFERROR(VLOOKUP(Master[[#This Row],[Cell_ID]],Registre_Maintenance[],6,FALSE),"")</f>
        <v>ZTE</v>
      </c>
      <c r="M254" s="1" t="str">
        <f>VLOOKUP(Master[[#This Row],[Province_RDC]],Client[],2,FALSE)</f>
        <v>CLI-00505</v>
      </c>
      <c r="N254" s="1">
        <f>VLOOKUP(Master[[#This Row],[Province_RDC]],Client[],3,FALSE)</f>
        <v>59</v>
      </c>
      <c r="O254" s="1" t="str">
        <f>VLOOKUP(Master[[#This Row],[Province_RDC]],Client[],4,FALSE)</f>
        <v>Bloqué 5Go</v>
      </c>
      <c r="P254" s="1">
        <f>VLOOKUP(Master[[#This Row],[Province_RDC]],Client[],5,FALSE)</f>
        <v>196</v>
      </c>
      <c r="Q254" s="1">
        <f>VLOOKUP(Master[[#This Row],[Province_RDC]],Client[],6,FALSE)</f>
        <v>62.53</v>
      </c>
      <c r="R254" s="1">
        <f>VLOOKUP(Master[[#This Row],[Province_RDC]],Client[],7,FALSE)</f>
        <v>0</v>
      </c>
      <c r="S254" s="1" t="str">
        <f>IF(Master[[#This Row],[Type_Forfait]]="Pro Monde","B2B","B2C")</f>
        <v>B2C</v>
      </c>
      <c r="T254" s="1">
        <f>Master[[#This Row],[Anciennete_Mois]]/12</f>
        <v>4.916666666666667</v>
      </c>
      <c r="U254" s="1">
        <f>Master[[#This Row],[Duree_Cumule_Panne_Min]]/60</f>
        <v>3.2666666666666666</v>
      </c>
      <c r="V25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5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54" s="6">
        <f>Master[[#This Row],[Facture_Mensuelle]]*Master[[#This Row],[Remise]]</f>
        <v>0</v>
      </c>
    </row>
    <row r="255" spans="1:24" x14ac:dyDescent="0.25">
      <c r="A255" s="1" t="s">
        <v>1361</v>
      </c>
      <c r="B255" t="str">
        <f>IFERROR(VLOOKUP(Master[[#This Row],[Cell_ID]],Registre_Maintenance[],2,FALSE),"")</f>
        <v>Kwango</v>
      </c>
      <c r="C255" s="1" t="s">
        <v>1072</v>
      </c>
      <c r="D255" s="2">
        <v>45210.03125</v>
      </c>
      <c r="E255" s="3">
        <v>45210.03125</v>
      </c>
      <c r="F255">
        <v>63</v>
      </c>
      <c r="G255">
        <f>Master[[#This Row],[Duree_Panne_Min]]/60</f>
        <v>1.05</v>
      </c>
      <c r="H255" s="1" t="s">
        <v>737</v>
      </c>
      <c r="I255">
        <f>IFERROR(VLOOKUP(Master[[#This Row],[Cell_ID]],Registre_Maintenance[],3,FALSE),"")</f>
        <v>-9.0798120000000004</v>
      </c>
      <c r="J255">
        <f>IFERROR(VLOOKUP(Master[[#This Row],[Cell_ID]],Registre_Maintenance[],4,FALSE),"")</f>
        <v>14.945484</v>
      </c>
      <c r="K255" t="str">
        <f>IFERROR(VLOOKUP(Master[[#This Row],[Cell_ID]],Registre_Maintenance[],5,FALSE),"")</f>
        <v>5G</v>
      </c>
      <c r="L255" t="str">
        <f>IFERROR(VLOOKUP(Master[[#This Row],[Cell_ID]],Registre_Maintenance[],6,FALSE),"")</f>
        <v>Ericsson</v>
      </c>
      <c r="M255" s="1" t="str">
        <f>VLOOKUP(Master[[#This Row],[Province_RDC]],Client[],2,FALSE)</f>
        <v>CLI-00569</v>
      </c>
      <c r="N255" s="1">
        <f>VLOOKUP(Master[[#This Row],[Province_RDC]],Client[],3,FALSE)</f>
        <v>110</v>
      </c>
      <c r="O255" s="1" t="str">
        <f>VLOOKUP(Master[[#This Row],[Province_RDC]],Client[],4,FALSE)</f>
        <v>Pro Monde</v>
      </c>
      <c r="P255" s="1">
        <f>VLOOKUP(Master[[#This Row],[Province_RDC]],Client[],5,FALSE)</f>
        <v>423</v>
      </c>
      <c r="Q255" s="1">
        <f>VLOOKUP(Master[[#This Row],[Province_RDC]],Client[],6,FALSE)</f>
        <v>37.35</v>
      </c>
      <c r="R255" s="1">
        <f>VLOOKUP(Master[[#This Row],[Province_RDC]],Client[],7,FALSE)</f>
        <v>4</v>
      </c>
      <c r="S255" s="1" t="str">
        <f>IF(Master[[#This Row],[Type_Forfait]]="Pro Monde","B2B","B2C")</f>
        <v>B2B</v>
      </c>
      <c r="T255" s="1">
        <f>Master[[#This Row],[Anciennete_Mois]]/12</f>
        <v>9.1666666666666661</v>
      </c>
      <c r="U255" s="1">
        <f>Master[[#This Row],[Duree_Cumule_Panne_Min]]/60</f>
        <v>7.05</v>
      </c>
      <c r="V25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5" s="6">
        <f>Master[[#This Row],[Facture_Mensuelle]]*Master[[#This Row],[Remise]]</f>
        <v>16.807500000000001</v>
      </c>
    </row>
    <row r="256" spans="1:24" x14ac:dyDescent="0.25">
      <c r="A256" s="1" t="s">
        <v>1330</v>
      </c>
      <c r="B256" t="str">
        <f>IFERROR(VLOOKUP(Master[[#This Row],[Cell_ID]],Registre_Maintenance[],2,FALSE),"")</f>
        <v>Kongo-Central</v>
      </c>
      <c r="C256" s="1" t="s">
        <v>1342</v>
      </c>
      <c r="D256" s="2">
        <v>45205.650694444441</v>
      </c>
      <c r="E256" s="3">
        <v>45205.650694444441</v>
      </c>
      <c r="F256">
        <v>63</v>
      </c>
      <c r="G256">
        <f>Master[[#This Row],[Duree_Panne_Min]]/60</f>
        <v>1.05</v>
      </c>
      <c r="H256" s="1" t="s">
        <v>732</v>
      </c>
      <c r="I256">
        <f>IFERROR(VLOOKUP(Master[[#This Row],[Cell_ID]],Registre_Maintenance[],3,FALSE),"")</f>
        <v>-10.977309</v>
      </c>
      <c r="J256">
        <f>IFERROR(VLOOKUP(Master[[#This Row],[Cell_ID]],Registre_Maintenance[],4,FALSE),"")</f>
        <v>12.408281000000001</v>
      </c>
      <c r="K256" t="str">
        <f>IFERROR(VLOOKUP(Master[[#This Row],[Cell_ID]],Registre_Maintenance[],5,FALSE),"")</f>
        <v>5G</v>
      </c>
      <c r="L256" t="str">
        <f>IFERROR(VLOOKUP(Master[[#This Row],[Cell_ID]],Registre_Maintenance[],6,FALSE),"")</f>
        <v>ZTE</v>
      </c>
      <c r="M256" s="1" t="str">
        <f>VLOOKUP(Master[[#This Row],[Province_RDC]],Client[],2,FALSE)</f>
        <v>CLI-01233</v>
      </c>
      <c r="N256" s="1">
        <f>VLOOKUP(Master[[#This Row],[Province_RDC]],Client[],3,FALSE)</f>
        <v>101</v>
      </c>
      <c r="O256" s="1" t="str">
        <f>VLOOKUP(Master[[#This Row],[Province_RDC]],Client[],4,FALSE)</f>
        <v>Pro Monde</v>
      </c>
      <c r="P256" s="1">
        <f>VLOOKUP(Master[[#This Row],[Province_RDC]],Client[],5,FALSE)</f>
        <v>333</v>
      </c>
      <c r="Q256" s="1">
        <f>VLOOKUP(Master[[#This Row],[Province_RDC]],Client[],6,FALSE)</f>
        <v>74.319999999999993</v>
      </c>
      <c r="R256" s="1">
        <f>VLOOKUP(Master[[#This Row],[Province_RDC]],Client[],7,FALSE)</f>
        <v>1</v>
      </c>
      <c r="S256" s="1" t="str">
        <f>IF(Master[[#This Row],[Type_Forfait]]="Pro Monde","B2B","B2C")</f>
        <v>B2B</v>
      </c>
      <c r="T256" s="1">
        <f>Master[[#This Row],[Anciennete_Mois]]/12</f>
        <v>8.4166666666666661</v>
      </c>
      <c r="U256" s="1">
        <f>Master[[#This Row],[Duree_Cumule_Panne_Min]]/60</f>
        <v>5.55</v>
      </c>
      <c r="V25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6" s="6">
        <f>Master[[#This Row],[Facture_Mensuelle]]*Master[[#This Row],[Remise]]</f>
        <v>33.443999999999996</v>
      </c>
    </row>
    <row r="257" spans="1:24" x14ac:dyDescent="0.25">
      <c r="A257" s="1" t="s">
        <v>1361</v>
      </c>
      <c r="B257" t="str">
        <f>IFERROR(VLOOKUP(Master[[#This Row],[Cell_ID]],Registre_Maintenance[],2,FALSE),"")</f>
        <v>Tshuapa</v>
      </c>
      <c r="C257" s="1" t="s">
        <v>1146</v>
      </c>
      <c r="D257" s="2">
        <v>45230.913194444453</v>
      </c>
      <c r="E257" s="3">
        <v>45230.913194444453</v>
      </c>
      <c r="F257">
        <v>62</v>
      </c>
      <c r="G257">
        <f>Master[[#This Row],[Duree_Panne_Min]]/60</f>
        <v>1.0333333333333334</v>
      </c>
      <c r="H257" s="1" t="s">
        <v>732</v>
      </c>
      <c r="I257">
        <f>IFERROR(VLOOKUP(Master[[#This Row],[Cell_ID]],Registre_Maintenance[],3,FALSE),"")</f>
        <v>-1.9540519999999999</v>
      </c>
      <c r="J257">
        <f>IFERROR(VLOOKUP(Master[[#This Row],[Cell_ID]],Registre_Maintenance[],4,FALSE),"")</f>
        <v>12.667945</v>
      </c>
      <c r="K257" t="str">
        <f>IFERROR(VLOOKUP(Master[[#This Row],[Cell_ID]],Registre_Maintenance[],5,FALSE),"")</f>
        <v>4G</v>
      </c>
      <c r="L257" t="str">
        <f>IFERROR(VLOOKUP(Master[[#This Row],[Cell_ID]],Registre_Maintenance[],6,FALSE),"")</f>
        <v>Huawei</v>
      </c>
      <c r="M257" s="1" t="str">
        <f>VLOOKUP(Master[[#This Row],[Province_RDC]],Client[],2,FALSE)</f>
        <v>CLI-00894</v>
      </c>
      <c r="N257" s="1">
        <f>VLOOKUP(Master[[#This Row],[Province_RDC]],Client[],3,FALSE)</f>
        <v>63</v>
      </c>
      <c r="O257" s="1" t="str">
        <f>VLOOKUP(Master[[#This Row],[Province_RDC]],Client[],4,FALSE)</f>
        <v>Pro Monde</v>
      </c>
      <c r="P257" s="1">
        <f>VLOOKUP(Master[[#This Row],[Province_RDC]],Client[],5,FALSE)</f>
        <v>205</v>
      </c>
      <c r="Q257" s="1">
        <f>VLOOKUP(Master[[#This Row],[Province_RDC]],Client[],6,FALSE)</f>
        <v>89.19</v>
      </c>
      <c r="R257" s="1">
        <f>VLOOKUP(Master[[#This Row],[Province_RDC]],Client[],7,FALSE)</f>
        <v>0</v>
      </c>
      <c r="S257" s="1" t="str">
        <f>IF(Master[[#This Row],[Type_Forfait]]="Pro Monde","B2B","B2C")</f>
        <v>B2B</v>
      </c>
      <c r="T257" s="1">
        <f>Master[[#This Row],[Anciennete_Mois]]/12</f>
        <v>5.25</v>
      </c>
      <c r="U257" s="1">
        <f>Master[[#This Row],[Duree_Cumule_Panne_Min]]/60</f>
        <v>3.4166666666666665</v>
      </c>
      <c r="V25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5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57" s="6">
        <f>Master[[#This Row],[Facture_Mensuelle]]*Master[[#This Row],[Remise]]</f>
        <v>8.9190000000000005</v>
      </c>
    </row>
    <row r="258" spans="1:24" x14ac:dyDescent="0.25">
      <c r="A258" s="1" t="s">
        <v>1138</v>
      </c>
      <c r="B258" t="str">
        <f>IFERROR(VLOOKUP(Master[[#This Row],[Cell_ID]],Registre_Maintenance[],2,FALSE),"")</f>
        <v>Nord-Ubangi</v>
      </c>
      <c r="C258" s="1" t="s">
        <v>1157</v>
      </c>
      <c r="D258" s="2">
        <v>45210.686111111107</v>
      </c>
      <c r="E258" s="3">
        <v>45210.686111111107</v>
      </c>
      <c r="F258">
        <v>62</v>
      </c>
      <c r="G258">
        <f>Master[[#This Row],[Duree_Panne_Min]]/60</f>
        <v>1.0333333333333334</v>
      </c>
      <c r="H258" s="1" t="s">
        <v>735</v>
      </c>
      <c r="I258">
        <f>IFERROR(VLOOKUP(Master[[#This Row],[Cell_ID]],Registre_Maintenance[],3,FALSE),"")</f>
        <v>8.5490999999999998E-2</v>
      </c>
      <c r="J258">
        <f>IFERROR(VLOOKUP(Master[[#This Row],[Cell_ID]],Registre_Maintenance[],4,FALSE),"")</f>
        <v>26.296129000000001</v>
      </c>
      <c r="K258" t="str">
        <f>IFERROR(VLOOKUP(Master[[#This Row],[Cell_ID]],Registre_Maintenance[],5,FALSE),"")</f>
        <v>3G</v>
      </c>
      <c r="L258" t="str">
        <f>IFERROR(VLOOKUP(Master[[#This Row],[Cell_ID]],Registre_Maintenance[],6,FALSE),"")</f>
        <v>ZTE</v>
      </c>
      <c r="M258" s="1" t="str">
        <f>VLOOKUP(Master[[#This Row],[Province_RDC]],Client[],2,FALSE)</f>
        <v>CLI-01170</v>
      </c>
      <c r="N258" s="1">
        <f>VLOOKUP(Master[[#This Row],[Province_RDC]],Client[],3,FALSE)</f>
        <v>98</v>
      </c>
      <c r="O258" s="1" t="str">
        <f>VLOOKUP(Master[[#This Row],[Province_RDC]],Client[],4,FALSE)</f>
        <v>Pro Monde</v>
      </c>
      <c r="P258" s="1">
        <f>VLOOKUP(Master[[#This Row],[Province_RDC]],Client[],5,FALSE)</f>
        <v>482</v>
      </c>
      <c r="Q258" s="1">
        <f>VLOOKUP(Master[[#This Row],[Province_RDC]],Client[],6,FALSE)</f>
        <v>55.04</v>
      </c>
      <c r="R258" s="1">
        <f>VLOOKUP(Master[[#This Row],[Province_RDC]],Client[],7,FALSE)</f>
        <v>5</v>
      </c>
      <c r="S258" s="1" t="str">
        <f>IF(Master[[#This Row],[Type_Forfait]]="Pro Monde","B2B","B2C")</f>
        <v>B2B</v>
      </c>
      <c r="T258" s="1">
        <f>Master[[#This Row],[Anciennete_Mois]]/12</f>
        <v>8.1666666666666661</v>
      </c>
      <c r="U258" s="1">
        <f>Master[[#This Row],[Duree_Cumule_Panne_Min]]/60</f>
        <v>8.0333333333333332</v>
      </c>
      <c r="V25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8" s="6">
        <f>Master[[#This Row],[Facture_Mensuelle]]*Master[[#This Row],[Remise]]</f>
        <v>24.768000000000001</v>
      </c>
    </row>
    <row r="259" spans="1:24" x14ac:dyDescent="0.25">
      <c r="A259" s="1" t="s">
        <v>861</v>
      </c>
      <c r="B259" t="str">
        <f>IFERROR(VLOOKUP(Master[[#This Row],[Cell_ID]],Registre_Maintenance[],2,FALSE),"")</f>
        <v>Nord-Kivu</v>
      </c>
      <c r="C259" s="1" t="s">
        <v>883</v>
      </c>
      <c r="D259" s="2">
        <v>45211.234722222223</v>
      </c>
      <c r="E259" s="3">
        <v>45211.234722222223</v>
      </c>
      <c r="F259">
        <v>62</v>
      </c>
      <c r="G259">
        <f>Master[[#This Row],[Duree_Panne_Min]]/60</f>
        <v>1.0333333333333334</v>
      </c>
      <c r="H259" s="1" t="s">
        <v>737</v>
      </c>
      <c r="I259">
        <f>IFERROR(VLOOKUP(Master[[#This Row],[Cell_ID]],Registre_Maintenance[],3,FALSE),"")</f>
        <v>-2.3102109999999998</v>
      </c>
      <c r="J259">
        <f>IFERROR(VLOOKUP(Master[[#This Row],[Cell_ID]],Registre_Maintenance[],4,FALSE),"")</f>
        <v>12.362488000000001</v>
      </c>
      <c r="K259" t="str">
        <f>IFERROR(VLOOKUP(Master[[#This Row],[Cell_ID]],Registre_Maintenance[],5,FALSE),"")</f>
        <v>5G</v>
      </c>
      <c r="L259" t="str">
        <f>IFERROR(VLOOKUP(Master[[#This Row],[Cell_ID]],Registre_Maintenance[],6,FALSE),"")</f>
        <v>Nokia</v>
      </c>
      <c r="M259" s="1" t="str">
        <f>VLOOKUP(Master[[#This Row],[Province_RDC]],Client[],2,FALSE)</f>
        <v>CLI-00837</v>
      </c>
      <c r="N259" s="1">
        <f>VLOOKUP(Master[[#This Row],[Province_RDC]],Client[],3,FALSE)</f>
        <v>16</v>
      </c>
      <c r="O259" s="1" t="str">
        <f>VLOOKUP(Master[[#This Row],[Province_RDC]],Client[],4,FALSE)</f>
        <v>Bloqué 5Go</v>
      </c>
      <c r="P259" s="1">
        <f>VLOOKUP(Master[[#This Row],[Province_RDC]],Client[],5,FALSE)</f>
        <v>390</v>
      </c>
      <c r="Q259" s="1">
        <f>VLOOKUP(Master[[#This Row],[Province_RDC]],Client[],6,FALSE)</f>
        <v>98.17</v>
      </c>
      <c r="R259" s="1">
        <f>VLOOKUP(Master[[#This Row],[Province_RDC]],Client[],7,FALSE)</f>
        <v>5</v>
      </c>
      <c r="S259" s="1" t="str">
        <f>IF(Master[[#This Row],[Type_Forfait]]="Pro Monde","B2B","B2C")</f>
        <v>B2C</v>
      </c>
      <c r="T259" s="1">
        <f>Master[[#This Row],[Anciennete_Mois]]/12</f>
        <v>1.3333333333333333</v>
      </c>
      <c r="U259" s="1">
        <f>Master[[#This Row],[Duree_Cumule_Panne_Min]]/60</f>
        <v>6.5</v>
      </c>
      <c r="V25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5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59" s="6">
        <f>Master[[#This Row],[Facture_Mensuelle]]*Master[[#This Row],[Remise]]</f>
        <v>44.176500000000004</v>
      </c>
    </row>
    <row r="260" spans="1:24" x14ac:dyDescent="0.25">
      <c r="A260" s="1" t="s">
        <v>1024</v>
      </c>
      <c r="B260" t="str">
        <f>IFERROR(VLOOKUP(Master[[#This Row],[Cell_ID]],Registre_Maintenance[],2,FALSE),"")</f>
        <v>Mongala</v>
      </c>
      <c r="C260" s="1" t="s">
        <v>1054</v>
      </c>
      <c r="D260" s="2">
        <v>45230.26458333333</v>
      </c>
      <c r="E260" s="3">
        <v>45230.26458333333</v>
      </c>
      <c r="F260">
        <v>62</v>
      </c>
      <c r="G260">
        <f>Master[[#This Row],[Duree_Panne_Min]]/60</f>
        <v>1.0333333333333334</v>
      </c>
      <c r="H260" s="1" t="s">
        <v>732</v>
      </c>
      <c r="I260">
        <f>IFERROR(VLOOKUP(Master[[#This Row],[Cell_ID]],Registre_Maintenance[],3,FALSE),"")</f>
        <v>3.6344850000000002</v>
      </c>
      <c r="J260">
        <f>IFERROR(VLOOKUP(Master[[#This Row],[Cell_ID]],Registre_Maintenance[],4,FALSE),"")</f>
        <v>12.158348999999999</v>
      </c>
      <c r="K260" t="str">
        <f>IFERROR(VLOOKUP(Master[[#This Row],[Cell_ID]],Registre_Maintenance[],5,FALSE),"")</f>
        <v>5G</v>
      </c>
      <c r="L260" t="str">
        <f>IFERROR(VLOOKUP(Master[[#This Row],[Cell_ID]],Registre_Maintenance[],6,FALSE),"")</f>
        <v>Ericsson</v>
      </c>
      <c r="M260" s="1" t="str">
        <f>VLOOKUP(Master[[#This Row],[Province_RDC]],Client[],2,FALSE)</f>
        <v>CLI-00865</v>
      </c>
      <c r="N260" s="1">
        <f>VLOOKUP(Master[[#This Row],[Province_RDC]],Client[],3,FALSE)</f>
        <v>34</v>
      </c>
      <c r="O260" s="1" t="str">
        <f>VLOOKUP(Master[[#This Row],[Province_RDC]],Client[],4,FALSE)</f>
        <v>Pro Monde</v>
      </c>
      <c r="P260" s="1">
        <f>VLOOKUP(Master[[#This Row],[Province_RDC]],Client[],5,FALSE)</f>
        <v>453</v>
      </c>
      <c r="Q260" s="1">
        <f>VLOOKUP(Master[[#This Row],[Province_RDC]],Client[],6,FALSE)</f>
        <v>56.84</v>
      </c>
      <c r="R260" s="1">
        <f>VLOOKUP(Master[[#This Row],[Province_RDC]],Client[],7,FALSE)</f>
        <v>0</v>
      </c>
      <c r="S260" s="1" t="str">
        <f>IF(Master[[#This Row],[Type_Forfait]]="Pro Monde","B2B","B2C")</f>
        <v>B2B</v>
      </c>
      <c r="T260" s="1">
        <f>Master[[#This Row],[Anciennete_Mois]]/12</f>
        <v>2.8333333333333335</v>
      </c>
      <c r="U260" s="1">
        <f>Master[[#This Row],[Duree_Cumule_Panne_Min]]/60</f>
        <v>7.55</v>
      </c>
      <c r="V26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60" s="6">
        <f>Master[[#This Row],[Facture_Mensuelle]]*Master[[#This Row],[Remise]]</f>
        <v>25.578000000000003</v>
      </c>
    </row>
    <row r="261" spans="1:24" x14ac:dyDescent="0.25">
      <c r="A261" s="1" t="s">
        <v>1114</v>
      </c>
      <c r="B261" t="str">
        <f>IFERROR(VLOOKUP(Master[[#This Row],[Cell_ID]],Registre_Maintenance[],2,FALSE),"")</f>
        <v>Tanganyika</v>
      </c>
      <c r="C261" s="1" t="s">
        <v>771</v>
      </c>
      <c r="D261" s="2">
        <v>45214.43472222222</v>
      </c>
      <c r="E261" s="3">
        <v>45214.43472222222</v>
      </c>
      <c r="F261">
        <v>61</v>
      </c>
      <c r="G261">
        <f>Master[[#This Row],[Duree_Panne_Min]]/60</f>
        <v>1.0166666666666666</v>
      </c>
      <c r="H261" s="1" t="s">
        <v>737</v>
      </c>
      <c r="I261">
        <f>IFERROR(VLOOKUP(Master[[#This Row],[Cell_ID]],Registre_Maintenance[],3,FALSE),"")</f>
        <v>-10.776204</v>
      </c>
      <c r="J261">
        <f>IFERROR(VLOOKUP(Master[[#This Row],[Cell_ID]],Registre_Maintenance[],4,FALSE),"")</f>
        <v>24.672934000000001</v>
      </c>
      <c r="K261" t="str">
        <f>IFERROR(VLOOKUP(Master[[#This Row],[Cell_ID]],Registre_Maintenance[],5,FALSE),"")</f>
        <v>4G</v>
      </c>
      <c r="L261" t="str">
        <f>IFERROR(VLOOKUP(Master[[#This Row],[Cell_ID]],Registre_Maintenance[],6,FALSE),"")</f>
        <v>Ericsson</v>
      </c>
      <c r="M261" s="1" t="str">
        <f>VLOOKUP(Master[[#This Row],[Province_RDC]],Client[],2,FALSE)</f>
        <v>CLI-01618</v>
      </c>
      <c r="N261" s="1">
        <f>VLOOKUP(Master[[#This Row],[Province_RDC]],Client[],3,FALSE)</f>
        <v>115</v>
      </c>
      <c r="O261" s="1" t="str">
        <f>VLOOKUP(Master[[#This Row],[Province_RDC]],Client[],4,FALSE)</f>
        <v>Bloqué 5Go</v>
      </c>
      <c r="P261" s="1">
        <f>VLOOKUP(Master[[#This Row],[Province_RDC]],Client[],5,FALSE)</f>
        <v>176</v>
      </c>
      <c r="Q261" s="1">
        <f>VLOOKUP(Master[[#This Row],[Province_RDC]],Client[],6,FALSE)</f>
        <v>33.28</v>
      </c>
      <c r="R261" s="1">
        <f>VLOOKUP(Master[[#This Row],[Province_RDC]],Client[],7,FALSE)</f>
        <v>4</v>
      </c>
      <c r="S261" s="1" t="str">
        <f>IF(Master[[#This Row],[Type_Forfait]]="Pro Monde","B2B","B2C")</f>
        <v>B2C</v>
      </c>
      <c r="T261" s="1">
        <f>Master[[#This Row],[Anciennete_Mois]]/12</f>
        <v>9.5833333333333339</v>
      </c>
      <c r="U261" s="1">
        <f>Master[[#This Row],[Duree_Cumule_Panne_Min]]/60</f>
        <v>2.9333333333333331</v>
      </c>
      <c r="V26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6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61" s="6">
        <f>Master[[#This Row],[Facture_Mensuelle]]*Master[[#This Row],[Remise]]</f>
        <v>0</v>
      </c>
    </row>
    <row r="262" spans="1:24" x14ac:dyDescent="0.25">
      <c r="A262" s="1" t="s">
        <v>1024</v>
      </c>
      <c r="B262" t="str">
        <f>IFERROR(VLOOKUP(Master[[#This Row],[Cell_ID]],Registre_Maintenance[],2,FALSE),"")</f>
        <v>Tanganyika</v>
      </c>
      <c r="C262" s="1" t="s">
        <v>1043</v>
      </c>
      <c r="D262" s="2">
        <v>45202.779166666667</v>
      </c>
      <c r="E262" s="3">
        <v>45202.779166666667</v>
      </c>
      <c r="F262">
        <v>61</v>
      </c>
      <c r="G262">
        <f>Master[[#This Row],[Duree_Panne_Min]]/60</f>
        <v>1.0166666666666666</v>
      </c>
      <c r="H262" s="1" t="s">
        <v>737</v>
      </c>
      <c r="I262">
        <f>IFERROR(VLOOKUP(Master[[#This Row],[Cell_ID]],Registre_Maintenance[],3,FALSE),"")</f>
        <v>-12.229338</v>
      </c>
      <c r="J262">
        <f>IFERROR(VLOOKUP(Master[[#This Row],[Cell_ID]],Registre_Maintenance[],4,FALSE),"")</f>
        <v>29.587834999999998</v>
      </c>
      <c r="K262" t="str">
        <f>IFERROR(VLOOKUP(Master[[#This Row],[Cell_ID]],Registre_Maintenance[],5,FALSE),"")</f>
        <v>4G</v>
      </c>
      <c r="L262" t="str">
        <f>IFERROR(VLOOKUP(Master[[#This Row],[Cell_ID]],Registre_Maintenance[],6,FALSE),"")</f>
        <v>Nokia</v>
      </c>
      <c r="M262" s="1" t="str">
        <f>VLOOKUP(Master[[#This Row],[Province_RDC]],Client[],2,FALSE)</f>
        <v>CLI-01618</v>
      </c>
      <c r="N262" s="1">
        <f>VLOOKUP(Master[[#This Row],[Province_RDC]],Client[],3,FALSE)</f>
        <v>115</v>
      </c>
      <c r="O262" s="1" t="str">
        <f>VLOOKUP(Master[[#This Row],[Province_RDC]],Client[],4,FALSE)</f>
        <v>Bloqué 5Go</v>
      </c>
      <c r="P262" s="1">
        <f>VLOOKUP(Master[[#This Row],[Province_RDC]],Client[],5,FALSE)</f>
        <v>176</v>
      </c>
      <c r="Q262" s="1">
        <f>VLOOKUP(Master[[#This Row],[Province_RDC]],Client[],6,FALSE)</f>
        <v>33.28</v>
      </c>
      <c r="R262" s="1">
        <f>VLOOKUP(Master[[#This Row],[Province_RDC]],Client[],7,FALSE)</f>
        <v>4</v>
      </c>
      <c r="S262" s="1" t="str">
        <f>IF(Master[[#This Row],[Type_Forfait]]="Pro Monde","B2B","B2C")</f>
        <v>B2C</v>
      </c>
      <c r="T262" s="1">
        <f>Master[[#This Row],[Anciennete_Mois]]/12</f>
        <v>9.5833333333333339</v>
      </c>
      <c r="U262" s="1">
        <f>Master[[#This Row],[Duree_Cumule_Panne_Min]]/60</f>
        <v>2.9333333333333331</v>
      </c>
      <c r="V26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6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62" s="6">
        <f>Master[[#This Row],[Facture_Mensuelle]]*Master[[#This Row],[Remise]]</f>
        <v>0</v>
      </c>
    </row>
    <row r="263" spans="1:24" x14ac:dyDescent="0.25">
      <c r="A263" s="1" t="s">
        <v>1059</v>
      </c>
      <c r="B263" t="str">
        <f>IFERROR(VLOOKUP(Master[[#This Row],[Cell_ID]],Registre_Maintenance[],2,FALSE),"")</f>
        <v>Nord-Kivu</v>
      </c>
      <c r="C263" s="1" t="s">
        <v>1062</v>
      </c>
      <c r="D263" s="2">
        <v>45202.161805555559</v>
      </c>
      <c r="E263" s="3">
        <v>45202.161805555559</v>
      </c>
      <c r="F263">
        <v>61</v>
      </c>
      <c r="G263">
        <f>Master[[#This Row],[Duree_Panne_Min]]/60</f>
        <v>1.0166666666666666</v>
      </c>
      <c r="H263" s="1" t="s">
        <v>735</v>
      </c>
      <c r="I263">
        <f>IFERROR(VLOOKUP(Master[[#This Row],[Cell_ID]],Registre_Maintenance[],3,FALSE),"")</f>
        <v>-6.5529849999999996</v>
      </c>
      <c r="J263">
        <f>IFERROR(VLOOKUP(Master[[#This Row],[Cell_ID]],Registre_Maintenance[],4,FALSE),"")</f>
        <v>21.990606</v>
      </c>
      <c r="K263" t="str">
        <f>IFERROR(VLOOKUP(Master[[#This Row],[Cell_ID]],Registre_Maintenance[],5,FALSE),"")</f>
        <v>3G</v>
      </c>
      <c r="L263" t="str">
        <f>IFERROR(VLOOKUP(Master[[#This Row],[Cell_ID]],Registre_Maintenance[],6,FALSE),"")</f>
        <v>Huawei</v>
      </c>
      <c r="M263" s="1" t="str">
        <f>VLOOKUP(Master[[#This Row],[Province_RDC]],Client[],2,FALSE)</f>
        <v>CLI-00837</v>
      </c>
      <c r="N263" s="1">
        <f>VLOOKUP(Master[[#This Row],[Province_RDC]],Client[],3,FALSE)</f>
        <v>16</v>
      </c>
      <c r="O263" s="1" t="str">
        <f>VLOOKUP(Master[[#This Row],[Province_RDC]],Client[],4,FALSE)</f>
        <v>Bloqué 5Go</v>
      </c>
      <c r="P263" s="1">
        <f>VLOOKUP(Master[[#This Row],[Province_RDC]],Client[],5,FALSE)</f>
        <v>390</v>
      </c>
      <c r="Q263" s="1">
        <f>VLOOKUP(Master[[#This Row],[Province_RDC]],Client[],6,FALSE)</f>
        <v>98.17</v>
      </c>
      <c r="R263" s="1">
        <f>VLOOKUP(Master[[#This Row],[Province_RDC]],Client[],7,FALSE)</f>
        <v>5</v>
      </c>
      <c r="S263" s="1" t="str">
        <f>IF(Master[[#This Row],[Type_Forfait]]="Pro Monde","B2B","B2C")</f>
        <v>B2C</v>
      </c>
      <c r="T263" s="1">
        <f>Master[[#This Row],[Anciennete_Mois]]/12</f>
        <v>1.3333333333333333</v>
      </c>
      <c r="U263" s="1">
        <f>Master[[#This Row],[Duree_Cumule_Panne_Min]]/60</f>
        <v>6.5</v>
      </c>
      <c r="V26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63" s="6">
        <f>Master[[#This Row],[Facture_Mensuelle]]*Master[[#This Row],[Remise]]</f>
        <v>44.176500000000004</v>
      </c>
    </row>
    <row r="264" spans="1:24" x14ac:dyDescent="0.25">
      <c r="A264" s="1" t="s">
        <v>1382</v>
      </c>
      <c r="B264" t="str">
        <f>IFERROR(VLOOKUP(Master[[#This Row],[Cell_ID]],Registre_Maintenance[],2,FALSE),"")</f>
        <v>Kwango</v>
      </c>
      <c r="C264" s="1" t="s">
        <v>994</v>
      </c>
      <c r="D264" s="2">
        <v>45221.197916666657</v>
      </c>
      <c r="E264" s="3">
        <v>45221.197916666657</v>
      </c>
      <c r="F264">
        <v>61</v>
      </c>
      <c r="G264">
        <f>Master[[#This Row],[Duree_Panne_Min]]/60</f>
        <v>1.0166666666666666</v>
      </c>
      <c r="H264" s="1" t="s">
        <v>737</v>
      </c>
      <c r="I264">
        <f>IFERROR(VLOOKUP(Master[[#This Row],[Cell_ID]],Registre_Maintenance[],3,FALSE),"")</f>
        <v>-7.5129409999999996</v>
      </c>
      <c r="J264">
        <f>IFERROR(VLOOKUP(Master[[#This Row],[Cell_ID]],Registre_Maintenance[],4,FALSE),"")</f>
        <v>18.701522000000001</v>
      </c>
      <c r="K264" t="str">
        <f>IFERROR(VLOOKUP(Master[[#This Row],[Cell_ID]],Registre_Maintenance[],5,FALSE),"")</f>
        <v>4G</v>
      </c>
      <c r="L264" t="str">
        <f>IFERROR(VLOOKUP(Master[[#This Row],[Cell_ID]],Registre_Maintenance[],6,FALSE),"")</f>
        <v>Nokia</v>
      </c>
      <c r="M264" s="1" t="str">
        <f>VLOOKUP(Master[[#This Row],[Province_RDC]],Client[],2,FALSE)</f>
        <v>CLI-00569</v>
      </c>
      <c r="N264" s="1">
        <f>VLOOKUP(Master[[#This Row],[Province_RDC]],Client[],3,FALSE)</f>
        <v>110</v>
      </c>
      <c r="O264" s="1" t="str">
        <f>VLOOKUP(Master[[#This Row],[Province_RDC]],Client[],4,FALSE)</f>
        <v>Pro Monde</v>
      </c>
      <c r="P264" s="1">
        <f>VLOOKUP(Master[[#This Row],[Province_RDC]],Client[],5,FALSE)</f>
        <v>423</v>
      </c>
      <c r="Q264" s="1">
        <f>VLOOKUP(Master[[#This Row],[Province_RDC]],Client[],6,FALSE)</f>
        <v>37.35</v>
      </c>
      <c r="R264" s="1">
        <f>VLOOKUP(Master[[#This Row],[Province_RDC]],Client[],7,FALSE)</f>
        <v>4</v>
      </c>
      <c r="S264" s="1" t="str">
        <f>IF(Master[[#This Row],[Type_Forfait]]="Pro Monde","B2B","B2C")</f>
        <v>B2B</v>
      </c>
      <c r="T264" s="1">
        <f>Master[[#This Row],[Anciennete_Mois]]/12</f>
        <v>9.1666666666666661</v>
      </c>
      <c r="U264" s="1">
        <f>Master[[#This Row],[Duree_Cumule_Panne_Min]]/60</f>
        <v>7.05</v>
      </c>
      <c r="V26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64" s="6">
        <f>Master[[#This Row],[Facture_Mensuelle]]*Master[[#This Row],[Remise]]</f>
        <v>16.807500000000001</v>
      </c>
    </row>
    <row r="265" spans="1:24" x14ac:dyDescent="0.25">
      <c r="A265" s="1" t="s">
        <v>1361</v>
      </c>
      <c r="B265" t="str">
        <f>IFERROR(VLOOKUP(Master[[#This Row],[Cell_ID]],Registre_Maintenance[],2,FALSE),"")</f>
        <v>Kinshasa</v>
      </c>
      <c r="C265" s="1" t="s">
        <v>1364</v>
      </c>
      <c r="D265" s="2">
        <v>45227.897916666669</v>
      </c>
      <c r="E265" s="3">
        <v>45227.897916666669</v>
      </c>
      <c r="F265">
        <v>61</v>
      </c>
      <c r="G265">
        <f>Master[[#This Row],[Duree_Panne_Min]]/60</f>
        <v>1.0166666666666666</v>
      </c>
      <c r="H265" s="1" t="s">
        <v>732</v>
      </c>
      <c r="I265">
        <f>IFERROR(VLOOKUP(Master[[#This Row],[Cell_ID]],Registre_Maintenance[],3,FALSE),"")</f>
        <v>-7.1079169999999996</v>
      </c>
      <c r="J265">
        <f>IFERROR(VLOOKUP(Master[[#This Row],[Cell_ID]],Registre_Maintenance[],4,FALSE),"")</f>
        <v>13.636272</v>
      </c>
      <c r="K265" t="str">
        <f>IFERROR(VLOOKUP(Master[[#This Row],[Cell_ID]],Registre_Maintenance[],5,FALSE),"")</f>
        <v>5G</v>
      </c>
      <c r="L265" t="str">
        <f>IFERROR(VLOOKUP(Master[[#This Row],[Cell_ID]],Registre_Maintenance[],6,FALSE),"")</f>
        <v>Nokia</v>
      </c>
      <c r="M265" s="1" t="str">
        <f>VLOOKUP(Master[[#This Row],[Province_RDC]],Client[],2,FALSE)</f>
        <v>CLI-00611</v>
      </c>
      <c r="N265" s="1">
        <f>VLOOKUP(Master[[#This Row],[Province_RDC]],Client[],3,FALSE)</f>
        <v>79</v>
      </c>
      <c r="O265" s="1" t="str">
        <f>VLOOKUP(Master[[#This Row],[Province_RDC]],Client[],4,FALSE)</f>
        <v>Premium 5G 150Go</v>
      </c>
      <c r="P265" s="1">
        <f>VLOOKUP(Master[[#This Row],[Province_RDC]],Client[],5,FALSE)</f>
        <v>226</v>
      </c>
      <c r="Q265" s="1">
        <f>VLOOKUP(Master[[#This Row],[Province_RDC]],Client[],6,FALSE)</f>
        <v>94.38</v>
      </c>
      <c r="R265" s="1">
        <f>VLOOKUP(Master[[#This Row],[Province_RDC]],Client[],7,FALSE)</f>
        <v>3</v>
      </c>
      <c r="S265" s="1" t="str">
        <f>IF(Master[[#This Row],[Type_Forfait]]="Pro Monde","B2B","B2C")</f>
        <v>B2C</v>
      </c>
      <c r="T265" s="1">
        <f>Master[[#This Row],[Anciennete_Mois]]/12</f>
        <v>6.583333333333333</v>
      </c>
      <c r="U265" s="1">
        <f>Master[[#This Row],[Duree_Cumule_Panne_Min]]/60</f>
        <v>3.7666666666666666</v>
      </c>
      <c r="V26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65" s="6">
        <f>Master[[#This Row],[Facture_Mensuelle]]*Master[[#This Row],[Remise]]</f>
        <v>0</v>
      </c>
    </row>
    <row r="266" spans="1:24" x14ac:dyDescent="0.25">
      <c r="A266" s="1" t="s">
        <v>1024</v>
      </c>
      <c r="B266" t="str">
        <f>IFERROR(VLOOKUP(Master[[#This Row],[Cell_ID]],Registre_Maintenance[],2,FALSE),"")</f>
        <v>Bas-Uele</v>
      </c>
      <c r="C266" s="1" t="s">
        <v>1050</v>
      </c>
      <c r="D266" s="2">
        <v>45204.905555555553</v>
      </c>
      <c r="E266" s="3">
        <v>45204.905555555553</v>
      </c>
      <c r="F266">
        <v>61</v>
      </c>
      <c r="G266">
        <f>Master[[#This Row],[Duree_Panne_Min]]/60</f>
        <v>1.0166666666666666</v>
      </c>
      <c r="H266" s="1" t="s">
        <v>732</v>
      </c>
      <c r="I266">
        <f>IFERROR(VLOOKUP(Master[[#This Row],[Cell_ID]],Registre_Maintenance[],3,FALSE),"")</f>
        <v>4.497306</v>
      </c>
      <c r="J266">
        <f>IFERROR(VLOOKUP(Master[[#This Row],[Cell_ID]],Registre_Maintenance[],4,FALSE),"")</f>
        <v>12.857251</v>
      </c>
      <c r="K266" t="str">
        <f>IFERROR(VLOOKUP(Master[[#This Row],[Cell_ID]],Registre_Maintenance[],5,FALSE),"")</f>
        <v>5G</v>
      </c>
      <c r="L266" t="str">
        <f>IFERROR(VLOOKUP(Master[[#This Row],[Cell_ID]],Registre_Maintenance[],6,FALSE),"")</f>
        <v>Ericsson</v>
      </c>
      <c r="M266" s="1" t="str">
        <f>VLOOKUP(Master[[#This Row],[Province_RDC]],Client[],2,FALSE)</f>
        <v>CLI-01128</v>
      </c>
      <c r="N266" s="1">
        <f>VLOOKUP(Master[[#This Row],[Province_RDC]],Client[],3,FALSE)</f>
        <v>112</v>
      </c>
      <c r="O266" s="1" t="str">
        <f>VLOOKUP(Master[[#This Row],[Province_RDC]],Client[],4,FALSE)</f>
        <v>Premium 5G 150Go</v>
      </c>
      <c r="P266" s="1">
        <f>VLOOKUP(Master[[#This Row],[Province_RDC]],Client[],5,FALSE)</f>
        <v>460</v>
      </c>
      <c r="Q266" s="1">
        <f>VLOOKUP(Master[[#This Row],[Province_RDC]],Client[],6,FALSE)</f>
        <v>55.47</v>
      </c>
      <c r="R266" s="1">
        <f>VLOOKUP(Master[[#This Row],[Province_RDC]],Client[],7,FALSE)</f>
        <v>4</v>
      </c>
      <c r="S266" s="1" t="str">
        <f>IF(Master[[#This Row],[Type_Forfait]]="Pro Monde","B2B","B2C")</f>
        <v>B2C</v>
      </c>
      <c r="T266" s="1">
        <f>Master[[#This Row],[Anciennete_Mois]]/12</f>
        <v>9.3333333333333339</v>
      </c>
      <c r="U266" s="1">
        <f>Master[[#This Row],[Duree_Cumule_Panne_Min]]/60</f>
        <v>7.666666666666667</v>
      </c>
      <c r="V26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66" s="6">
        <f>Master[[#This Row],[Facture_Mensuelle]]*Master[[#This Row],[Remise]]</f>
        <v>24.961500000000001</v>
      </c>
    </row>
    <row r="267" spans="1:24" x14ac:dyDescent="0.25">
      <c r="A267" s="1" t="s">
        <v>1059</v>
      </c>
      <c r="B267" t="str">
        <f>IFERROR(VLOOKUP(Master[[#This Row],[Cell_ID]],Registre_Maintenance[],2,FALSE),"")</f>
        <v>Tshopo</v>
      </c>
      <c r="C267" s="1" t="s">
        <v>1073</v>
      </c>
      <c r="D267" s="2">
        <v>45220.15902777778</v>
      </c>
      <c r="E267" s="3">
        <v>45220.15902777778</v>
      </c>
      <c r="F267">
        <v>60</v>
      </c>
      <c r="G267">
        <f>Master[[#This Row],[Duree_Panne_Min]]/60</f>
        <v>1</v>
      </c>
      <c r="H267" s="1" t="s">
        <v>737</v>
      </c>
      <c r="I267">
        <f>IFERROR(VLOOKUP(Master[[#This Row],[Cell_ID]],Registre_Maintenance[],3,FALSE),"")</f>
        <v>-9.4133639999999996</v>
      </c>
      <c r="J267">
        <f>IFERROR(VLOOKUP(Master[[#This Row],[Cell_ID]],Registre_Maintenance[],4,FALSE),"")</f>
        <v>15.682482</v>
      </c>
      <c r="K267" t="str">
        <f>IFERROR(VLOOKUP(Master[[#This Row],[Cell_ID]],Registre_Maintenance[],5,FALSE),"")</f>
        <v>4G</v>
      </c>
      <c r="L267" t="str">
        <f>IFERROR(VLOOKUP(Master[[#This Row],[Cell_ID]],Registre_Maintenance[],6,FALSE),"")</f>
        <v>Huawei</v>
      </c>
      <c r="M267" s="1" t="str">
        <f>VLOOKUP(Master[[#This Row],[Province_RDC]],Client[],2,FALSE)</f>
        <v>CLI-00745</v>
      </c>
      <c r="N267" s="1">
        <f>VLOOKUP(Master[[#This Row],[Province_RDC]],Client[],3,FALSE)</f>
        <v>6</v>
      </c>
      <c r="O267" s="1" t="str">
        <f>VLOOKUP(Master[[#This Row],[Province_RDC]],Client[],4,FALSE)</f>
        <v>Premium 5G 150Go</v>
      </c>
      <c r="P267" s="1">
        <f>VLOOKUP(Master[[#This Row],[Province_RDC]],Client[],5,FALSE)</f>
        <v>207</v>
      </c>
      <c r="Q267" s="1">
        <f>VLOOKUP(Master[[#This Row],[Province_RDC]],Client[],6,FALSE)</f>
        <v>61.55</v>
      </c>
      <c r="R267" s="1">
        <f>VLOOKUP(Master[[#This Row],[Province_RDC]],Client[],7,FALSE)</f>
        <v>0</v>
      </c>
      <c r="S267" s="1" t="str">
        <f>IF(Master[[#This Row],[Type_Forfait]]="Pro Monde","B2B","B2C")</f>
        <v>B2C</v>
      </c>
      <c r="T267" s="1">
        <f>Master[[#This Row],[Anciennete_Mois]]/12</f>
        <v>0.5</v>
      </c>
      <c r="U267" s="1">
        <f>Master[[#This Row],[Duree_Cumule_Panne_Min]]/60</f>
        <v>3.45</v>
      </c>
      <c r="V26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6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67" s="6">
        <f>Master[[#This Row],[Facture_Mensuelle]]*Master[[#This Row],[Remise]]</f>
        <v>0</v>
      </c>
    </row>
    <row r="268" spans="1:24" x14ac:dyDescent="0.25">
      <c r="A268" s="1" t="s">
        <v>902</v>
      </c>
      <c r="B268" t="str">
        <f>IFERROR(VLOOKUP(Master[[#This Row],[Cell_ID]],Registre_Maintenance[],2,FALSE),"")</f>
        <v>Maniema</v>
      </c>
      <c r="C268" s="1" t="s">
        <v>919</v>
      </c>
      <c r="D268" s="2">
        <v>45206.362500000003</v>
      </c>
      <c r="E268" s="3">
        <v>45206.362500000003</v>
      </c>
      <c r="F268">
        <v>60</v>
      </c>
      <c r="G268">
        <f>Master[[#This Row],[Duree_Panne_Min]]/60</f>
        <v>1</v>
      </c>
      <c r="H268" s="1" t="s">
        <v>737</v>
      </c>
      <c r="I268">
        <f>IFERROR(VLOOKUP(Master[[#This Row],[Cell_ID]],Registre_Maintenance[],3,FALSE),"")</f>
        <v>-4.2645619999999997</v>
      </c>
      <c r="J268">
        <f>IFERROR(VLOOKUP(Master[[#This Row],[Cell_ID]],Registre_Maintenance[],4,FALSE),"")</f>
        <v>18.960726000000001</v>
      </c>
      <c r="K268" t="str">
        <f>IFERROR(VLOOKUP(Master[[#This Row],[Cell_ID]],Registre_Maintenance[],5,FALSE),"")</f>
        <v>4G</v>
      </c>
      <c r="L268" t="str">
        <f>IFERROR(VLOOKUP(Master[[#This Row],[Cell_ID]],Registre_Maintenance[],6,FALSE),"")</f>
        <v>Huawei</v>
      </c>
      <c r="M268" s="1" t="str">
        <f>VLOOKUP(Master[[#This Row],[Province_RDC]],Client[],2,FALSE)</f>
        <v>CLI-00185</v>
      </c>
      <c r="N268" s="1">
        <f>VLOOKUP(Master[[#This Row],[Province_RDC]],Client[],3,FALSE)</f>
        <v>81</v>
      </c>
      <c r="O268" s="1" t="str">
        <f>VLOOKUP(Master[[#This Row],[Province_RDC]],Client[],4,FALSE)</f>
        <v>Pro Monde</v>
      </c>
      <c r="P268" s="1">
        <f>VLOOKUP(Master[[#This Row],[Province_RDC]],Client[],5,FALSE)</f>
        <v>154</v>
      </c>
      <c r="Q268" s="1">
        <f>VLOOKUP(Master[[#This Row],[Province_RDC]],Client[],6,FALSE)</f>
        <v>19.47</v>
      </c>
      <c r="R268" s="1">
        <f>VLOOKUP(Master[[#This Row],[Province_RDC]],Client[],7,FALSE)</f>
        <v>3</v>
      </c>
      <c r="S268" s="1" t="str">
        <f>IF(Master[[#This Row],[Type_Forfait]]="Pro Monde","B2B","B2C")</f>
        <v>B2B</v>
      </c>
      <c r="T268" s="1">
        <f>Master[[#This Row],[Anciennete_Mois]]/12</f>
        <v>6.75</v>
      </c>
      <c r="U268" s="1">
        <f>Master[[#This Row],[Duree_Cumule_Panne_Min]]/60</f>
        <v>2.5666666666666669</v>
      </c>
      <c r="V26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6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68" s="6">
        <f>Master[[#This Row],[Facture_Mensuelle]]*Master[[#This Row],[Remise]]</f>
        <v>1.9470000000000001</v>
      </c>
    </row>
    <row r="269" spans="1:24" x14ac:dyDescent="0.25">
      <c r="A269" s="1" t="s">
        <v>861</v>
      </c>
      <c r="B269" t="str">
        <f>IFERROR(VLOOKUP(Master[[#This Row],[Cell_ID]],Registre_Maintenance[],2,FALSE),"")</f>
        <v>Kasai-Central</v>
      </c>
      <c r="C269" s="1" t="s">
        <v>863</v>
      </c>
      <c r="D269" s="2">
        <v>45221.910416666673</v>
      </c>
      <c r="E269" s="3">
        <v>45221.910416666673</v>
      </c>
      <c r="F269">
        <v>60</v>
      </c>
      <c r="G269">
        <f>Master[[#This Row],[Duree_Panne_Min]]/60</f>
        <v>1</v>
      </c>
      <c r="H269" s="1" t="s">
        <v>735</v>
      </c>
      <c r="I269">
        <f>IFERROR(VLOOKUP(Master[[#This Row],[Cell_ID]],Registre_Maintenance[],3,FALSE),"")</f>
        <v>-10.414493</v>
      </c>
      <c r="J269">
        <f>IFERROR(VLOOKUP(Master[[#This Row],[Cell_ID]],Registre_Maintenance[],4,FALSE),"")</f>
        <v>12.333356999999999</v>
      </c>
      <c r="K269" t="str">
        <f>IFERROR(VLOOKUP(Master[[#This Row],[Cell_ID]],Registre_Maintenance[],5,FALSE),"")</f>
        <v>3G</v>
      </c>
      <c r="L269" t="str">
        <f>IFERROR(VLOOKUP(Master[[#This Row],[Cell_ID]],Registre_Maintenance[],6,FALSE),"")</f>
        <v>Ericsson</v>
      </c>
      <c r="M269" s="1" t="str">
        <f>VLOOKUP(Master[[#This Row],[Province_RDC]],Client[],2,FALSE)</f>
        <v>CLI-00060</v>
      </c>
      <c r="N269" s="1">
        <f>VLOOKUP(Master[[#This Row],[Province_RDC]],Client[],3,FALSE)</f>
        <v>72</v>
      </c>
      <c r="O269" s="1" t="str">
        <f>VLOOKUP(Master[[#This Row],[Province_RDC]],Client[],4,FALSE)</f>
        <v>Pro Monde</v>
      </c>
      <c r="P269" s="1">
        <f>VLOOKUP(Master[[#This Row],[Province_RDC]],Client[],5,FALSE)</f>
        <v>160</v>
      </c>
      <c r="Q269" s="1">
        <f>VLOOKUP(Master[[#This Row],[Province_RDC]],Client[],6,FALSE)</f>
        <v>90.13</v>
      </c>
      <c r="R269" s="1">
        <f>VLOOKUP(Master[[#This Row],[Province_RDC]],Client[],7,FALSE)</f>
        <v>2</v>
      </c>
      <c r="S269" s="1" t="str">
        <f>IF(Master[[#This Row],[Type_Forfait]]="Pro Monde","B2B","B2C")</f>
        <v>B2B</v>
      </c>
      <c r="T269" s="1">
        <f>Master[[#This Row],[Anciennete_Mois]]/12</f>
        <v>6</v>
      </c>
      <c r="U269" s="1">
        <f>Master[[#This Row],[Duree_Cumule_Panne_Min]]/60</f>
        <v>2.6666666666666665</v>
      </c>
      <c r="V26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6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69" s="6">
        <f>Master[[#This Row],[Facture_Mensuelle]]*Master[[#This Row],[Remise]]</f>
        <v>9.0129999999999999</v>
      </c>
    </row>
    <row r="270" spans="1:24" x14ac:dyDescent="0.25">
      <c r="A270" s="1" t="s">
        <v>1059</v>
      </c>
      <c r="B270" t="str">
        <f>IFERROR(VLOOKUP(Master[[#This Row],[Cell_ID]],Registre_Maintenance[],2,FALSE),"")</f>
        <v>Sud-Ubangi</v>
      </c>
      <c r="C270" s="1" t="s">
        <v>1071</v>
      </c>
      <c r="D270" s="2">
        <v>45211.098611111112</v>
      </c>
      <c r="E270" s="3">
        <v>45211.098611111112</v>
      </c>
      <c r="F270">
        <v>59</v>
      </c>
      <c r="G270">
        <f>Master[[#This Row],[Duree_Panne_Min]]/60</f>
        <v>0.98333333333333328</v>
      </c>
      <c r="H270" s="1" t="s">
        <v>737</v>
      </c>
      <c r="I270">
        <f>IFERROR(VLOOKUP(Master[[#This Row],[Cell_ID]],Registre_Maintenance[],3,FALSE),"")</f>
        <v>-11.387295999999999</v>
      </c>
      <c r="J270">
        <f>IFERROR(VLOOKUP(Master[[#This Row],[Cell_ID]],Registre_Maintenance[],4,FALSE),"")</f>
        <v>19.384257999999999</v>
      </c>
      <c r="K270" t="str">
        <f>IFERROR(VLOOKUP(Master[[#This Row],[Cell_ID]],Registre_Maintenance[],5,FALSE),"")</f>
        <v>3G</v>
      </c>
      <c r="L270" t="str">
        <f>IFERROR(VLOOKUP(Master[[#This Row],[Cell_ID]],Registre_Maintenance[],6,FALSE),"")</f>
        <v>Huawei</v>
      </c>
      <c r="M270" s="1" t="str">
        <f>VLOOKUP(Master[[#This Row],[Province_RDC]],Client[],2,FALSE)</f>
        <v>CLI-00280</v>
      </c>
      <c r="N270" s="1">
        <f>VLOOKUP(Master[[#This Row],[Province_RDC]],Client[],3,FALSE)</f>
        <v>113</v>
      </c>
      <c r="O270" s="1" t="str">
        <f>VLOOKUP(Master[[#This Row],[Province_RDC]],Client[],4,FALSE)</f>
        <v>Illimité 50Go</v>
      </c>
      <c r="P270" s="1">
        <f>VLOOKUP(Master[[#This Row],[Province_RDC]],Client[],5,FALSE)</f>
        <v>380</v>
      </c>
      <c r="Q270" s="1">
        <f>VLOOKUP(Master[[#This Row],[Province_RDC]],Client[],6,FALSE)</f>
        <v>12.11</v>
      </c>
      <c r="R270" s="1">
        <f>VLOOKUP(Master[[#This Row],[Province_RDC]],Client[],7,FALSE)</f>
        <v>0</v>
      </c>
      <c r="S270" s="1" t="str">
        <f>IF(Master[[#This Row],[Type_Forfait]]="Pro Monde","B2B","B2C")</f>
        <v>B2C</v>
      </c>
      <c r="T270" s="1">
        <f>Master[[#This Row],[Anciennete_Mois]]/12</f>
        <v>9.4166666666666661</v>
      </c>
      <c r="U270" s="1">
        <f>Master[[#This Row],[Duree_Cumule_Panne_Min]]/60</f>
        <v>6.333333333333333</v>
      </c>
      <c r="V27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0" s="6">
        <f>Master[[#This Row],[Facture_Mensuelle]]*Master[[#This Row],[Remise]]</f>
        <v>5.4494999999999996</v>
      </c>
    </row>
    <row r="271" spans="1:24" x14ac:dyDescent="0.25">
      <c r="A271" s="1" t="s">
        <v>999</v>
      </c>
      <c r="B271" t="str">
        <f>IFERROR(VLOOKUP(Master[[#This Row],[Cell_ID]],Registre_Maintenance[],2,FALSE),"")</f>
        <v>Maniema</v>
      </c>
      <c r="C271" s="1" t="s">
        <v>1022</v>
      </c>
      <c r="D271" s="2">
        <v>45221.376388888893</v>
      </c>
      <c r="E271" s="3">
        <v>45221.376388888893</v>
      </c>
      <c r="F271">
        <v>59</v>
      </c>
      <c r="G271">
        <f>Master[[#This Row],[Duree_Panne_Min]]/60</f>
        <v>0.98333333333333328</v>
      </c>
      <c r="H271" s="1" t="s">
        <v>737</v>
      </c>
      <c r="I271">
        <f>IFERROR(VLOOKUP(Master[[#This Row],[Cell_ID]],Registre_Maintenance[],3,FALSE),"")</f>
        <v>-8.4824669999999998</v>
      </c>
      <c r="J271">
        <f>IFERROR(VLOOKUP(Master[[#This Row],[Cell_ID]],Registre_Maintenance[],4,FALSE),"")</f>
        <v>21.897777999999999</v>
      </c>
      <c r="K271" t="str">
        <f>IFERROR(VLOOKUP(Master[[#This Row],[Cell_ID]],Registre_Maintenance[],5,FALSE),"")</f>
        <v>5G</v>
      </c>
      <c r="L271" t="str">
        <f>IFERROR(VLOOKUP(Master[[#This Row],[Cell_ID]],Registre_Maintenance[],6,FALSE),"")</f>
        <v>Ericsson</v>
      </c>
      <c r="M271" s="1" t="str">
        <f>VLOOKUP(Master[[#This Row],[Province_RDC]],Client[],2,FALSE)</f>
        <v>CLI-00185</v>
      </c>
      <c r="N271" s="1">
        <f>VLOOKUP(Master[[#This Row],[Province_RDC]],Client[],3,FALSE)</f>
        <v>81</v>
      </c>
      <c r="O271" s="1" t="str">
        <f>VLOOKUP(Master[[#This Row],[Province_RDC]],Client[],4,FALSE)</f>
        <v>Pro Monde</v>
      </c>
      <c r="P271" s="1">
        <f>VLOOKUP(Master[[#This Row],[Province_RDC]],Client[],5,FALSE)</f>
        <v>154</v>
      </c>
      <c r="Q271" s="1">
        <f>VLOOKUP(Master[[#This Row],[Province_RDC]],Client[],6,FALSE)</f>
        <v>19.47</v>
      </c>
      <c r="R271" s="1">
        <f>VLOOKUP(Master[[#This Row],[Province_RDC]],Client[],7,FALSE)</f>
        <v>3</v>
      </c>
      <c r="S271" s="1" t="str">
        <f>IF(Master[[#This Row],[Type_Forfait]]="Pro Monde","B2B","B2C")</f>
        <v>B2B</v>
      </c>
      <c r="T271" s="1">
        <f>Master[[#This Row],[Anciennete_Mois]]/12</f>
        <v>6.75</v>
      </c>
      <c r="U271" s="1">
        <f>Master[[#This Row],[Duree_Cumule_Panne_Min]]/60</f>
        <v>2.5666666666666669</v>
      </c>
      <c r="V27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7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71" s="6">
        <f>Master[[#This Row],[Facture_Mensuelle]]*Master[[#This Row],[Remise]]</f>
        <v>1.9470000000000001</v>
      </c>
    </row>
    <row r="272" spans="1:24" x14ac:dyDescent="0.25">
      <c r="A272" s="1" t="s">
        <v>1138</v>
      </c>
      <c r="B272" t="str">
        <f>IFERROR(VLOOKUP(Master[[#This Row],[Cell_ID]],Registre_Maintenance[],2,FALSE),"")</f>
        <v>Sud-Kivu</v>
      </c>
      <c r="C272" s="1" t="s">
        <v>1007</v>
      </c>
      <c r="D272" s="2">
        <v>45218.127083333333</v>
      </c>
      <c r="E272" s="3">
        <v>45218.127083333333</v>
      </c>
      <c r="F272">
        <v>58</v>
      </c>
      <c r="G272">
        <f>Master[[#This Row],[Duree_Panne_Min]]/60</f>
        <v>0.96666666666666667</v>
      </c>
      <c r="H272" s="1" t="s">
        <v>735</v>
      </c>
      <c r="I272">
        <f>IFERROR(VLOOKUP(Master[[#This Row],[Cell_ID]],Registre_Maintenance[],3,FALSE),"")</f>
        <v>1.2419519999999999</v>
      </c>
      <c r="J272">
        <f>IFERROR(VLOOKUP(Master[[#This Row],[Cell_ID]],Registre_Maintenance[],4,FALSE),"")</f>
        <v>25.261382999999999</v>
      </c>
      <c r="K272" t="str">
        <f>IFERROR(VLOOKUP(Master[[#This Row],[Cell_ID]],Registre_Maintenance[],5,FALSE),"")</f>
        <v>4G</v>
      </c>
      <c r="L272" t="str">
        <f>IFERROR(VLOOKUP(Master[[#This Row],[Cell_ID]],Registre_Maintenance[],6,FALSE),"")</f>
        <v>Huawei</v>
      </c>
      <c r="M272" s="1" t="str">
        <f>VLOOKUP(Master[[#This Row],[Province_RDC]],Client[],2,FALSE)</f>
        <v>CLI-01855</v>
      </c>
      <c r="N272" s="1">
        <f>VLOOKUP(Master[[#This Row],[Province_RDC]],Client[],3,FALSE)</f>
        <v>101</v>
      </c>
      <c r="O272" s="1" t="str">
        <f>VLOOKUP(Master[[#This Row],[Province_RDC]],Client[],4,FALSE)</f>
        <v>Illimité 50Go</v>
      </c>
      <c r="P272" s="1">
        <f>VLOOKUP(Master[[#This Row],[Province_RDC]],Client[],5,FALSE)</f>
        <v>358</v>
      </c>
      <c r="Q272" s="1">
        <f>VLOOKUP(Master[[#This Row],[Province_RDC]],Client[],6,FALSE)</f>
        <v>29.24</v>
      </c>
      <c r="R272" s="1">
        <f>VLOOKUP(Master[[#This Row],[Province_RDC]],Client[],7,FALSE)</f>
        <v>3</v>
      </c>
      <c r="S272" s="1" t="str">
        <f>IF(Master[[#This Row],[Type_Forfait]]="Pro Monde","B2B","B2C")</f>
        <v>B2C</v>
      </c>
      <c r="T272" s="1">
        <f>Master[[#This Row],[Anciennete_Mois]]/12</f>
        <v>8.4166666666666661</v>
      </c>
      <c r="U272" s="1">
        <f>Master[[#This Row],[Duree_Cumule_Panne_Min]]/60</f>
        <v>5.9666666666666668</v>
      </c>
      <c r="V27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2" s="6">
        <f>Master[[#This Row],[Facture_Mensuelle]]*Master[[#This Row],[Remise]]</f>
        <v>13.157999999999999</v>
      </c>
    </row>
    <row r="273" spans="1:24" x14ac:dyDescent="0.25">
      <c r="A273" s="1" t="s">
        <v>1382</v>
      </c>
      <c r="B273" t="str">
        <f>IFERROR(VLOOKUP(Master[[#This Row],[Cell_ID]],Registre_Maintenance[],2,FALSE),"")</f>
        <v>Kwango</v>
      </c>
      <c r="C273" s="1" t="s">
        <v>796</v>
      </c>
      <c r="D273" s="2">
        <v>45212.901388888888</v>
      </c>
      <c r="E273" s="3">
        <v>45212.901388888888</v>
      </c>
      <c r="F273">
        <v>58</v>
      </c>
      <c r="G273">
        <f>Master[[#This Row],[Duree_Panne_Min]]/60</f>
        <v>0.96666666666666667</v>
      </c>
      <c r="H273" s="1" t="s">
        <v>732</v>
      </c>
      <c r="I273">
        <f>IFERROR(VLOOKUP(Master[[#This Row],[Cell_ID]],Registre_Maintenance[],3,FALSE),"")</f>
        <v>-10.963041</v>
      </c>
      <c r="J273">
        <f>IFERROR(VLOOKUP(Master[[#This Row],[Cell_ID]],Registre_Maintenance[],4,FALSE),"")</f>
        <v>12.269857</v>
      </c>
      <c r="K273" t="str">
        <f>IFERROR(VLOOKUP(Master[[#This Row],[Cell_ID]],Registre_Maintenance[],5,FALSE),"")</f>
        <v>4G</v>
      </c>
      <c r="L273" t="str">
        <f>IFERROR(VLOOKUP(Master[[#This Row],[Cell_ID]],Registre_Maintenance[],6,FALSE),"")</f>
        <v>Huawei</v>
      </c>
      <c r="M273" s="1" t="str">
        <f>VLOOKUP(Master[[#This Row],[Province_RDC]],Client[],2,FALSE)</f>
        <v>CLI-00569</v>
      </c>
      <c r="N273" s="1">
        <f>VLOOKUP(Master[[#This Row],[Province_RDC]],Client[],3,FALSE)</f>
        <v>110</v>
      </c>
      <c r="O273" s="1" t="str">
        <f>VLOOKUP(Master[[#This Row],[Province_RDC]],Client[],4,FALSE)</f>
        <v>Pro Monde</v>
      </c>
      <c r="P273" s="1">
        <f>VLOOKUP(Master[[#This Row],[Province_RDC]],Client[],5,FALSE)</f>
        <v>423</v>
      </c>
      <c r="Q273" s="1">
        <f>VLOOKUP(Master[[#This Row],[Province_RDC]],Client[],6,FALSE)</f>
        <v>37.35</v>
      </c>
      <c r="R273" s="1">
        <f>VLOOKUP(Master[[#This Row],[Province_RDC]],Client[],7,FALSE)</f>
        <v>4</v>
      </c>
      <c r="S273" s="1" t="str">
        <f>IF(Master[[#This Row],[Type_Forfait]]="Pro Monde","B2B","B2C")</f>
        <v>B2B</v>
      </c>
      <c r="T273" s="1">
        <f>Master[[#This Row],[Anciennete_Mois]]/12</f>
        <v>9.1666666666666661</v>
      </c>
      <c r="U273" s="1">
        <f>Master[[#This Row],[Duree_Cumule_Panne_Min]]/60</f>
        <v>7.05</v>
      </c>
      <c r="V27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3" s="6">
        <f>Master[[#This Row],[Facture_Mensuelle]]*Master[[#This Row],[Remise]]</f>
        <v>16.807500000000001</v>
      </c>
    </row>
    <row r="274" spans="1:24" x14ac:dyDescent="0.25">
      <c r="A274" s="1" t="s">
        <v>978</v>
      </c>
      <c r="B274" t="str">
        <f>IFERROR(VLOOKUP(Master[[#This Row],[Cell_ID]],Registre_Maintenance[],2,FALSE),"")</f>
        <v>Haut-Uele</v>
      </c>
      <c r="C274" s="1" t="s">
        <v>881</v>
      </c>
      <c r="D274" s="2">
        <v>45212.599305555559</v>
      </c>
      <c r="E274" s="3">
        <v>45212.599305555559</v>
      </c>
      <c r="F274">
        <v>58</v>
      </c>
      <c r="G274">
        <f>Master[[#This Row],[Duree_Panne_Min]]/60</f>
        <v>0.96666666666666667</v>
      </c>
      <c r="H274" s="1" t="s">
        <v>735</v>
      </c>
      <c r="I274">
        <f>IFERROR(VLOOKUP(Master[[#This Row],[Cell_ID]],Registre_Maintenance[],3,FALSE),"")</f>
        <v>-1.8045979999999999</v>
      </c>
      <c r="J274">
        <f>IFERROR(VLOOKUP(Master[[#This Row],[Cell_ID]],Registre_Maintenance[],4,FALSE),"")</f>
        <v>12.511096999999999</v>
      </c>
      <c r="K274" t="str">
        <f>IFERROR(VLOOKUP(Master[[#This Row],[Cell_ID]],Registre_Maintenance[],5,FALSE),"")</f>
        <v>3G</v>
      </c>
      <c r="L274" t="str">
        <f>IFERROR(VLOOKUP(Master[[#This Row],[Cell_ID]],Registre_Maintenance[],6,FALSE),"")</f>
        <v>Huawei</v>
      </c>
      <c r="M274" s="1" t="str">
        <f>VLOOKUP(Master[[#This Row],[Province_RDC]],Client[],2,FALSE)</f>
        <v>CLI-00439</v>
      </c>
      <c r="N274" s="1">
        <f>VLOOKUP(Master[[#This Row],[Province_RDC]],Client[],3,FALSE)</f>
        <v>40</v>
      </c>
      <c r="O274" s="1" t="str">
        <f>VLOOKUP(Master[[#This Row],[Province_RDC]],Client[],4,FALSE)</f>
        <v>Premium 5G 150Go</v>
      </c>
      <c r="P274" s="1">
        <f>VLOOKUP(Master[[#This Row],[Province_RDC]],Client[],5,FALSE)</f>
        <v>345</v>
      </c>
      <c r="Q274" s="1">
        <f>VLOOKUP(Master[[#This Row],[Province_RDC]],Client[],6,FALSE)</f>
        <v>89.55</v>
      </c>
      <c r="R274" s="1">
        <f>VLOOKUP(Master[[#This Row],[Province_RDC]],Client[],7,FALSE)</f>
        <v>3</v>
      </c>
      <c r="S274" s="1" t="str">
        <f>IF(Master[[#This Row],[Type_Forfait]]="Pro Monde","B2B","B2C")</f>
        <v>B2C</v>
      </c>
      <c r="T274" s="1">
        <f>Master[[#This Row],[Anciennete_Mois]]/12</f>
        <v>3.3333333333333335</v>
      </c>
      <c r="U274" s="1">
        <f>Master[[#This Row],[Duree_Cumule_Panne_Min]]/60</f>
        <v>5.75</v>
      </c>
      <c r="V27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4" s="6">
        <f>Master[[#This Row],[Facture_Mensuelle]]*Master[[#This Row],[Remise]]</f>
        <v>40.297499999999999</v>
      </c>
    </row>
    <row r="275" spans="1:24" x14ac:dyDescent="0.25">
      <c r="A275" s="1" t="s">
        <v>1219</v>
      </c>
      <c r="B275" t="str">
        <f>IFERROR(VLOOKUP(Master[[#This Row],[Cell_ID]],Registre_Maintenance[],2,FALSE),"")</f>
        <v>Tshopo</v>
      </c>
      <c r="C275" s="1" t="s">
        <v>898</v>
      </c>
      <c r="D275" s="2">
        <v>45211.425000000003</v>
      </c>
      <c r="E275" s="3">
        <v>45211.425000000003</v>
      </c>
      <c r="F275">
        <v>57</v>
      </c>
      <c r="G275">
        <f>Master[[#This Row],[Duree_Panne_Min]]/60</f>
        <v>0.95</v>
      </c>
      <c r="H275" s="1" t="s">
        <v>735</v>
      </c>
      <c r="I275">
        <f>IFERROR(VLOOKUP(Master[[#This Row],[Cell_ID]],Registre_Maintenance[],3,FALSE),"")</f>
        <v>-4.5603610000000003</v>
      </c>
      <c r="J275">
        <f>IFERROR(VLOOKUP(Master[[#This Row],[Cell_ID]],Registre_Maintenance[],4,FALSE),"")</f>
        <v>24.113918999999999</v>
      </c>
      <c r="K275" t="str">
        <f>IFERROR(VLOOKUP(Master[[#This Row],[Cell_ID]],Registre_Maintenance[],5,FALSE),"")</f>
        <v>5G</v>
      </c>
      <c r="L275" t="str">
        <f>IFERROR(VLOOKUP(Master[[#This Row],[Cell_ID]],Registre_Maintenance[],6,FALSE),"")</f>
        <v>ZTE</v>
      </c>
      <c r="M275" s="1" t="str">
        <f>VLOOKUP(Master[[#This Row],[Province_RDC]],Client[],2,FALSE)</f>
        <v>CLI-00745</v>
      </c>
      <c r="N275" s="1">
        <f>VLOOKUP(Master[[#This Row],[Province_RDC]],Client[],3,FALSE)</f>
        <v>6</v>
      </c>
      <c r="O275" s="1" t="str">
        <f>VLOOKUP(Master[[#This Row],[Province_RDC]],Client[],4,FALSE)</f>
        <v>Premium 5G 150Go</v>
      </c>
      <c r="P275" s="1">
        <f>VLOOKUP(Master[[#This Row],[Province_RDC]],Client[],5,FALSE)</f>
        <v>207</v>
      </c>
      <c r="Q275" s="1">
        <f>VLOOKUP(Master[[#This Row],[Province_RDC]],Client[],6,FALSE)</f>
        <v>61.55</v>
      </c>
      <c r="R275" s="1">
        <f>VLOOKUP(Master[[#This Row],[Province_RDC]],Client[],7,FALSE)</f>
        <v>0</v>
      </c>
      <c r="S275" s="1" t="str">
        <f>IF(Master[[#This Row],[Type_Forfait]]="Pro Monde","B2B","B2C")</f>
        <v>B2C</v>
      </c>
      <c r="T275" s="1">
        <f>Master[[#This Row],[Anciennete_Mois]]/12</f>
        <v>0.5</v>
      </c>
      <c r="U275" s="1">
        <f>Master[[#This Row],[Duree_Cumule_Panne_Min]]/60</f>
        <v>3.45</v>
      </c>
      <c r="V27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75" s="6">
        <f>Master[[#This Row],[Facture_Mensuelle]]*Master[[#This Row],[Remise]]</f>
        <v>0</v>
      </c>
    </row>
    <row r="276" spans="1:24" x14ac:dyDescent="0.25">
      <c r="A276" s="1" t="s">
        <v>1024</v>
      </c>
      <c r="B276" t="str">
        <f>IFERROR(VLOOKUP(Master[[#This Row],[Cell_ID]],Registre_Maintenance[],2,FALSE),"")</f>
        <v>Sud-Kivu</v>
      </c>
      <c r="C276" s="1" t="s">
        <v>1045</v>
      </c>
      <c r="D276" s="2">
        <v>45230.863888888889</v>
      </c>
      <c r="E276" s="3">
        <v>45230.863888888889</v>
      </c>
      <c r="F276">
        <v>57</v>
      </c>
      <c r="G276">
        <f>Master[[#This Row],[Duree_Panne_Min]]/60</f>
        <v>0.95</v>
      </c>
      <c r="H276" s="1" t="s">
        <v>732</v>
      </c>
      <c r="I276">
        <f>IFERROR(VLOOKUP(Master[[#This Row],[Cell_ID]],Registre_Maintenance[],3,FALSE),"")</f>
        <v>-4.1694589999999998</v>
      </c>
      <c r="J276">
        <f>IFERROR(VLOOKUP(Master[[#This Row],[Cell_ID]],Registre_Maintenance[],4,FALSE),"")</f>
        <v>23.376487000000001</v>
      </c>
      <c r="K276" t="str">
        <f>IFERROR(VLOOKUP(Master[[#This Row],[Cell_ID]],Registre_Maintenance[],5,FALSE),"")</f>
        <v>3G</v>
      </c>
      <c r="L276" t="str">
        <f>IFERROR(VLOOKUP(Master[[#This Row],[Cell_ID]],Registre_Maintenance[],6,FALSE),"")</f>
        <v>Nokia</v>
      </c>
      <c r="M276" s="1" t="str">
        <f>VLOOKUP(Master[[#This Row],[Province_RDC]],Client[],2,FALSE)</f>
        <v>CLI-01855</v>
      </c>
      <c r="N276" s="1">
        <f>VLOOKUP(Master[[#This Row],[Province_RDC]],Client[],3,FALSE)</f>
        <v>101</v>
      </c>
      <c r="O276" s="1" t="str">
        <f>VLOOKUP(Master[[#This Row],[Province_RDC]],Client[],4,FALSE)</f>
        <v>Illimité 50Go</v>
      </c>
      <c r="P276" s="1">
        <f>VLOOKUP(Master[[#This Row],[Province_RDC]],Client[],5,FALSE)</f>
        <v>358</v>
      </c>
      <c r="Q276" s="1">
        <f>VLOOKUP(Master[[#This Row],[Province_RDC]],Client[],6,FALSE)</f>
        <v>29.24</v>
      </c>
      <c r="R276" s="1">
        <f>VLOOKUP(Master[[#This Row],[Province_RDC]],Client[],7,FALSE)</f>
        <v>3</v>
      </c>
      <c r="S276" s="1" t="str">
        <f>IF(Master[[#This Row],[Type_Forfait]]="Pro Monde","B2B","B2C")</f>
        <v>B2C</v>
      </c>
      <c r="T276" s="1">
        <f>Master[[#This Row],[Anciennete_Mois]]/12</f>
        <v>8.4166666666666661</v>
      </c>
      <c r="U276" s="1">
        <f>Master[[#This Row],[Duree_Cumule_Panne_Min]]/60</f>
        <v>5.9666666666666668</v>
      </c>
      <c r="V27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6" s="6">
        <f>Master[[#This Row],[Facture_Mensuelle]]*Master[[#This Row],[Remise]]</f>
        <v>13.157999999999999</v>
      </c>
    </row>
    <row r="277" spans="1:24" x14ac:dyDescent="0.25">
      <c r="A277" s="1" t="s">
        <v>1241</v>
      </c>
      <c r="B277" t="str">
        <f>IFERROR(VLOOKUP(Master[[#This Row],[Cell_ID]],Registre_Maintenance[],2,FALSE),"")</f>
        <v>Nord-Ubangi</v>
      </c>
      <c r="C277" s="1" t="s">
        <v>1157</v>
      </c>
      <c r="D277" s="2">
        <v>45210.908333333333</v>
      </c>
      <c r="E277" s="3">
        <v>45210.908333333333</v>
      </c>
      <c r="F277">
        <v>57</v>
      </c>
      <c r="G277">
        <f>Master[[#This Row],[Duree_Panne_Min]]/60</f>
        <v>0.95</v>
      </c>
      <c r="H277" s="1" t="s">
        <v>737</v>
      </c>
      <c r="I277">
        <f>IFERROR(VLOOKUP(Master[[#This Row],[Cell_ID]],Registre_Maintenance[],3,FALSE),"")</f>
        <v>8.5490999999999998E-2</v>
      </c>
      <c r="J277">
        <f>IFERROR(VLOOKUP(Master[[#This Row],[Cell_ID]],Registre_Maintenance[],4,FALSE),"")</f>
        <v>26.296129000000001</v>
      </c>
      <c r="K277" t="str">
        <f>IFERROR(VLOOKUP(Master[[#This Row],[Cell_ID]],Registre_Maintenance[],5,FALSE),"")</f>
        <v>3G</v>
      </c>
      <c r="L277" t="str">
        <f>IFERROR(VLOOKUP(Master[[#This Row],[Cell_ID]],Registre_Maintenance[],6,FALSE),"")</f>
        <v>ZTE</v>
      </c>
      <c r="M277" s="1" t="str">
        <f>VLOOKUP(Master[[#This Row],[Province_RDC]],Client[],2,FALSE)</f>
        <v>CLI-01170</v>
      </c>
      <c r="N277" s="1">
        <f>VLOOKUP(Master[[#This Row],[Province_RDC]],Client[],3,FALSE)</f>
        <v>98</v>
      </c>
      <c r="O277" s="1" t="str">
        <f>VLOOKUP(Master[[#This Row],[Province_RDC]],Client[],4,FALSE)</f>
        <v>Pro Monde</v>
      </c>
      <c r="P277" s="1">
        <f>VLOOKUP(Master[[#This Row],[Province_RDC]],Client[],5,FALSE)</f>
        <v>482</v>
      </c>
      <c r="Q277" s="1">
        <f>VLOOKUP(Master[[#This Row],[Province_RDC]],Client[],6,FALSE)</f>
        <v>55.04</v>
      </c>
      <c r="R277" s="1">
        <f>VLOOKUP(Master[[#This Row],[Province_RDC]],Client[],7,FALSE)</f>
        <v>5</v>
      </c>
      <c r="S277" s="1" t="str">
        <f>IF(Master[[#This Row],[Type_Forfait]]="Pro Monde","B2B","B2C")</f>
        <v>B2B</v>
      </c>
      <c r="T277" s="1">
        <f>Master[[#This Row],[Anciennete_Mois]]/12</f>
        <v>8.1666666666666661</v>
      </c>
      <c r="U277" s="1">
        <f>Master[[#This Row],[Duree_Cumule_Panne_Min]]/60</f>
        <v>8.0333333333333332</v>
      </c>
      <c r="V27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7" s="6">
        <f>Master[[#This Row],[Facture_Mensuelle]]*Master[[#This Row],[Remise]]</f>
        <v>24.768000000000001</v>
      </c>
    </row>
    <row r="278" spans="1:24" x14ac:dyDescent="0.25">
      <c r="A278" s="1" t="s">
        <v>1138</v>
      </c>
      <c r="B278" t="str">
        <f>IFERROR(VLOOKUP(Master[[#This Row],[Cell_ID]],Registre_Maintenance[],2,FALSE),"")</f>
        <v>Kongo-Central</v>
      </c>
      <c r="C278" s="1" t="s">
        <v>739</v>
      </c>
      <c r="D278" s="2">
        <v>45219.476388888892</v>
      </c>
      <c r="E278" s="3">
        <v>45219.476388888892</v>
      </c>
      <c r="F278">
        <v>57</v>
      </c>
      <c r="G278">
        <f>Master[[#This Row],[Duree_Panne_Min]]/60</f>
        <v>0.95</v>
      </c>
      <c r="H278" s="1" t="s">
        <v>732</v>
      </c>
      <c r="I278">
        <f>IFERROR(VLOOKUP(Master[[#This Row],[Cell_ID]],Registre_Maintenance[],3,FALSE),"")</f>
        <v>-2.8211520000000001</v>
      </c>
      <c r="J278">
        <f>IFERROR(VLOOKUP(Master[[#This Row],[Cell_ID]],Registre_Maintenance[],4,FALSE),"")</f>
        <v>20.651419000000001</v>
      </c>
      <c r="K278" t="str">
        <f>IFERROR(VLOOKUP(Master[[#This Row],[Cell_ID]],Registre_Maintenance[],5,FALSE),"")</f>
        <v>5G</v>
      </c>
      <c r="L278" t="str">
        <f>IFERROR(VLOOKUP(Master[[#This Row],[Cell_ID]],Registre_Maintenance[],6,FALSE),"")</f>
        <v>Ericsson</v>
      </c>
      <c r="M278" s="1" t="str">
        <f>VLOOKUP(Master[[#This Row],[Province_RDC]],Client[],2,FALSE)</f>
        <v>CLI-01233</v>
      </c>
      <c r="N278" s="1">
        <f>VLOOKUP(Master[[#This Row],[Province_RDC]],Client[],3,FALSE)</f>
        <v>101</v>
      </c>
      <c r="O278" s="1" t="str">
        <f>VLOOKUP(Master[[#This Row],[Province_RDC]],Client[],4,FALSE)</f>
        <v>Pro Monde</v>
      </c>
      <c r="P278" s="1">
        <f>VLOOKUP(Master[[#This Row],[Province_RDC]],Client[],5,FALSE)</f>
        <v>333</v>
      </c>
      <c r="Q278" s="1">
        <f>VLOOKUP(Master[[#This Row],[Province_RDC]],Client[],6,FALSE)</f>
        <v>74.319999999999993</v>
      </c>
      <c r="R278" s="1">
        <f>VLOOKUP(Master[[#This Row],[Province_RDC]],Client[],7,FALSE)</f>
        <v>1</v>
      </c>
      <c r="S278" s="1" t="str">
        <f>IF(Master[[#This Row],[Type_Forfait]]="Pro Monde","B2B","B2C")</f>
        <v>B2B</v>
      </c>
      <c r="T278" s="1">
        <f>Master[[#This Row],[Anciennete_Mois]]/12</f>
        <v>8.4166666666666661</v>
      </c>
      <c r="U278" s="1">
        <f>Master[[#This Row],[Duree_Cumule_Panne_Min]]/60</f>
        <v>5.55</v>
      </c>
      <c r="V27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8" s="6">
        <f>Master[[#This Row],[Facture_Mensuelle]]*Master[[#This Row],[Remise]]</f>
        <v>33.443999999999996</v>
      </c>
    </row>
    <row r="279" spans="1:24" x14ac:dyDescent="0.25">
      <c r="A279" s="1" t="s">
        <v>1330</v>
      </c>
      <c r="B279" t="str">
        <f>IFERROR(VLOOKUP(Master[[#This Row],[Cell_ID]],Registre_Maintenance[],2,FALSE),"")</f>
        <v>Kongo-Central</v>
      </c>
      <c r="C279" s="1" t="s">
        <v>1285</v>
      </c>
      <c r="D279" s="2">
        <v>45207.074305555558</v>
      </c>
      <c r="E279" s="3">
        <v>45207.074305555558</v>
      </c>
      <c r="F279">
        <v>57</v>
      </c>
      <c r="G279">
        <f>Master[[#This Row],[Duree_Panne_Min]]/60</f>
        <v>0.95</v>
      </c>
      <c r="H279" s="1" t="s">
        <v>732</v>
      </c>
      <c r="I279">
        <f>IFERROR(VLOOKUP(Master[[#This Row],[Cell_ID]],Registre_Maintenance[],3,FALSE),"")</f>
        <v>-7.1587569999999996</v>
      </c>
      <c r="J279">
        <f>IFERROR(VLOOKUP(Master[[#This Row],[Cell_ID]],Registre_Maintenance[],4,FALSE),"")</f>
        <v>18.975141000000001</v>
      </c>
      <c r="K279" t="str">
        <f>IFERROR(VLOOKUP(Master[[#This Row],[Cell_ID]],Registre_Maintenance[],5,FALSE),"")</f>
        <v>5G</v>
      </c>
      <c r="L279" t="str">
        <f>IFERROR(VLOOKUP(Master[[#This Row],[Cell_ID]],Registre_Maintenance[],6,FALSE),"")</f>
        <v>Ericsson</v>
      </c>
      <c r="M279" s="1" t="str">
        <f>VLOOKUP(Master[[#This Row],[Province_RDC]],Client[],2,FALSE)</f>
        <v>CLI-01233</v>
      </c>
      <c r="N279" s="1">
        <f>VLOOKUP(Master[[#This Row],[Province_RDC]],Client[],3,FALSE)</f>
        <v>101</v>
      </c>
      <c r="O279" s="1" t="str">
        <f>VLOOKUP(Master[[#This Row],[Province_RDC]],Client[],4,FALSE)</f>
        <v>Pro Monde</v>
      </c>
      <c r="P279" s="1">
        <f>VLOOKUP(Master[[#This Row],[Province_RDC]],Client[],5,FALSE)</f>
        <v>333</v>
      </c>
      <c r="Q279" s="1">
        <f>VLOOKUP(Master[[#This Row],[Province_RDC]],Client[],6,FALSE)</f>
        <v>74.319999999999993</v>
      </c>
      <c r="R279" s="1">
        <f>VLOOKUP(Master[[#This Row],[Province_RDC]],Client[],7,FALSE)</f>
        <v>1</v>
      </c>
      <c r="S279" s="1" t="str">
        <f>IF(Master[[#This Row],[Type_Forfait]]="Pro Monde","B2B","B2C")</f>
        <v>B2B</v>
      </c>
      <c r="T279" s="1">
        <f>Master[[#This Row],[Anciennete_Mois]]/12</f>
        <v>8.4166666666666661</v>
      </c>
      <c r="U279" s="1">
        <f>Master[[#This Row],[Duree_Cumule_Panne_Min]]/60</f>
        <v>5.55</v>
      </c>
      <c r="V27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7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79" s="6">
        <f>Master[[#This Row],[Facture_Mensuelle]]*Master[[#This Row],[Remise]]</f>
        <v>33.443999999999996</v>
      </c>
    </row>
    <row r="280" spans="1:24" x14ac:dyDescent="0.25">
      <c r="A280" s="1" t="s">
        <v>978</v>
      </c>
      <c r="B280" t="str">
        <f>IFERROR(VLOOKUP(Master[[#This Row],[Cell_ID]],Registre_Maintenance[],2,FALSE),"")</f>
        <v>Nord-Ubangi</v>
      </c>
      <c r="C280" s="1" t="s">
        <v>865</v>
      </c>
      <c r="D280" s="2">
        <v>45225.317361111112</v>
      </c>
      <c r="E280" s="3">
        <v>45225.317361111112</v>
      </c>
      <c r="F280">
        <v>56</v>
      </c>
      <c r="G280">
        <f>Master[[#This Row],[Duree_Panne_Min]]/60</f>
        <v>0.93333333333333335</v>
      </c>
      <c r="H280" s="1" t="s">
        <v>735</v>
      </c>
      <c r="I280">
        <f>IFERROR(VLOOKUP(Master[[#This Row],[Cell_ID]],Registre_Maintenance[],3,FALSE),"")</f>
        <v>-7.9987219999999999</v>
      </c>
      <c r="J280">
        <f>IFERROR(VLOOKUP(Master[[#This Row],[Cell_ID]],Registre_Maintenance[],4,FALSE),"")</f>
        <v>12.779335</v>
      </c>
      <c r="K280" t="str">
        <f>IFERROR(VLOOKUP(Master[[#This Row],[Cell_ID]],Registre_Maintenance[],5,FALSE),"")</f>
        <v>5G</v>
      </c>
      <c r="L280" t="str">
        <f>IFERROR(VLOOKUP(Master[[#This Row],[Cell_ID]],Registre_Maintenance[],6,FALSE),"")</f>
        <v>Nokia</v>
      </c>
      <c r="M280" s="1" t="str">
        <f>VLOOKUP(Master[[#This Row],[Province_RDC]],Client[],2,FALSE)</f>
        <v>CLI-01170</v>
      </c>
      <c r="N280" s="1">
        <f>VLOOKUP(Master[[#This Row],[Province_RDC]],Client[],3,FALSE)</f>
        <v>98</v>
      </c>
      <c r="O280" s="1" t="str">
        <f>VLOOKUP(Master[[#This Row],[Province_RDC]],Client[],4,FALSE)</f>
        <v>Pro Monde</v>
      </c>
      <c r="P280" s="1">
        <f>VLOOKUP(Master[[#This Row],[Province_RDC]],Client[],5,FALSE)</f>
        <v>482</v>
      </c>
      <c r="Q280" s="1">
        <f>VLOOKUP(Master[[#This Row],[Province_RDC]],Client[],6,FALSE)</f>
        <v>55.04</v>
      </c>
      <c r="R280" s="1">
        <f>VLOOKUP(Master[[#This Row],[Province_RDC]],Client[],7,FALSE)</f>
        <v>5</v>
      </c>
      <c r="S280" s="1" t="str">
        <f>IF(Master[[#This Row],[Type_Forfait]]="Pro Monde","B2B","B2C")</f>
        <v>B2B</v>
      </c>
      <c r="T280" s="1">
        <f>Master[[#This Row],[Anciennete_Mois]]/12</f>
        <v>8.1666666666666661</v>
      </c>
      <c r="U280" s="1">
        <f>Master[[#This Row],[Duree_Cumule_Panne_Min]]/60</f>
        <v>8.0333333333333332</v>
      </c>
      <c r="V28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0" s="6">
        <f>Master[[#This Row],[Facture_Mensuelle]]*Master[[#This Row],[Remise]]</f>
        <v>24.768000000000001</v>
      </c>
    </row>
    <row r="281" spans="1:24" x14ac:dyDescent="0.25">
      <c r="A281" s="1" t="s">
        <v>999</v>
      </c>
      <c r="B281" t="str">
        <f>IFERROR(VLOOKUP(Master[[#This Row],[Cell_ID]],Registre_Maintenance[],2,FALSE),"")</f>
        <v>Nord-Ubangi</v>
      </c>
      <c r="C281" s="1" t="s">
        <v>990</v>
      </c>
      <c r="D281" s="2">
        <v>45201.009027777778</v>
      </c>
      <c r="E281" s="3">
        <v>45201.009027777778</v>
      </c>
      <c r="F281">
        <v>56</v>
      </c>
      <c r="G281">
        <f>Master[[#This Row],[Duree_Panne_Min]]/60</f>
        <v>0.93333333333333335</v>
      </c>
      <c r="H281" s="1" t="s">
        <v>735</v>
      </c>
      <c r="I281">
        <f>IFERROR(VLOOKUP(Master[[#This Row],[Cell_ID]],Registre_Maintenance[],3,FALSE),"")</f>
        <v>-7.7839049999999999</v>
      </c>
      <c r="J281">
        <f>IFERROR(VLOOKUP(Master[[#This Row],[Cell_ID]],Registre_Maintenance[],4,FALSE),"")</f>
        <v>14.114281999999999</v>
      </c>
      <c r="K281" t="str">
        <f>IFERROR(VLOOKUP(Master[[#This Row],[Cell_ID]],Registre_Maintenance[],5,FALSE),"")</f>
        <v>3G</v>
      </c>
      <c r="L281" t="str">
        <f>IFERROR(VLOOKUP(Master[[#This Row],[Cell_ID]],Registre_Maintenance[],6,FALSE),"")</f>
        <v>ZTE</v>
      </c>
      <c r="M281" s="1" t="str">
        <f>VLOOKUP(Master[[#This Row],[Province_RDC]],Client[],2,FALSE)</f>
        <v>CLI-01170</v>
      </c>
      <c r="N281" s="1">
        <f>VLOOKUP(Master[[#This Row],[Province_RDC]],Client[],3,FALSE)</f>
        <v>98</v>
      </c>
      <c r="O281" s="1" t="str">
        <f>VLOOKUP(Master[[#This Row],[Province_RDC]],Client[],4,FALSE)</f>
        <v>Pro Monde</v>
      </c>
      <c r="P281" s="1">
        <f>VLOOKUP(Master[[#This Row],[Province_RDC]],Client[],5,FALSE)</f>
        <v>482</v>
      </c>
      <c r="Q281" s="1">
        <f>VLOOKUP(Master[[#This Row],[Province_RDC]],Client[],6,FALSE)</f>
        <v>55.04</v>
      </c>
      <c r="R281" s="1">
        <f>VLOOKUP(Master[[#This Row],[Province_RDC]],Client[],7,FALSE)</f>
        <v>5</v>
      </c>
      <c r="S281" s="1" t="str">
        <f>IF(Master[[#This Row],[Type_Forfait]]="Pro Monde","B2B","B2C")</f>
        <v>B2B</v>
      </c>
      <c r="T281" s="1">
        <f>Master[[#This Row],[Anciennete_Mois]]/12</f>
        <v>8.1666666666666661</v>
      </c>
      <c r="U281" s="1">
        <f>Master[[#This Row],[Duree_Cumule_Panne_Min]]/60</f>
        <v>8.0333333333333332</v>
      </c>
      <c r="V28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1" s="6">
        <f>Master[[#This Row],[Facture_Mensuelle]]*Master[[#This Row],[Remise]]</f>
        <v>24.768000000000001</v>
      </c>
    </row>
    <row r="282" spans="1:24" x14ac:dyDescent="0.25">
      <c r="A282" s="1" t="s">
        <v>823</v>
      </c>
      <c r="B282" t="str">
        <f>IFERROR(VLOOKUP(Master[[#This Row],[Cell_ID]],Registre_Maintenance[],2,FALSE),"")</f>
        <v>Kongo-Central</v>
      </c>
      <c r="C282" s="1" t="s">
        <v>739</v>
      </c>
      <c r="D282" s="2">
        <v>45213.022916666669</v>
      </c>
      <c r="E282" s="3">
        <v>45213.022916666669</v>
      </c>
      <c r="F282">
        <v>56</v>
      </c>
      <c r="G282">
        <f>Master[[#This Row],[Duree_Panne_Min]]/60</f>
        <v>0.93333333333333335</v>
      </c>
      <c r="H282" s="1" t="s">
        <v>737</v>
      </c>
      <c r="I282">
        <f>IFERROR(VLOOKUP(Master[[#This Row],[Cell_ID]],Registre_Maintenance[],3,FALSE),"")</f>
        <v>-2.8211520000000001</v>
      </c>
      <c r="J282">
        <f>IFERROR(VLOOKUP(Master[[#This Row],[Cell_ID]],Registre_Maintenance[],4,FALSE),"")</f>
        <v>20.651419000000001</v>
      </c>
      <c r="K282" t="str">
        <f>IFERROR(VLOOKUP(Master[[#This Row],[Cell_ID]],Registre_Maintenance[],5,FALSE),"")</f>
        <v>5G</v>
      </c>
      <c r="L282" t="str">
        <f>IFERROR(VLOOKUP(Master[[#This Row],[Cell_ID]],Registre_Maintenance[],6,FALSE),"")</f>
        <v>Ericsson</v>
      </c>
      <c r="M282" s="1" t="str">
        <f>VLOOKUP(Master[[#This Row],[Province_RDC]],Client[],2,FALSE)</f>
        <v>CLI-01233</v>
      </c>
      <c r="N282" s="1">
        <f>VLOOKUP(Master[[#This Row],[Province_RDC]],Client[],3,FALSE)</f>
        <v>101</v>
      </c>
      <c r="O282" s="1" t="str">
        <f>VLOOKUP(Master[[#This Row],[Province_RDC]],Client[],4,FALSE)</f>
        <v>Pro Monde</v>
      </c>
      <c r="P282" s="1">
        <f>VLOOKUP(Master[[#This Row],[Province_RDC]],Client[],5,FALSE)</f>
        <v>333</v>
      </c>
      <c r="Q282" s="1">
        <f>VLOOKUP(Master[[#This Row],[Province_RDC]],Client[],6,FALSE)</f>
        <v>74.319999999999993</v>
      </c>
      <c r="R282" s="1">
        <f>VLOOKUP(Master[[#This Row],[Province_RDC]],Client[],7,FALSE)</f>
        <v>1</v>
      </c>
      <c r="S282" s="1" t="str">
        <f>IF(Master[[#This Row],[Type_Forfait]]="Pro Monde","B2B","B2C")</f>
        <v>B2B</v>
      </c>
      <c r="T282" s="1">
        <f>Master[[#This Row],[Anciennete_Mois]]/12</f>
        <v>8.4166666666666661</v>
      </c>
      <c r="U282" s="1">
        <f>Master[[#This Row],[Duree_Cumule_Panne_Min]]/60</f>
        <v>5.55</v>
      </c>
      <c r="V28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2" s="6">
        <f>Master[[#This Row],[Facture_Mensuelle]]*Master[[#This Row],[Remise]]</f>
        <v>33.443999999999996</v>
      </c>
    </row>
    <row r="283" spans="1:24" x14ac:dyDescent="0.25">
      <c r="A283" s="1" t="s">
        <v>1404</v>
      </c>
      <c r="B283" t="str">
        <f>IFERROR(VLOOKUP(Master[[#This Row],[Cell_ID]],Registre_Maintenance[],2,FALSE),"")</f>
        <v>Nord-Kivu</v>
      </c>
      <c r="C283" s="1" t="s">
        <v>927</v>
      </c>
      <c r="D283" s="2">
        <v>45201.086111111108</v>
      </c>
      <c r="E283" s="3">
        <v>45201.086111111108</v>
      </c>
      <c r="F283">
        <v>55</v>
      </c>
      <c r="G283">
        <f>Master[[#This Row],[Duree_Panne_Min]]/60</f>
        <v>0.91666666666666663</v>
      </c>
      <c r="H283" s="1" t="s">
        <v>732</v>
      </c>
      <c r="I283">
        <f>IFERROR(VLOOKUP(Master[[#This Row],[Cell_ID]],Registre_Maintenance[],3,FALSE),"")</f>
        <v>-1.8555980000000001</v>
      </c>
      <c r="J283">
        <f>IFERROR(VLOOKUP(Master[[#This Row],[Cell_ID]],Registre_Maintenance[],4,FALSE),"")</f>
        <v>30.421918000000002</v>
      </c>
      <c r="K283" t="str">
        <f>IFERROR(VLOOKUP(Master[[#This Row],[Cell_ID]],Registre_Maintenance[],5,FALSE),"")</f>
        <v>3G</v>
      </c>
      <c r="L283" t="str">
        <f>IFERROR(VLOOKUP(Master[[#This Row],[Cell_ID]],Registre_Maintenance[],6,FALSE),"")</f>
        <v>ZTE</v>
      </c>
      <c r="M283" s="1" t="str">
        <f>VLOOKUP(Master[[#This Row],[Province_RDC]],Client[],2,FALSE)</f>
        <v>CLI-00837</v>
      </c>
      <c r="N283" s="1">
        <f>VLOOKUP(Master[[#This Row],[Province_RDC]],Client[],3,FALSE)</f>
        <v>16</v>
      </c>
      <c r="O283" s="1" t="str">
        <f>VLOOKUP(Master[[#This Row],[Province_RDC]],Client[],4,FALSE)</f>
        <v>Bloqué 5Go</v>
      </c>
      <c r="P283" s="1">
        <f>VLOOKUP(Master[[#This Row],[Province_RDC]],Client[],5,FALSE)</f>
        <v>390</v>
      </c>
      <c r="Q283" s="1">
        <f>VLOOKUP(Master[[#This Row],[Province_RDC]],Client[],6,FALSE)</f>
        <v>98.17</v>
      </c>
      <c r="R283" s="1">
        <f>VLOOKUP(Master[[#This Row],[Province_RDC]],Client[],7,FALSE)</f>
        <v>5</v>
      </c>
      <c r="S283" s="1" t="str">
        <f>IF(Master[[#This Row],[Type_Forfait]]="Pro Monde","B2B","B2C")</f>
        <v>B2C</v>
      </c>
      <c r="T283" s="1">
        <f>Master[[#This Row],[Anciennete_Mois]]/12</f>
        <v>1.3333333333333333</v>
      </c>
      <c r="U283" s="1">
        <f>Master[[#This Row],[Duree_Cumule_Panne_Min]]/60</f>
        <v>6.5</v>
      </c>
      <c r="V28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3" s="6">
        <f>Master[[#This Row],[Facture_Mensuelle]]*Master[[#This Row],[Remise]]</f>
        <v>44.176500000000004</v>
      </c>
    </row>
    <row r="284" spans="1:24" x14ac:dyDescent="0.25">
      <c r="A284" s="1" t="s">
        <v>939</v>
      </c>
      <c r="B284" t="str">
        <f>IFERROR(VLOOKUP(Master[[#This Row],[Cell_ID]],Registre_Maintenance[],2,FALSE),"")</f>
        <v>Kasai-Oriental</v>
      </c>
      <c r="C284" s="1" t="s">
        <v>955</v>
      </c>
      <c r="D284" s="2">
        <v>45221.724999999999</v>
      </c>
      <c r="E284" s="3">
        <v>45221.724999999999</v>
      </c>
      <c r="F284">
        <v>55</v>
      </c>
      <c r="G284">
        <f>Master[[#This Row],[Duree_Panne_Min]]/60</f>
        <v>0.91666666666666663</v>
      </c>
      <c r="H284" s="1" t="s">
        <v>735</v>
      </c>
      <c r="I284">
        <f>IFERROR(VLOOKUP(Master[[#This Row],[Cell_ID]],Registre_Maintenance[],3,FALSE),"")</f>
        <v>-1.3976519999999999</v>
      </c>
      <c r="J284">
        <f>IFERROR(VLOOKUP(Master[[#This Row],[Cell_ID]],Registre_Maintenance[],4,FALSE),"")</f>
        <v>14.098819000000001</v>
      </c>
      <c r="K284" t="str">
        <f>IFERROR(VLOOKUP(Master[[#This Row],[Cell_ID]],Registre_Maintenance[],5,FALSE),"")</f>
        <v>3G</v>
      </c>
      <c r="L284" t="str">
        <f>IFERROR(VLOOKUP(Master[[#This Row],[Cell_ID]],Registre_Maintenance[],6,FALSE),"")</f>
        <v>Ericsson</v>
      </c>
      <c r="M284" s="1" t="str">
        <f>VLOOKUP(Master[[#This Row],[Province_RDC]],Client[],2,FALSE)</f>
        <v>CLI-01837</v>
      </c>
      <c r="N284" s="1">
        <f>VLOOKUP(Master[[#This Row],[Province_RDC]],Client[],3,FALSE)</f>
        <v>97</v>
      </c>
      <c r="O284" s="1" t="str">
        <f>VLOOKUP(Master[[#This Row],[Province_RDC]],Client[],4,FALSE)</f>
        <v>Pro Monde</v>
      </c>
      <c r="P284" s="1">
        <f>VLOOKUP(Master[[#This Row],[Province_RDC]],Client[],5,FALSE)</f>
        <v>319</v>
      </c>
      <c r="Q284" s="1">
        <f>VLOOKUP(Master[[#This Row],[Province_RDC]],Client[],6,FALSE)</f>
        <v>31.25</v>
      </c>
      <c r="R284" s="1">
        <f>VLOOKUP(Master[[#This Row],[Province_RDC]],Client[],7,FALSE)</f>
        <v>1</v>
      </c>
      <c r="S284" s="1" t="str">
        <f>IF(Master[[#This Row],[Type_Forfait]]="Pro Monde","B2B","B2C")</f>
        <v>B2B</v>
      </c>
      <c r="T284" s="1">
        <f>Master[[#This Row],[Anciennete_Mois]]/12</f>
        <v>8.0833333333333339</v>
      </c>
      <c r="U284" s="1">
        <f>Master[[#This Row],[Duree_Cumule_Panne_Min]]/60</f>
        <v>5.3166666666666664</v>
      </c>
      <c r="V28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4" s="6">
        <f>Master[[#This Row],[Facture_Mensuelle]]*Master[[#This Row],[Remise]]</f>
        <v>14.0625</v>
      </c>
    </row>
    <row r="285" spans="1:24" x14ac:dyDescent="0.25">
      <c r="A285" s="1" t="s">
        <v>730</v>
      </c>
      <c r="B285" t="str">
        <f>IFERROR(VLOOKUP(Master[[#This Row],[Cell_ID]],Registre_Maintenance[],2,FALSE),"")</f>
        <v>Nord-Kivu</v>
      </c>
      <c r="C285" s="1" t="s">
        <v>758</v>
      </c>
      <c r="D285" s="2">
        <v>45201.884722222218</v>
      </c>
      <c r="E285" s="3">
        <v>45201.884722222218</v>
      </c>
      <c r="F285">
        <v>54</v>
      </c>
      <c r="G285">
        <f>Master[[#This Row],[Duree_Panne_Min]]/60</f>
        <v>0.9</v>
      </c>
      <c r="H285" s="1" t="s">
        <v>737</v>
      </c>
      <c r="I285">
        <f>IFERROR(VLOOKUP(Master[[#This Row],[Cell_ID]],Registre_Maintenance[],3,FALSE),"")</f>
        <v>4.6287159999999998</v>
      </c>
      <c r="J285">
        <f>IFERROR(VLOOKUP(Master[[#This Row],[Cell_ID]],Registre_Maintenance[],4,FALSE),"")</f>
        <v>19.407077999999998</v>
      </c>
      <c r="K285" t="str">
        <f>IFERROR(VLOOKUP(Master[[#This Row],[Cell_ID]],Registre_Maintenance[],5,FALSE),"")</f>
        <v>4G</v>
      </c>
      <c r="L285" t="str">
        <f>IFERROR(VLOOKUP(Master[[#This Row],[Cell_ID]],Registre_Maintenance[],6,FALSE),"")</f>
        <v>Ericsson</v>
      </c>
      <c r="M285" s="1" t="str">
        <f>VLOOKUP(Master[[#This Row],[Province_RDC]],Client[],2,FALSE)</f>
        <v>CLI-00837</v>
      </c>
      <c r="N285" s="1">
        <f>VLOOKUP(Master[[#This Row],[Province_RDC]],Client[],3,FALSE)</f>
        <v>16</v>
      </c>
      <c r="O285" s="1" t="str">
        <f>VLOOKUP(Master[[#This Row],[Province_RDC]],Client[],4,FALSE)</f>
        <v>Bloqué 5Go</v>
      </c>
      <c r="P285" s="1">
        <f>VLOOKUP(Master[[#This Row],[Province_RDC]],Client[],5,FALSE)</f>
        <v>390</v>
      </c>
      <c r="Q285" s="1">
        <f>VLOOKUP(Master[[#This Row],[Province_RDC]],Client[],6,FALSE)</f>
        <v>98.17</v>
      </c>
      <c r="R285" s="1">
        <f>VLOOKUP(Master[[#This Row],[Province_RDC]],Client[],7,FALSE)</f>
        <v>5</v>
      </c>
      <c r="S285" s="1" t="str">
        <f>IF(Master[[#This Row],[Type_Forfait]]="Pro Monde","B2B","B2C")</f>
        <v>B2C</v>
      </c>
      <c r="T285" s="1">
        <f>Master[[#This Row],[Anciennete_Mois]]/12</f>
        <v>1.3333333333333333</v>
      </c>
      <c r="U285" s="1">
        <f>Master[[#This Row],[Duree_Cumule_Panne_Min]]/60</f>
        <v>6.5</v>
      </c>
      <c r="V28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5" s="6">
        <f>Master[[#This Row],[Facture_Mensuelle]]*Master[[#This Row],[Remise]]</f>
        <v>44.176500000000004</v>
      </c>
    </row>
    <row r="286" spans="1:24" x14ac:dyDescent="0.25">
      <c r="A286" s="1" t="s">
        <v>939</v>
      </c>
      <c r="B286" t="str">
        <f>IFERROR(VLOOKUP(Master[[#This Row],[Cell_ID]],Registre_Maintenance[],2,FALSE),"")</f>
        <v>Sud-Ubangi</v>
      </c>
      <c r="C286" s="1" t="s">
        <v>810</v>
      </c>
      <c r="D286" s="2">
        <v>45216.76458333333</v>
      </c>
      <c r="E286" s="3">
        <v>45216.76458333333</v>
      </c>
      <c r="F286">
        <v>53</v>
      </c>
      <c r="G286">
        <f>Master[[#This Row],[Duree_Panne_Min]]/60</f>
        <v>0.8833333333333333</v>
      </c>
      <c r="H286" s="1" t="s">
        <v>735</v>
      </c>
      <c r="I286">
        <f>IFERROR(VLOOKUP(Master[[#This Row],[Cell_ID]],Registre_Maintenance[],3,FALSE),"")</f>
        <v>-10.914952</v>
      </c>
      <c r="J286">
        <f>IFERROR(VLOOKUP(Master[[#This Row],[Cell_ID]],Registre_Maintenance[],4,FALSE),"")</f>
        <v>26.409648000000001</v>
      </c>
      <c r="K286" t="str">
        <f>IFERROR(VLOOKUP(Master[[#This Row],[Cell_ID]],Registre_Maintenance[],5,FALSE),"")</f>
        <v>4G</v>
      </c>
      <c r="L286" t="str">
        <f>IFERROR(VLOOKUP(Master[[#This Row],[Cell_ID]],Registre_Maintenance[],6,FALSE),"")</f>
        <v>Huawei</v>
      </c>
      <c r="M286" s="1" t="str">
        <f>VLOOKUP(Master[[#This Row],[Province_RDC]],Client[],2,FALSE)</f>
        <v>CLI-00280</v>
      </c>
      <c r="N286" s="1">
        <f>VLOOKUP(Master[[#This Row],[Province_RDC]],Client[],3,FALSE)</f>
        <v>113</v>
      </c>
      <c r="O286" s="1" t="str">
        <f>VLOOKUP(Master[[#This Row],[Province_RDC]],Client[],4,FALSE)</f>
        <v>Illimité 50Go</v>
      </c>
      <c r="P286" s="1">
        <f>VLOOKUP(Master[[#This Row],[Province_RDC]],Client[],5,FALSE)</f>
        <v>380</v>
      </c>
      <c r="Q286" s="1">
        <f>VLOOKUP(Master[[#This Row],[Province_RDC]],Client[],6,FALSE)</f>
        <v>12.11</v>
      </c>
      <c r="R286" s="1">
        <f>VLOOKUP(Master[[#This Row],[Province_RDC]],Client[],7,FALSE)</f>
        <v>0</v>
      </c>
      <c r="S286" s="1" t="str">
        <f>IF(Master[[#This Row],[Type_Forfait]]="Pro Monde","B2B","B2C")</f>
        <v>B2C</v>
      </c>
      <c r="T286" s="1">
        <f>Master[[#This Row],[Anciennete_Mois]]/12</f>
        <v>9.4166666666666661</v>
      </c>
      <c r="U286" s="1">
        <f>Master[[#This Row],[Duree_Cumule_Panne_Min]]/60</f>
        <v>6.333333333333333</v>
      </c>
      <c r="V28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6" s="6">
        <f>Master[[#This Row],[Facture_Mensuelle]]*Master[[#This Row],[Remise]]</f>
        <v>5.4494999999999996</v>
      </c>
    </row>
    <row r="287" spans="1:24" x14ac:dyDescent="0.25">
      <c r="A287" s="1" t="s">
        <v>1361</v>
      </c>
      <c r="B287" t="str">
        <f>IFERROR(VLOOKUP(Master[[#This Row],[Cell_ID]],Registre_Maintenance[],2,FALSE),"")</f>
        <v>Nord-Ubangi</v>
      </c>
      <c r="C287" s="1" t="s">
        <v>1374</v>
      </c>
      <c r="D287" s="2">
        <v>45226.997916666667</v>
      </c>
      <c r="E287" s="3">
        <v>45226.997916666667</v>
      </c>
      <c r="F287">
        <v>53</v>
      </c>
      <c r="G287">
        <f>Master[[#This Row],[Duree_Panne_Min]]/60</f>
        <v>0.8833333333333333</v>
      </c>
      <c r="H287" s="1" t="s">
        <v>737</v>
      </c>
      <c r="I287">
        <f>IFERROR(VLOOKUP(Master[[#This Row],[Cell_ID]],Registre_Maintenance[],3,FALSE),"")</f>
        <v>-7.8373179999999998</v>
      </c>
      <c r="J287">
        <f>IFERROR(VLOOKUP(Master[[#This Row],[Cell_ID]],Registre_Maintenance[],4,FALSE),"")</f>
        <v>20.527591999999999</v>
      </c>
      <c r="K287" t="str">
        <f>IFERROR(VLOOKUP(Master[[#This Row],[Cell_ID]],Registre_Maintenance[],5,FALSE),"")</f>
        <v>4G</v>
      </c>
      <c r="L287" t="str">
        <f>IFERROR(VLOOKUP(Master[[#This Row],[Cell_ID]],Registre_Maintenance[],6,FALSE),"")</f>
        <v>Ericsson</v>
      </c>
      <c r="M287" s="1" t="str">
        <f>VLOOKUP(Master[[#This Row],[Province_RDC]],Client[],2,FALSE)</f>
        <v>CLI-01170</v>
      </c>
      <c r="N287" s="1">
        <f>VLOOKUP(Master[[#This Row],[Province_RDC]],Client[],3,FALSE)</f>
        <v>98</v>
      </c>
      <c r="O287" s="1" t="str">
        <f>VLOOKUP(Master[[#This Row],[Province_RDC]],Client[],4,FALSE)</f>
        <v>Pro Monde</v>
      </c>
      <c r="P287" s="1">
        <f>VLOOKUP(Master[[#This Row],[Province_RDC]],Client[],5,FALSE)</f>
        <v>482</v>
      </c>
      <c r="Q287" s="1">
        <f>VLOOKUP(Master[[#This Row],[Province_RDC]],Client[],6,FALSE)</f>
        <v>55.04</v>
      </c>
      <c r="R287" s="1">
        <f>VLOOKUP(Master[[#This Row],[Province_RDC]],Client[],7,FALSE)</f>
        <v>5</v>
      </c>
      <c r="S287" s="1" t="str">
        <f>IF(Master[[#This Row],[Type_Forfait]]="Pro Monde","B2B","B2C")</f>
        <v>B2B</v>
      </c>
      <c r="T287" s="1">
        <f>Master[[#This Row],[Anciennete_Mois]]/12</f>
        <v>8.1666666666666661</v>
      </c>
      <c r="U287" s="1">
        <f>Master[[#This Row],[Duree_Cumule_Panne_Min]]/60</f>
        <v>8.0333333333333332</v>
      </c>
      <c r="V28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7" s="6">
        <f>Master[[#This Row],[Facture_Mensuelle]]*Master[[#This Row],[Remise]]</f>
        <v>24.768000000000001</v>
      </c>
    </row>
    <row r="288" spans="1:24" x14ac:dyDescent="0.25">
      <c r="A288" s="1" t="s">
        <v>1193</v>
      </c>
      <c r="B288" t="str">
        <f>IFERROR(VLOOKUP(Master[[#This Row],[Cell_ID]],Registre_Maintenance[],2,FALSE),"")</f>
        <v>Nord-Ubangi</v>
      </c>
      <c r="C288" s="1" t="s">
        <v>1201</v>
      </c>
      <c r="D288" s="2">
        <v>45213.238194444442</v>
      </c>
      <c r="E288" s="3">
        <v>45213.238194444442</v>
      </c>
      <c r="F288">
        <v>53</v>
      </c>
      <c r="G288">
        <f>Master[[#This Row],[Duree_Panne_Min]]/60</f>
        <v>0.8833333333333333</v>
      </c>
      <c r="H288" s="1" t="s">
        <v>735</v>
      </c>
      <c r="I288">
        <f>IFERROR(VLOOKUP(Master[[#This Row],[Cell_ID]],Registre_Maintenance[],3,FALSE),"")</f>
        <v>-8.4985189999999999</v>
      </c>
      <c r="J288">
        <f>IFERROR(VLOOKUP(Master[[#This Row],[Cell_ID]],Registre_Maintenance[],4,FALSE),"")</f>
        <v>12.929456999999999</v>
      </c>
      <c r="K288" t="str">
        <f>IFERROR(VLOOKUP(Master[[#This Row],[Cell_ID]],Registre_Maintenance[],5,FALSE),"")</f>
        <v>4G</v>
      </c>
      <c r="L288" t="str">
        <f>IFERROR(VLOOKUP(Master[[#This Row],[Cell_ID]],Registre_Maintenance[],6,FALSE),"")</f>
        <v>Ericsson</v>
      </c>
      <c r="M288" s="1" t="str">
        <f>VLOOKUP(Master[[#This Row],[Province_RDC]],Client[],2,FALSE)</f>
        <v>CLI-01170</v>
      </c>
      <c r="N288" s="1">
        <f>VLOOKUP(Master[[#This Row],[Province_RDC]],Client[],3,FALSE)</f>
        <v>98</v>
      </c>
      <c r="O288" s="1" t="str">
        <f>VLOOKUP(Master[[#This Row],[Province_RDC]],Client[],4,FALSE)</f>
        <v>Pro Monde</v>
      </c>
      <c r="P288" s="1">
        <f>VLOOKUP(Master[[#This Row],[Province_RDC]],Client[],5,FALSE)</f>
        <v>482</v>
      </c>
      <c r="Q288" s="1">
        <f>VLOOKUP(Master[[#This Row],[Province_RDC]],Client[],6,FALSE)</f>
        <v>55.04</v>
      </c>
      <c r="R288" s="1">
        <f>VLOOKUP(Master[[#This Row],[Province_RDC]],Client[],7,FALSE)</f>
        <v>5</v>
      </c>
      <c r="S288" s="1" t="str">
        <f>IF(Master[[#This Row],[Type_Forfait]]="Pro Monde","B2B","B2C")</f>
        <v>B2B</v>
      </c>
      <c r="T288" s="1">
        <f>Master[[#This Row],[Anciennete_Mois]]/12</f>
        <v>8.1666666666666661</v>
      </c>
      <c r="U288" s="1">
        <f>Master[[#This Row],[Duree_Cumule_Panne_Min]]/60</f>
        <v>8.0333333333333332</v>
      </c>
      <c r="V28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8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88" s="6">
        <f>Master[[#This Row],[Facture_Mensuelle]]*Master[[#This Row],[Remise]]</f>
        <v>24.768000000000001</v>
      </c>
    </row>
    <row r="289" spans="1:24" x14ac:dyDescent="0.25">
      <c r="A289" s="1" t="s">
        <v>861</v>
      </c>
      <c r="B289" t="str">
        <f>IFERROR(VLOOKUP(Master[[#This Row],[Cell_ID]],Registre_Maintenance[],2,FALSE),"")</f>
        <v>Maniema</v>
      </c>
      <c r="C289" s="1" t="s">
        <v>890</v>
      </c>
      <c r="D289" s="2">
        <v>45202.780555555553</v>
      </c>
      <c r="E289" s="3">
        <v>45202.780555555553</v>
      </c>
      <c r="F289">
        <v>53</v>
      </c>
      <c r="G289">
        <f>Master[[#This Row],[Duree_Panne_Min]]/60</f>
        <v>0.8833333333333333</v>
      </c>
      <c r="H289" s="1" t="s">
        <v>737</v>
      </c>
      <c r="I289">
        <f>IFERROR(VLOOKUP(Master[[#This Row],[Cell_ID]],Registre_Maintenance[],3,FALSE),"")</f>
        <v>-2.3743210000000001</v>
      </c>
      <c r="J289">
        <f>IFERROR(VLOOKUP(Master[[#This Row],[Cell_ID]],Registre_Maintenance[],4,FALSE),"")</f>
        <v>22.399491000000001</v>
      </c>
      <c r="K289" t="str">
        <f>IFERROR(VLOOKUP(Master[[#This Row],[Cell_ID]],Registre_Maintenance[],5,FALSE),"")</f>
        <v>5G</v>
      </c>
      <c r="L289" t="str">
        <f>IFERROR(VLOOKUP(Master[[#This Row],[Cell_ID]],Registre_Maintenance[],6,FALSE),"")</f>
        <v>Ericsson</v>
      </c>
      <c r="M289" s="1" t="str">
        <f>VLOOKUP(Master[[#This Row],[Province_RDC]],Client[],2,FALSE)</f>
        <v>CLI-00185</v>
      </c>
      <c r="N289" s="1">
        <f>VLOOKUP(Master[[#This Row],[Province_RDC]],Client[],3,FALSE)</f>
        <v>81</v>
      </c>
      <c r="O289" s="1" t="str">
        <f>VLOOKUP(Master[[#This Row],[Province_RDC]],Client[],4,FALSE)</f>
        <v>Pro Monde</v>
      </c>
      <c r="P289" s="1">
        <f>VLOOKUP(Master[[#This Row],[Province_RDC]],Client[],5,FALSE)</f>
        <v>154</v>
      </c>
      <c r="Q289" s="1">
        <f>VLOOKUP(Master[[#This Row],[Province_RDC]],Client[],6,FALSE)</f>
        <v>19.47</v>
      </c>
      <c r="R289" s="1">
        <f>VLOOKUP(Master[[#This Row],[Province_RDC]],Client[],7,FALSE)</f>
        <v>3</v>
      </c>
      <c r="S289" s="1" t="str">
        <f>IF(Master[[#This Row],[Type_Forfait]]="Pro Monde","B2B","B2C")</f>
        <v>B2B</v>
      </c>
      <c r="T289" s="1">
        <f>Master[[#This Row],[Anciennete_Mois]]/12</f>
        <v>6.75</v>
      </c>
      <c r="U289" s="1">
        <f>Master[[#This Row],[Duree_Cumule_Panne_Min]]/60</f>
        <v>2.5666666666666669</v>
      </c>
      <c r="V28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28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289" s="6">
        <f>Master[[#This Row],[Facture_Mensuelle]]*Master[[#This Row],[Remise]]</f>
        <v>1.9470000000000001</v>
      </c>
    </row>
    <row r="290" spans="1:24" x14ac:dyDescent="0.25">
      <c r="A290" s="1" t="s">
        <v>1261</v>
      </c>
      <c r="B290" t="str">
        <f>IFERROR(VLOOKUP(Master[[#This Row],[Cell_ID]],Registre_Maintenance[],2,FALSE),"")</f>
        <v>Lualaba</v>
      </c>
      <c r="C290" s="1" t="s">
        <v>1066</v>
      </c>
      <c r="D290" s="2">
        <v>45221.049305555563</v>
      </c>
      <c r="E290" s="3">
        <v>45221.049305555563</v>
      </c>
      <c r="F290">
        <v>53</v>
      </c>
      <c r="G290">
        <f>Master[[#This Row],[Duree_Panne_Min]]/60</f>
        <v>0.8833333333333333</v>
      </c>
      <c r="H290" s="1" t="s">
        <v>735</v>
      </c>
      <c r="I290">
        <f>IFERROR(VLOOKUP(Master[[#This Row],[Cell_ID]],Registre_Maintenance[],3,FALSE),"")</f>
        <v>1.286548</v>
      </c>
      <c r="J290">
        <f>IFERROR(VLOOKUP(Master[[#This Row],[Cell_ID]],Registre_Maintenance[],4,FALSE),"")</f>
        <v>29.823702999999998</v>
      </c>
      <c r="K290" t="str">
        <f>IFERROR(VLOOKUP(Master[[#This Row],[Cell_ID]],Registre_Maintenance[],5,FALSE),"")</f>
        <v>4G</v>
      </c>
      <c r="L290" t="str">
        <f>IFERROR(VLOOKUP(Master[[#This Row],[Cell_ID]],Registre_Maintenance[],6,FALSE),"")</f>
        <v>ZTE</v>
      </c>
      <c r="M290" s="1" t="str">
        <f>VLOOKUP(Master[[#This Row],[Province_RDC]],Client[],2,FALSE)</f>
        <v>CLI-01005</v>
      </c>
      <c r="N290" s="1">
        <f>VLOOKUP(Master[[#This Row],[Province_RDC]],Client[],3,FALSE)</f>
        <v>80</v>
      </c>
      <c r="O290" s="1" t="str">
        <f>VLOOKUP(Master[[#This Row],[Province_RDC]],Client[],4,FALSE)</f>
        <v>Illimité 50Go</v>
      </c>
      <c r="P290" s="1">
        <f>VLOOKUP(Master[[#This Row],[Province_RDC]],Client[],5,FALSE)</f>
        <v>155</v>
      </c>
      <c r="Q290" s="1">
        <f>VLOOKUP(Master[[#This Row],[Province_RDC]],Client[],6,FALSE)</f>
        <v>28.96</v>
      </c>
      <c r="R290" s="1">
        <f>VLOOKUP(Master[[#This Row],[Province_RDC]],Client[],7,FALSE)</f>
        <v>2</v>
      </c>
      <c r="S290" s="1" t="str">
        <f>IF(Master[[#This Row],[Type_Forfait]]="Pro Monde","B2B","B2C")</f>
        <v>B2C</v>
      </c>
      <c r="T290" s="1">
        <f>Master[[#This Row],[Anciennete_Mois]]/12</f>
        <v>6.666666666666667</v>
      </c>
      <c r="U290" s="1">
        <f>Master[[#This Row],[Duree_Cumule_Panne_Min]]/60</f>
        <v>2.5833333333333335</v>
      </c>
      <c r="V29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9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90" s="6">
        <f>Master[[#This Row],[Facture_Mensuelle]]*Master[[#This Row],[Remise]]</f>
        <v>0</v>
      </c>
    </row>
    <row r="291" spans="1:24" x14ac:dyDescent="0.25">
      <c r="A291" s="1" t="s">
        <v>1114</v>
      </c>
      <c r="B291" t="str">
        <f>IFERROR(VLOOKUP(Master[[#This Row],[Cell_ID]],Registre_Maintenance[],2,FALSE),"")</f>
        <v>Lomami</v>
      </c>
      <c r="C291" s="1" t="s">
        <v>1122</v>
      </c>
      <c r="D291" s="2">
        <v>45210.879861111112</v>
      </c>
      <c r="E291" s="3">
        <v>45210.879861111112</v>
      </c>
      <c r="F291">
        <v>53</v>
      </c>
      <c r="G291">
        <f>Master[[#This Row],[Duree_Panne_Min]]/60</f>
        <v>0.8833333333333333</v>
      </c>
      <c r="H291" s="1" t="s">
        <v>732</v>
      </c>
      <c r="I291">
        <f>IFERROR(VLOOKUP(Master[[#This Row],[Cell_ID]],Registre_Maintenance[],3,FALSE),"")</f>
        <v>-7.8770429999999996</v>
      </c>
      <c r="J291">
        <f>IFERROR(VLOOKUP(Master[[#This Row],[Cell_ID]],Registre_Maintenance[],4,FALSE),"")</f>
        <v>16.357762999999998</v>
      </c>
      <c r="K291" t="str">
        <f>IFERROR(VLOOKUP(Master[[#This Row],[Cell_ID]],Registre_Maintenance[],5,FALSE),"")</f>
        <v>4G</v>
      </c>
      <c r="L291" t="str">
        <f>IFERROR(VLOOKUP(Master[[#This Row],[Cell_ID]],Registre_Maintenance[],6,FALSE),"")</f>
        <v>Ericsson</v>
      </c>
      <c r="M291" s="1" t="str">
        <f>VLOOKUP(Master[[#This Row],[Province_RDC]],Client[],2,FALSE)</f>
        <v>CLI-00505</v>
      </c>
      <c r="N291" s="1">
        <f>VLOOKUP(Master[[#This Row],[Province_RDC]],Client[],3,FALSE)</f>
        <v>59</v>
      </c>
      <c r="O291" s="1" t="str">
        <f>VLOOKUP(Master[[#This Row],[Province_RDC]],Client[],4,FALSE)</f>
        <v>Bloqué 5Go</v>
      </c>
      <c r="P291" s="1">
        <f>VLOOKUP(Master[[#This Row],[Province_RDC]],Client[],5,FALSE)</f>
        <v>196</v>
      </c>
      <c r="Q291" s="1">
        <f>VLOOKUP(Master[[#This Row],[Province_RDC]],Client[],6,FALSE)</f>
        <v>62.53</v>
      </c>
      <c r="R291" s="1">
        <f>VLOOKUP(Master[[#This Row],[Province_RDC]],Client[],7,FALSE)</f>
        <v>0</v>
      </c>
      <c r="S291" s="1" t="str">
        <f>IF(Master[[#This Row],[Type_Forfait]]="Pro Monde","B2B","B2C")</f>
        <v>B2C</v>
      </c>
      <c r="T291" s="1">
        <f>Master[[#This Row],[Anciennete_Mois]]/12</f>
        <v>4.916666666666667</v>
      </c>
      <c r="U291" s="1">
        <f>Master[[#This Row],[Duree_Cumule_Panne_Min]]/60</f>
        <v>3.2666666666666666</v>
      </c>
      <c r="V29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9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91" s="6">
        <f>Master[[#This Row],[Facture_Mensuelle]]*Master[[#This Row],[Remise]]</f>
        <v>0</v>
      </c>
    </row>
    <row r="292" spans="1:24" x14ac:dyDescent="0.25">
      <c r="A292" s="1" t="s">
        <v>1330</v>
      </c>
      <c r="B292" t="str">
        <f>IFERROR(VLOOKUP(Master[[#This Row],[Cell_ID]],Registre_Maintenance[],2,FALSE),"")</f>
        <v>Kongo-Central</v>
      </c>
      <c r="C292" s="1" t="s">
        <v>1133</v>
      </c>
      <c r="D292" s="2">
        <v>45220.154861111107</v>
      </c>
      <c r="E292" s="3">
        <v>45220.154861111107</v>
      </c>
      <c r="F292">
        <v>53</v>
      </c>
      <c r="G292">
        <f>Master[[#This Row],[Duree_Panne_Min]]/60</f>
        <v>0.8833333333333333</v>
      </c>
      <c r="H292" s="1" t="s">
        <v>732</v>
      </c>
      <c r="I292">
        <f>IFERROR(VLOOKUP(Master[[#This Row],[Cell_ID]],Registre_Maintenance[],3,FALSE),"")</f>
        <v>-9.8208710000000004</v>
      </c>
      <c r="J292">
        <f>IFERROR(VLOOKUP(Master[[#This Row],[Cell_ID]],Registre_Maintenance[],4,FALSE),"")</f>
        <v>23.229807000000001</v>
      </c>
      <c r="K292" t="str">
        <f>IFERROR(VLOOKUP(Master[[#This Row],[Cell_ID]],Registre_Maintenance[],5,FALSE),"")</f>
        <v>5G</v>
      </c>
      <c r="L292" t="str">
        <f>IFERROR(VLOOKUP(Master[[#This Row],[Cell_ID]],Registre_Maintenance[],6,FALSE),"")</f>
        <v>Nokia</v>
      </c>
      <c r="M292" s="1" t="str">
        <f>VLOOKUP(Master[[#This Row],[Province_RDC]],Client[],2,FALSE)</f>
        <v>CLI-01233</v>
      </c>
      <c r="N292" s="1">
        <f>VLOOKUP(Master[[#This Row],[Province_RDC]],Client[],3,FALSE)</f>
        <v>101</v>
      </c>
      <c r="O292" s="1" t="str">
        <f>VLOOKUP(Master[[#This Row],[Province_RDC]],Client[],4,FALSE)</f>
        <v>Pro Monde</v>
      </c>
      <c r="P292" s="1">
        <f>VLOOKUP(Master[[#This Row],[Province_RDC]],Client[],5,FALSE)</f>
        <v>333</v>
      </c>
      <c r="Q292" s="1">
        <f>VLOOKUP(Master[[#This Row],[Province_RDC]],Client[],6,FALSE)</f>
        <v>74.319999999999993</v>
      </c>
      <c r="R292" s="1">
        <f>VLOOKUP(Master[[#This Row],[Province_RDC]],Client[],7,FALSE)</f>
        <v>1</v>
      </c>
      <c r="S292" s="1" t="str">
        <f>IF(Master[[#This Row],[Type_Forfait]]="Pro Monde","B2B","B2C")</f>
        <v>B2B</v>
      </c>
      <c r="T292" s="1">
        <f>Master[[#This Row],[Anciennete_Mois]]/12</f>
        <v>8.4166666666666661</v>
      </c>
      <c r="U292" s="1">
        <f>Master[[#This Row],[Duree_Cumule_Panne_Min]]/60</f>
        <v>5.55</v>
      </c>
      <c r="V29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2" s="6">
        <f>Master[[#This Row],[Facture_Mensuelle]]*Master[[#This Row],[Remise]]</f>
        <v>33.443999999999996</v>
      </c>
    </row>
    <row r="293" spans="1:24" x14ac:dyDescent="0.25">
      <c r="A293" s="1" t="s">
        <v>1138</v>
      </c>
      <c r="B293" t="str">
        <f>IFERROR(VLOOKUP(Master[[#This Row],[Cell_ID]],Registre_Maintenance[],2,FALSE),"")</f>
        <v>Kinshasa</v>
      </c>
      <c r="C293" s="1" t="s">
        <v>866</v>
      </c>
      <c r="D293" s="2">
        <v>45217.173611111109</v>
      </c>
      <c r="E293" s="3">
        <v>45217.173611111109</v>
      </c>
      <c r="F293">
        <v>53</v>
      </c>
      <c r="G293">
        <f>Master[[#This Row],[Duree_Panne_Min]]/60</f>
        <v>0.8833333333333333</v>
      </c>
      <c r="H293" s="1" t="s">
        <v>735</v>
      </c>
      <c r="I293">
        <f>IFERROR(VLOOKUP(Master[[#This Row],[Cell_ID]],Registre_Maintenance[],3,FALSE),"")</f>
        <v>-1.6097570000000001</v>
      </c>
      <c r="J293">
        <f>IFERROR(VLOOKUP(Master[[#This Row],[Cell_ID]],Registre_Maintenance[],4,FALSE),"")</f>
        <v>30.661662</v>
      </c>
      <c r="K293" t="str">
        <f>IFERROR(VLOOKUP(Master[[#This Row],[Cell_ID]],Registre_Maintenance[],5,FALSE),"")</f>
        <v>4G</v>
      </c>
      <c r="L293" t="str">
        <f>IFERROR(VLOOKUP(Master[[#This Row],[Cell_ID]],Registre_Maintenance[],6,FALSE),"")</f>
        <v>Ericsson</v>
      </c>
      <c r="M293" s="1" t="str">
        <f>VLOOKUP(Master[[#This Row],[Province_RDC]],Client[],2,FALSE)</f>
        <v>CLI-00611</v>
      </c>
      <c r="N293" s="1">
        <f>VLOOKUP(Master[[#This Row],[Province_RDC]],Client[],3,FALSE)</f>
        <v>79</v>
      </c>
      <c r="O293" s="1" t="str">
        <f>VLOOKUP(Master[[#This Row],[Province_RDC]],Client[],4,FALSE)</f>
        <v>Premium 5G 150Go</v>
      </c>
      <c r="P293" s="1">
        <f>VLOOKUP(Master[[#This Row],[Province_RDC]],Client[],5,FALSE)</f>
        <v>226</v>
      </c>
      <c r="Q293" s="1">
        <f>VLOOKUP(Master[[#This Row],[Province_RDC]],Client[],6,FALSE)</f>
        <v>94.38</v>
      </c>
      <c r="R293" s="1">
        <f>VLOOKUP(Master[[#This Row],[Province_RDC]],Client[],7,FALSE)</f>
        <v>3</v>
      </c>
      <c r="S293" s="1" t="str">
        <f>IF(Master[[#This Row],[Type_Forfait]]="Pro Monde","B2B","B2C")</f>
        <v>B2C</v>
      </c>
      <c r="T293" s="1">
        <f>Master[[#This Row],[Anciennete_Mois]]/12</f>
        <v>6.583333333333333</v>
      </c>
      <c r="U293" s="1">
        <f>Master[[#This Row],[Duree_Cumule_Panne_Min]]/60</f>
        <v>3.7666666666666666</v>
      </c>
      <c r="V29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93" s="6">
        <f>Master[[#This Row],[Facture_Mensuelle]]*Master[[#This Row],[Remise]]</f>
        <v>0</v>
      </c>
    </row>
    <row r="294" spans="1:24" x14ac:dyDescent="0.25">
      <c r="A294" s="1" t="s">
        <v>1345</v>
      </c>
      <c r="B294" t="str">
        <f>IFERROR(VLOOKUP(Master[[#This Row],[Cell_ID]],Registre_Maintenance[],2,FALSE),"")</f>
        <v>Haut-Katanga</v>
      </c>
      <c r="C294" s="1" t="s">
        <v>1358</v>
      </c>
      <c r="D294" s="2">
        <v>45206.974305555559</v>
      </c>
      <c r="E294" s="3">
        <v>45206.974305555559</v>
      </c>
      <c r="F294">
        <v>53</v>
      </c>
      <c r="G294">
        <f>Master[[#This Row],[Duree_Panne_Min]]/60</f>
        <v>0.8833333333333333</v>
      </c>
      <c r="H294" s="1" t="s">
        <v>735</v>
      </c>
      <c r="I294">
        <f>IFERROR(VLOOKUP(Master[[#This Row],[Cell_ID]],Registre_Maintenance[],3,FALSE),"")</f>
        <v>-2.926736</v>
      </c>
      <c r="J294">
        <f>IFERROR(VLOOKUP(Master[[#This Row],[Cell_ID]],Registre_Maintenance[],4,FALSE),"")</f>
        <v>18.170461</v>
      </c>
      <c r="K294" t="str">
        <f>IFERROR(VLOOKUP(Master[[#This Row],[Cell_ID]],Registre_Maintenance[],5,FALSE),"")</f>
        <v>5G</v>
      </c>
      <c r="L294" t="str">
        <f>IFERROR(VLOOKUP(Master[[#This Row],[Cell_ID]],Registre_Maintenance[],6,FALSE),"")</f>
        <v>Ericsson</v>
      </c>
      <c r="M294" s="1" t="str">
        <f>VLOOKUP(Master[[#This Row],[Province_RDC]],Client[],2,FALSE)</f>
        <v>CLI-00076</v>
      </c>
      <c r="N294" s="1">
        <f>VLOOKUP(Master[[#This Row],[Province_RDC]],Client[],3,FALSE)</f>
        <v>46</v>
      </c>
      <c r="O294" s="1" t="str">
        <f>VLOOKUP(Master[[#This Row],[Province_RDC]],Client[],4,FALSE)</f>
        <v>Premium 5G 150Go</v>
      </c>
      <c r="P294" s="1">
        <f>VLOOKUP(Master[[#This Row],[Province_RDC]],Client[],5,FALSE)</f>
        <v>283</v>
      </c>
      <c r="Q294" s="1">
        <f>VLOOKUP(Master[[#This Row],[Province_RDC]],Client[],6,FALSE)</f>
        <v>56.05</v>
      </c>
      <c r="R294" s="1">
        <f>VLOOKUP(Master[[#This Row],[Province_RDC]],Client[],7,FALSE)</f>
        <v>1</v>
      </c>
      <c r="S294" s="1" t="str">
        <f>IF(Master[[#This Row],[Type_Forfait]]="Pro Monde","B2B","B2C")</f>
        <v>B2C</v>
      </c>
      <c r="T294" s="1">
        <f>Master[[#This Row],[Anciennete_Mois]]/12</f>
        <v>3.8333333333333335</v>
      </c>
      <c r="U294" s="1">
        <f>Master[[#This Row],[Duree_Cumule_Panne_Min]]/60</f>
        <v>4.7166666666666668</v>
      </c>
      <c r="V29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4" s="6">
        <f>Master[[#This Row],[Facture_Mensuelle]]*Master[[#This Row],[Remise]]</f>
        <v>25.2225</v>
      </c>
    </row>
    <row r="295" spans="1:24" x14ac:dyDescent="0.25">
      <c r="A295" s="1" t="s">
        <v>779</v>
      </c>
      <c r="B295" t="str">
        <f>IFERROR(VLOOKUP(Master[[#This Row],[Cell_ID]],Registre_Maintenance[],2,FALSE),"")</f>
        <v>Tanganyika</v>
      </c>
      <c r="C295" s="1" t="s">
        <v>790</v>
      </c>
      <c r="D295" s="2">
        <v>45205.353472222218</v>
      </c>
      <c r="E295" s="3">
        <v>45205.353472222218</v>
      </c>
      <c r="F295">
        <v>52</v>
      </c>
      <c r="G295">
        <f>Master[[#This Row],[Duree_Panne_Min]]/60</f>
        <v>0.8666666666666667</v>
      </c>
      <c r="H295" s="1" t="s">
        <v>735</v>
      </c>
      <c r="I295">
        <f>IFERROR(VLOOKUP(Master[[#This Row],[Cell_ID]],Registre_Maintenance[],3,FALSE),"")</f>
        <v>3.1362930000000002</v>
      </c>
      <c r="J295">
        <f>IFERROR(VLOOKUP(Master[[#This Row],[Cell_ID]],Registre_Maintenance[],4,FALSE),"")</f>
        <v>16.190878000000001</v>
      </c>
      <c r="K295" t="str">
        <f>IFERROR(VLOOKUP(Master[[#This Row],[Cell_ID]],Registre_Maintenance[],5,FALSE),"")</f>
        <v>3G</v>
      </c>
      <c r="L295" t="str">
        <f>IFERROR(VLOOKUP(Master[[#This Row],[Cell_ID]],Registre_Maintenance[],6,FALSE),"")</f>
        <v>Nokia</v>
      </c>
      <c r="M295" s="1" t="str">
        <f>VLOOKUP(Master[[#This Row],[Province_RDC]],Client[],2,FALSE)</f>
        <v>CLI-01618</v>
      </c>
      <c r="N295" s="1">
        <f>VLOOKUP(Master[[#This Row],[Province_RDC]],Client[],3,FALSE)</f>
        <v>115</v>
      </c>
      <c r="O295" s="1" t="str">
        <f>VLOOKUP(Master[[#This Row],[Province_RDC]],Client[],4,FALSE)</f>
        <v>Bloqué 5Go</v>
      </c>
      <c r="P295" s="1">
        <f>VLOOKUP(Master[[#This Row],[Province_RDC]],Client[],5,FALSE)</f>
        <v>176</v>
      </c>
      <c r="Q295" s="1">
        <f>VLOOKUP(Master[[#This Row],[Province_RDC]],Client[],6,FALSE)</f>
        <v>33.28</v>
      </c>
      <c r="R295" s="1">
        <f>VLOOKUP(Master[[#This Row],[Province_RDC]],Client[],7,FALSE)</f>
        <v>4</v>
      </c>
      <c r="S295" s="1" t="str">
        <f>IF(Master[[#This Row],[Type_Forfait]]="Pro Monde","B2B","B2C")</f>
        <v>B2C</v>
      </c>
      <c r="T295" s="1">
        <f>Master[[#This Row],[Anciennete_Mois]]/12</f>
        <v>9.5833333333333339</v>
      </c>
      <c r="U295" s="1">
        <f>Master[[#This Row],[Duree_Cumule_Panne_Min]]/60</f>
        <v>2.9333333333333331</v>
      </c>
      <c r="V29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29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295" s="6">
        <f>Master[[#This Row],[Facture_Mensuelle]]*Master[[#This Row],[Remise]]</f>
        <v>0</v>
      </c>
    </row>
    <row r="296" spans="1:24" x14ac:dyDescent="0.25">
      <c r="A296" s="1" t="s">
        <v>1382</v>
      </c>
      <c r="B296" t="str">
        <f>IFERROR(VLOOKUP(Master[[#This Row],[Cell_ID]],Registre_Maintenance[],2,FALSE),"")</f>
        <v>Nord-Kivu</v>
      </c>
      <c r="C296" s="1" t="s">
        <v>1355</v>
      </c>
      <c r="D296" s="2">
        <v>45213.907638888893</v>
      </c>
      <c r="E296" s="3">
        <v>45213.907638888893</v>
      </c>
      <c r="F296">
        <v>52</v>
      </c>
      <c r="G296">
        <f>Master[[#This Row],[Duree_Panne_Min]]/60</f>
        <v>0.8666666666666667</v>
      </c>
      <c r="H296" s="1" t="s">
        <v>732</v>
      </c>
      <c r="I296">
        <f>IFERROR(VLOOKUP(Master[[#This Row],[Cell_ID]],Registre_Maintenance[],3,FALSE),"")</f>
        <v>-10.298385</v>
      </c>
      <c r="J296">
        <f>IFERROR(VLOOKUP(Master[[#This Row],[Cell_ID]],Registre_Maintenance[],4,FALSE),"")</f>
        <v>29.698117</v>
      </c>
      <c r="K296" t="str">
        <f>IFERROR(VLOOKUP(Master[[#This Row],[Cell_ID]],Registre_Maintenance[],5,FALSE),"")</f>
        <v>5G</v>
      </c>
      <c r="L296" t="str">
        <f>IFERROR(VLOOKUP(Master[[#This Row],[Cell_ID]],Registre_Maintenance[],6,FALSE),"")</f>
        <v>Nokia</v>
      </c>
      <c r="M296" s="1" t="str">
        <f>VLOOKUP(Master[[#This Row],[Province_RDC]],Client[],2,FALSE)</f>
        <v>CLI-00837</v>
      </c>
      <c r="N296" s="1">
        <f>VLOOKUP(Master[[#This Row],[Province_RDC]],Client[],3,FALSE)</f>
        <v>16</v>
      </c>
      <c r="O296" s="1" t="str">
        <f>VLOOKUP(Master[[#This Row],[Province_RDC]],Client[],4,FALSE)</f>
        <v>Bloqué 5Go</v>
      </c>
      <c r="P296" s="1">
        <f>VLOOKUP(Master[[#This Row],[Province_RDC]],Client[],5,FALSE)</f>
        <v>390</v>
      </c>
      <c r="Q296" s="1">
        <f>VLOOKUP(Master[[#This Row],[Province_RDC]],Client[],6,FALSE)</f>
        <v>98.17</v>
      </c>
      <c r="R296" s="1">
        <f>VLOOKUP(Master[[#This Row],[Province_RDC]],Client[],7,FALSE)</f>
        <v>5</v>
      </c>
      <c r="S296" s="1" t="str">
        <f>IF(Master[[#This Row],[Type_Forfait]]="Pro Monde","B2B","B2C")</f>
        <v>B2C</v>
      </c>
      <c r="T296" s="1">
        <f>Master[[#This Row],[Anciennete_Mois]]/12</f>
        <v>1.3333333333333333</v>
      </c>
      <c r="U296" s="1">
        <f>Master[[#This Row],[Duree_Cumule_Panne_Min]]/60</f>
        <v>6.5</v>
      </c>
      <c r="V29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6" s="6">
        <f>Master[[#This Row],[Facture_Mensuelle]]*Master[[#This Row],[Remise]]</f>
        <v>44.176500000000004</v>
      </c>
    </row>
    <row r="297" spans="1:24" x14ac:dyDescent="0.25">
      <c r="A297" s="1" t="s">
        <v>1308</v>
      </c>
      <c r="B297" t="str">
        <f>IFERROR(VLOOKUP(Master[[#This Row],[Cell_ID]],Registre_Maintenance[],2,FALSE),"")</f>
        <v>Haut-Uele</v>
      </c>
      <c r="C297" s="1" t="s">
        <v>1324</v>
      </c>
      <c r="D297" s="2">
        <v>45205.830555555563</v>
      </c>
      <c r="E297" s="3">
        <v>45205.830555555563</v>
      </c>
      <c r="F297">
        <v>52</v>
      </c>
      <c r="G297">
        <f>Master[[#This Row],[Duree_Panne_Min]]/60</f>
        <v>0.8666666666666667</v>
      </c>
      <c r="H297" s="1" t="s">
        <v>732</v>
      </c>
      <c r="I297">
        <f>IFERROR(VLOOKUP(Master[[#This Row],[Cell_ID]],Registre_Maintenance[],3,FALSE),"")</f>
        <v>-2.2199559999999998</v>
      </c>
      <c r="J297">
        <f>IFERROR(VLOOKUP(Master[[#This Row],[Cell_ID]],Registre_Maintenance[],4,FALSE),"")</f>
        <v>22.614449</v>
      </c>
      <c r="K297" t="str">
        <f>IFERROR(VLOOKUP(Master[[#This Row],[Cell_ID]],Registre_Maintenance[],5,FALSE),"")</f>
        <v>3G</v>
      </c>
      <c r="L297" t="str">
        <f>IFERROR(VLOOKUP(Master[[#This Row],[Cell_ID]],Registre_Maintenance[],6,FALSE),"")</f>
        <v>Nokia</v>
      </c>
      <c r="M297" s="1" t="str">
        <f>VLOOKUP(Master[[#This Row],[Province_RDC]],Client[],2,FALSE)</f>
        <v>CLI-00439</v>
      </c>
      <c r="N297" s="1">
        <f>VLOOKUP(Master[[#This Row],[Province_RDC]],Client[],3,FALSE)</f>
        <v>40</v>
      </c>
      <c r="O297" s="1" t="str">
        <f>VLOOKUP(Master[[#This Row],[Province_RDC]],Client[],4,FALSE)</f>
        <v>Premium 5G 150Go</v>
      </c>
      <c r="P297" s="1">
        <f>VLOOKUP(Master[[#This Row],[Province_RDC]],Client[],5,FALSE)</f>
        <v>345</v>
      </c>
      <c r="Q297" s="1">
        <f>VLOOKUP(Master[[#This Row],[Province_RDC]],Client[],6,FALSE)</f>
        <v>89.55</v>
      </c>
      <c r="R297" s="1">
        <f>VLOOKUP(Master[[#This Row],[Province_RDC]],Client[],7,FALSE)</f>
        <v>3</v>
      </c>
      <c r="S297" s="1" t="str">
        <f>IF(Master[[#This Row],[Type_Forfait]]="Pro Monde","B2B","B2C")</f>
        <v>B2C</v>
      </c>
      <c r="T297" s="1">
        <f>Master[[#This Row],[Anciennete_Mois]]/12</f>
        <v>3.3333333333333335</v>
      </c>
      <c r="U297" s="1">
        <f>Master[[#This Row],[Duree_Cumule_Panne_Min]]/60</f>
        <v>5.75</v>
      </c>
      <c r="V29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7" s="6">
        <f>Master[[#This Row],[Facture_Mensuelle]]*Master[[#This Row],[Remise]]</f>
        <v>40.297499999999999</v>
      </c>
    </row>
    <row r="298" spans="1:24" x14ac:dyDescent="0.25">
      <c r="A298" s="1" t="s">
        <v>1024</v>
      </c>
      <c r="B298" t="str">
        <f>IFERROR(VLOOKUP(Master[[#This Row],[Cell_ID]],Registre_Maintenance[],2,FALSE),"")</f>
        <v>Mongala</v>
      </c>
      <c r="C298" s="1" t="s">
        <v>1046</v>
      </c>
      <c r="D298" s="2">
        <v>45221.505555555559</v>
      </c>
      <c r="E298" s="3">
        <v>45221.505555555559</v>
      </c>
      <c r="F298">
        <v>51</v>
      </c>
      <c r="G298">
        <f>Master[[#This Row],[Duree_Panne_Min]]/60</f>
        <v>0.85</v>
      </c>
      <c r="H298" s="1" t="s">
        <v>732</v>
      </c>
      <c r="I298">
        <f>IFERROR(VLOOKUP(Master[[#This Row],[Cell_ID]],Registre_Maintenance[],3,FALSE),"")</f>
        <v>-1.231033</v>
      </c>
      <c r="J298">
        <f>IFERROR(VLOOKUP(Master[[#This Row],[Cell_ID]],Registre_Maintenance[],4,FALSE),"")</f>
        <v>28.851388</v>
      </c>
      <c r="K298" t="str">
        <f>IFERROR(VLOOKUP(Master[[#This Row],[Cell_ID]],Registre_Maintenance[],5,FALSE),"")</f>
        <v>3G</v>
      </c>
      <c r="L298" t="str">
        <f>IFERROR(VLOOKUP(Master[[#This Row],[Cell_ID]],Registre_Maintenance[],6,FALSE),"")</f>
        <v>Ericsson</v>
      </c>
      <c r="M298" s="1" t="str">
        <f>VLOOKUP(Master[[#This Row],[Province_RDC]],Client[],2,FALSE)</f>
        <v>CLI-00865</v>
      </c>
      <c r="N298" s="1">
        <f>VLOOKUP(Master[[#This Row],[Province_RDC]],Client[],3,FALSE)</f>
        <v>34</v>
      </c>
      <c r="O298" s="1" t="str">
        <f>VLOOKUP(Master[[#This Row],[Province_RDC]],Client[],4,FALSE)</f>
        <v>Pro Monde</v>
      </c>
      <c r="P298" s="1">
        <f>VLOOKUP(Master[[#This Row],[Province_RDC]],Client[],5,FALSE)</f>
        <v>453</v>
      </c>
      <c r="Q298" s="1">
        <f>VLOOKUP(Master[[#This Row],[Province_RDC]],Client[],6,FALSE)</f>
        <v>56.84</v>
      </c>
      <c r="R298" s="1">
        <f>VLOOKUP(Master[[#This Row],[Province_RDC]],Client[],7,FALSE)</f>
        <v>0</v>
      </c>
      <c r="S298" s="1" t="str">
        <f>IF(Master[[#This Row],[Type_Forfait]]="Pro Monde","B2B","B2C")</f>
        <v>B2B</v>
      </c>
      <c r="T298" s="1">
        <f>Master[[#This Row],[Anciennete_Mois]]/12</f>
        <v>2.8333333333333335</v>
      </c>
      <c r="U298" s="1">
        <f>Master[[#This Row],[Duree_Cumule_Panne_Min]]/60</f>
        <v>7.55</v>
      </c>
      <c r="V29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8" s="6">
        <f>Master[[#This Row],[Facture_Mensuelle]]*Master[[#This Row],[Remise]]</f>
        <v>25.578000000000003</v>
      </c>
    </row>
    <row r="299" spans="1:24" x14ac:dyDescent="0.25">
      <c r="A299" s="1" t="s">
        <v>1308</v>
      </c>
      <c r="B299" t="str">
        <f>IFERROR(VLOOKUP(Master[[#This Row],[Cell_ID]],Registre_Maintenance[],2,FALSE),"")</f>
        <v>Equateur</v>
      </c>
      <c r="C299" s="1" t="s">
        <v>1200</v>
      </c>
      <c r="D299" s="2">
        <v>45209.988888888889</v>
      </c>
      <c r="E299" s="3">
        <v>45209.988888888889</v>
      </c>
      <c r="F299">
        <v>51</v>
      </c>
      <c r="G299">
        <f>Master[[#This Row],[Duree_Panne_Min]]/60</f>
        <v>0.85</v>
      </c>
      <c r="H299" s="1" t="s">
        <v>735</v>
      </c>
      <c r="I299">
        <f>IFERROR(VLOOKUP(Master[[#This Row],[Cell_ID]],Registre_Maintenance[],3,FALSE),"")</f>
        <v>-6.1490739999999997</v>
      </c>
      <c r="J299">
        <f>IFERROR(VLOOKUP(Master[[#This Row],[Cell_ID]],Registre_Maintenance[],4,FALSE),"")</f>
        <v>23.304411000000002</v>
      </c>
      <c r="K299" t="str">
        <f>IFERROR(VLOOKUP(Master[[#This Row],[Cell_ID]],Registre_Maintenance[],5,FALSE),"")</f>
        <v>5G</v>
      </c>
      <c r="L299" t="str">
        <f>IFERROR(VLOOKUP(Master[[#This Row],[Cell_ID]],Registre_Maintenance[],6,FALSE),"")</f>
        <v>ZTE</v>
      </c>
      <c r="M299" s="1" t="str">
        <f>VLOOKUP(Master[[#This Row],[Province_RDC]],Client[],2,FALSE)</f>
        <v>CLI-00643</v>
      </c>
      <c r="N299" s="1">
        <f>VLOOKUP(Master[[#This Row],[Province_RDC]],Client[],3,FALSE)</f>
        <v>14</v>
      </c>
      <c r="O299" s="1" t="str">
        <f>VLOOKUP(Master[[#This Row],[Province_RDC]],Client[],4,FALSE)</f>
        <v>Pro Monde</v>
      </c>
      <c r="P299" s="1">
        <f>VLOOKUP(Master[[#This Row],[Province_RDC]],Client[],5,FALSE)</f>
        <v>316</v>
      </c>
      <c r="Q299" s="1">
        <f>VLOOKUP(Master[[#This Row],[Province_RDC]],Client[],6,FALSE)</f>
        <v>62.34</v>
      </c>
      <c r="R299" s="1">
        <f>VLOOKUP(Master[[#This Row],[Province_RDC]],Client[],7,FALSE)</f>
        <v>4</v>
      </c>
      <c r="S299" s="1" t="str">
        <f>IF(Master[[#This Row],[Type_Forfait]]="Pro Monde","B2B","B2C")</f>
        <v>B2B</v>
      </c>
      <c r="T299" s="1">
        <f>Master[[#This Row],[Anciennete_Mois]]/12</f>
        <v>1.1666666666666667</v>
      </c>
      <c r="U299" s="1">
        <f>Master[[#This Row],[Duree_Cumule_Panne_Min]]/60</f>
        <v>5.2666666666666666</v>
      </c>
      <c r="V29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29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299" s="6">
        <f>Master[[#This Row],[Facture_Mensuelle]]*Master[[#This Row],[Remise]]</f>
        <v>28.053000000000001</v>
      </c>
    </row>
    <row r="300" spans="1:24" x14ac:dyDescent="0.25">
      <c r="A300" s="1" t="s">
        <v>1288</v>
      </c>
      <c r="B300" t="str">
        <f>IFERROR(VLOOKUP(Master[[#This Row],[Cell_ID]],Registre_Maintenance[],2,FALSE),"")</f>
        <v>Tshuapa</v>
      </c>
      <c r="C300" s="1" t="s">
        <v>1304</v>
      </c>
      <c r="D300" s="2">
        <v>45200.534722222219</v>
      </c>
      <c r="E300" s="3">
        <v>45200.534722222219</v>
      </c>
      <c r="F300">
        <v>50</v>
      </c>
      <c r="G300">
        <f>Master[[#This Row],[Duree_Panne_Min]]/60</f>
        <v>0.83333333333333337</v>
      </c>
      <c r="H300" s="1" t="s">
        <v>737</v>
      </c>
      <c r="I300">
        <f>IFERROR(VLOOKUP(Master[[#This Row],[Cell_ID]],Registre_Maintenance[],3,FALSE),"")</f>
        <v>-7.7587710000000003</v>
      </c>
      <c r="J300">
        <f>IFERROR(VLOOKUP(Master[[#This Row],[Cell_ID]],Registre_Maintenance[],4,FALSE),"")</f>
        <v>17.880848</v>
      </c>
      <c r="K300" t="str">
        <f>IFERROR(VLOOKUP(Master[[#This Row],[Cell_ID]],Registre_Maintenance[],5,FALSE),"")</f>
        <v>3G</v>
      </c>
      <c r="L300" t="str">
        <f>IFERROR(VLOOKUP(Master[[#This Row],[Cell_ID]],Registre_Maintenance[],6,FALSE),"")</f>
        <v>Ericsson</v>
      </c>
      <c r="M300" s="1" t="str">
        <f>VLOOKUP(Master[[#This Row],[Province_RDC]],Client[],2,FALSE)</f>
        <v>CLI-00894</v>
      </c>
      <c r="N300" s="1">
        <f>VLOOKUP(Master[[#This Row],[Province_RDC]],Client[],3,FALSE)</f>
        <v>63</v>
      </c>
      <c r="O300" s="1" t="str">
        <f>VLOOKUP(Master[[#This Row],[Province_RDC]],Client[],4,FALSE)</f>
        <v>Pro Monde</v>
      </c>
      <c r="P300" s="1">
        <f>VLOOKUP(Master[[#This Row],[Province_RDC]],Client[],5,FALSE)</f>
        <v>205</v>
      </c>
      <c r="Q300" s="1">
        <f>VLOOKUP(Master[[#This Row],[Province_RDC]],Client[],6,FALSE)</f>
        <v>89.19</v>
      </c>
      <c r="R300" s="1">
        <f>VLOOKUP(Master[[#This Row],[Province_RDC]],Client[],7,FALSE)</f>
        <v>0</v>
      </c>
      <c r="S300" s="1" t="str">
        <f>IF(Master[[#This Row],[Type_Forfait]]="Pro Monde","B2B","B2C")</f>
        <v>B2B</v>
      </c>
      <c r="T300" s="1">
        <f>Master[[#This Row],[Anciennete_Mois]]/12</f>
        <v>5.25</v>
      </c>
      <c r="U300" s="1">
        <f>Master[[#This Row],[Duree_Cumule_Panne_Min]]/60</f>
        <v>3.4166666666666665</v>
      </c>
      <c r="V30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0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00" s="6">
        <f>Master[[#This Row],[Facture_Mensuelle]]*Master[[#This Row],[Remise]]</f>
        <v>8.9190000000000005</v>
      </c>
    </row>
    <row r="301" spans="1:24" x14ac:dyDescent="0.25">
      <c r="A301" s="1" t="s">
        <v>861</v>
      </c>
      <c r="B301" t="str">
        <f>IFERROR(VLOOKUP(Master[[#This Row],[Cell_ID]],Registre_Maintenance[],2,FALSE),"")</f>
        <v>Tshopo</v>
      </c>
      <c r="C301" s="1" t="s">
        <v>898</v>
      </c>
      <c r="D301" s="2">
        <v>45227.577777777777</v>
      </c>
      <c r="E301" s="3">
        <v>45227.577777777777</v>
      </c>
      <c r="F301">
        <v>50</v>
      </c>
      <c r="G301">
        <f>Master[[#This Row],[Duree_Panne_Min]]/60</f>
        <v>0.83333333333333337</v>
      </c>
      <c r="H301" s="1" t="s">
        <v>737</v>
      </c>
      <c r="I301">
        <f>IFERROR(VLOOKUP(Master[[#This Row],[Cell_ID]],Registre_Maintenance[],3,FALSE),"")</f>
        <v>-4.5603610000000003</v>
      </c>
      <c r="J301">
        <f>IFERROR(VLOOKUP(Master[[#This Row],[Cell_ID]],Registre_Maintenance[],4,FALSE),"")</f>
        <v>24.113918999999999</v>
      </c>
      <c r="K301" t="str">
        <f>IFERROR(VLOOKUP(Master[[#This Row],[Cell_ID]],Registre_Maintenance[],5,FALSE),"")</f>
        <v>5G</v>
      </c>
      <c r="L301" t="str">
        <f>IFERROR(VLOOKUP(Master[[#This Row],[Cell_ID]],Registre_Maintenance[],6,FALSE),"")</f>
        <v>ZTE</v>
      </c>
      <c r="M301" s="1" t="str">
        <f>VLOOKUP(Master[[#This Row],[Province_RDC]],Client[],2,FALSE)</f>
        <v>CLI-00745</v>
      </c>
      <c r="N301" s="1">
        <f>VLOOKUP(Master[[#This Row],[Province_RDC]],Client[],3,FALSE)</f>
        <v>6</v>
      </c>
      <c r="O301" s="1" t="str">
        <f>VLOOKUP(Master[[#This Row],[Province_RDC]],Client[],4,FALSE)</f>
        <v>Premium 5G 150Go</v>
      </c>
      <c r="P301" s="1">
        <f>VLOOKUP(Master[[#This Row],[Province_RDC]],Client[],5,FALSE)</f>
        <v>207</v>
      </c>
      <c r="Q301" s="1">
        <f>VLOOKUP(Master[[#This Row],[Province_RDC]],Client[],6,FALSE)</f>
        <v>61.55</v>
      </c>
      <c r="R301" s="1">
        <f>VLOOKUP(Master[[#This Row],[Province_RDC]],Client[],7,FALSE)</f>
        <v>0</v>
      </c>
      <c r="S301" s="1" t="str">
        <f>IF(Master[[#This Row],[Type_Forfait]]="Pro Monde","B2B","B2C")</f>
        <v>B2C</v>
      </c>
      <c r="T301" s="1">
        <f>Master[[#This Row],[Anciennete_Mois]]/12</f>
        <v>0.5</v>
      </c>
      <c r="U301" s="1">
        <f>Master[[#This Row],[Duree_Cumule_Panne_Min]]/60</f>
        <v>3.45</v>
      </c>
      <c r="V30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01" s="6">
        <f>Master[[#This Row],[Facture_Mensuelle]]*Master[[#This Row],[Remise]]</f>
        <v>0</v>
      </c>
    </row>
    <row r="302" spans="1:24" x14ac:dyDescent="0.25">
      <c r="A302" s="1" t="s">
        <v>939</v>
      </c>
      <c r="B302" t="str">
        <f>IFERROR(VLOOKUP(Master[[#This Row],[Cell_ID]],Registre_Maintenance[],2,FALSE),"")</f>
        <v>Nord-Ubangi</v>
      </c>
      <c r="C302" s="1" t="s">
        <v>879</v>
      </c>
      <c r="D302" s="2">
        <v>45227.587500000001</v>
      </c>
      <c r="E302" s="3">
        <v>45227.587500000001</v>
      </c>
      <c r="F302">
        <v>50</v>
      </c>
      <c r="G302">
        <f>Master[[#This Row],[Duree_Panne_Min]]/60</f>
        <v>0.83333333333333337</v>
      </c>
      <c r="H302" s="1" t="s">
        <v>735</v>
      </c>
      <c r="I302">
        <f>IFERROR(VLOOKUP(Master[[#This Row],[Cell_ID]],Registre_Maintenance[],3,FALSE),"")</f>
        <v>-1.342476</v>
      </c>
      <c r="J302">
        <f>IFERROR(VLOOKUP(Master[[#This Row],[Cell_ID]],Registre_Maintenance[],4,FALSE),"")</f>
        <v>15.986086</v>
      </c>
      <c r="K302" t="str">
        <f>IFERROR(VLOOKUP(Master[[#This Row],[Cell_ID]],Registre_Maintenance[],5,FALSE),"")</f>
        <v>4G</v>
      </c>
      <c r="L302" t="str">
        <f>IFERROR(VLOOKUP(Master[[#This Row],[Cell_ID]],Registre_Maintenance[],6,FALSE),"")</f>
        <v>Ericsson</v>
      </c>
      <c r="M302" s="1" t="str">
        <f>VLOOKUP(Master[[#This Row],[Province_RDC]],Client[],2,FALSE)</f>
        <v>CLI-01170</v>
      </c>
      <c r="N302" s="1">
        <f>VLOOKUP(Master[[#This Row],[Province_RDC]],Client[],3,FALSE)</f>
        <v>98</v>
      </c>
      <c r="O302" s="1" t="str">
        <f>VLOOKUP(Master[[#This Row],[Province_RDC]],Client[],4,FALSE)</f>
        <v>Pro Monde</v>
      </c>
      <c r="P302" s="1">
        <f>VLOOKUP(Master[[#This Row],[Province_RDC]],Client[],5,FALSE)</f>
        <v>482</v>
      </c>
      <c r="Q302" s="1">
        <f>VLOOKUP(Master[[#This Row],[Province_RDC]],Client[],6,FALSE)</f>
        <v>55.04</v>
      </c>
      <c r="R302" s="1">
        <f>VLOOKUP(Master[[#This Row],[Province_RDC]],Client[],7,FALSE)</f>
        <v>5</v>
      </c>
      <c r="S302" s="1" t="str">
        <f>IF(Master[[#This Row],[Type_Forfait]]="Pro Monde","B2B","B2C")</f>
        <v>B2B</v>
      </c>
      <c r="T302" s="1">
        <f>Master[[#This Row],[Anciennete_Mois]]/12</f>
        <v>8.1666666666666661</v>
      </c>
      <c r="U302" s="1">
        <f>Master[[#This Row],[Duree_Cumule_Panne_Min]]/60</f>
        <v>8.0333333333333332</v>
      </c>
      <c r="V30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2" s="6">
        <f>Master[[#This Row],[Facture_Mensuelle]]*Master[[#This Row],[Remise]]</f>
        <v>24.768000000000001</v>
      </c>
    </row>
    <row r="303" spans="1:24" x14ac:dyDescent="0.25">
      <c r="A303" s="1" t="s">
        <v>999</v>
      </c>
      <c r="B303" t="str">
        <f>IFERROR(VLOOKUP(Master[[#This Row],[Cell_ID]],Registre_Maintenance[],2,FALSE),"")</f>
        <v>Haut-Lomami</v>
      </c>
      <c r="C303" s="1" t="s">
        <v>1014</v>
      </c>
      <c r="D303" s="2">
        <v>45205.47152777778</v>
      </c>
      <c r="E303" s="3">
        <v>45205.47152777778</v>
      </c>
      <c r="F303">
        <v>50</v>
      </c>
      <c r="G303">
        <f>Master[[#This Row],[Duree_Panne_Min]]/60</f>
        <v>0.83333333333333337</v>
      </c>
      <c r="H303" s="1" t="s">
        <v>735</v>
      </c>
      <c r="I303">
        <f>IFERROR(VLOOKUP(Master[[#This Row],[Cell_ID]],Registre_Maintenance[],3,FALSE),"")</f>
        <v>2.628638</v>
      </c>
      <c r="J303">
        <f>IFERROR(VLOOKUP(Master[[#This Row],[Cell_ID]],Registre_Maintenance[],4,FALSE),"")</f>
        <v>28.420582</v>
      </c>
      <c r="K303" t="str">
        <f>IFERROR(VLOOKUP(Master[[#This Row],[Cell_ID]],Registre_Maintenance[],5,FALSE),"")</f>
        <v>4G</v>
      </c>
      <c r="L303" t="str">
        <f>IFERROR(VLOOKUP(Master[[#This Row],[Cell_ID]],Registre_Maintenance[],6,FALSE),"")</f>
        <v>Huawei</v>
      </c>
      <c r="M303" s="1" t="str">
        <f>VLOOKUP(Master[[#This Row],[Province_RDC]],Client[],2,FALSE)</f>
        <v>CLI-01325</v>
      </c>
      <c r="N303" s="1">
        <f>VLOOKUP(Master[[#This Row],[Province_RDC]],Client[],3,FALSE)</f>
        <v>44</v>
      </c>
      <c r="O303" s="1" t="str">
        <f>VLOOKUP(Master[[#This Row],[Province_RDC]],Client[],4,FALSE)</f>
        <v>Bloqué 5Go</v>
      </c>
      <c r="P303" s="1">
        <f>VLOOKUP(Master[[#This Row],[Province_RDC]],Client[],5,FALSE)</f>
        <v>348</v>
      </c>
      <c r="Q303" s="1">
        <f>VLOOKUP(Master[[#This Row],[Province_RDC]],Client[],6,FALSE)</f>
        <v>58.67</v>
      </c>
      <c r="R303" s="1">
        <f>VLOOKUP(Master[[#This Row],[Province_RDC]],Client[],7,FALSE)</f>
        <v>0</v>
      </c>
      <c r="S303" s="1" t="str">
        <f>IF(Master[[#This Row],[Type_Forfait]]="Pro Monde","B2B","B2C")</f>
        <v>B2C</v>
      </c>
      <c r="T303" s="1">
        <f>Master[[#This Row],[Anciennete_Mois]]/12</f>
        <v>3.6666666666666665</v>
      </c>
      <c r="U303" s="1">
        <f>Master[[#This Row],[Duree_Cumule_Panne_Min]]/60</f>
        <v>5.8</v>
      </c>
      <c r="V30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3" s="6">
        <f>Master[[#This Row],[Facture_Mensuelle]]*Master[[#This Row],[Remise]]</f>
        <v>26.401500000000002</v>
      </c>
    </row>
    <row r="304" spans="1:24" x14ac:dyDescent="0.25">
      <c r="A304" s="1" t="s">
        <v>1138</v>
      </c>
      <c r="B304" t="str">
        <f>IFERROR(VLOOKUP(Master[[#This Row],[Cell_ID]],Registre_Maintenance[],2,FALSE),"")</f>
        <v>Sud-Ubangi</v>
      </c>
      <c r="C304" s="1" t="s">
        <v>820</v>
      </c>
      <c r="D304" s="2">
        <v>45220.488888888889</v>
      </c>
      <c r="E304" s="3">
        <v>45220.488888888889</v>
      </c>
      <c r="F304">
        <v>49</v>
      </c>
      <c r="G304">
        <f>Master[[#This Row],[Duree_Panne_Min]]/60</f>
        <v>0.81666666666666665</v>
      </c>
      <c r="H304" s="1" t="s">
        <v>737</v>
      </c>
      <c r="I304">
        <f>IFERROR(VLOOKUP(Master[[#This Row],[Cell_ID]],Registre_Maintenance[],3,FALSE),"")</f>
        <v>-9.3652239999999995</v>
      </c>
      <c r="J304">
        <f>IFERROR(VLOOKUP(Master[[#This Row],[Cell_ID]],Registre_Maintenance[],4,FALSE),"")</f>
        <v>22.593423999999999</v>
      </c>
      <c r="K304" t="str">
        <f>IFERROR(VLOOKUP(Master[[#This Row],[Cell_ID]],Registre_Maintenance[],5,FALSE),"")</f>
        <v>5G</v>
      </c>
      <c r="L304" t="str">
        <f>IFERROR(VLOOKUP(Master[[#This Row],[Cell_ID]],Registre_Maintenance[],6,FALSE),"")</f>
        <v>Nokia</v>
      </c>
      <c r="M304" s="1" t="str">
        <f>VLOOKUP(Master[[#This Row],[Province_RDC]],Client[],2,FALSE)</f>
        <v>CLI-00280</v>
      </c>
      <c r="N304" s="1">
        <f>VLOOKUP(Master[[#This Row],[Province_RDC]],Client[],3,FALSE)</f>
        <v>113</v>
      </c>
      <c r="O304" s="1" t="str">
        <f>VLOOKUP(Master[[#This Row],[Province_RDC]],Client[],4,FALSE)</f>
        <v>Illimité 50Go</v>
      </c>
      <c r="P304" s="1">
        <f>VLOOKUP(Master[[#This Row],[Province_RDC]],Client[],5,FALSE)</f>
        <v>380</v>
      </c>
      <c r="Q304" s="1">
        <f>VLOOKUP(Master[[#This Row],[Province_RDC]],Client[],6,FALSE)</f>
        <v>12.11</v>
      </c>
      <c r="R304" s="1">
        <f>VLOOKUP(Master[[#This Row],[Province_RDC]],Client[],7,FALSE)</f>
        <v>0</v>
      </c>
      <c r="S304" s="1" t="str">
        <f>IF(Master[[#This Row],[Type_Forfait]]="Pro Monde","B2B","B2C")</f>
        <v>B2C</v>
      </c>
      <c r="T304" s="1">
        <f>Master[[#This Row],[Anciennete_Mois]]/12</f>
        <v>9.4166666666666661</v>
      </c>
      <c r="U304" s="1">
        <f>Master[[#This Row],[Duree_Cumule_Panne_Min]]/60</f>
        <v>6.333333333333333</v>
      </c>
      <c r="V30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4" s="6">
        <f>Master[[#This Row],[Facture_Mensuelle]]*Master[[#This Row],[Remise]]</f>
        <v>5.4494999999999996</v>
      </c>
    </row>
    <row r="305" spans="1:24" x14ac:dyDescent="0.25">
      <c r="A305" s="1" t="s">
        <v>1114</v>
      </c>
      <c r="B305" t="str">
        <f>IFERROR(VLOOKUP(Master[[#This Row],[Cell_ID]],Registre_Maintenance[],2,FALSE),"")</f>
        <v>Kasai-Central</v>
      </c>
      <c r="C305" s="1" t="s">
        <v>863</v>
      </c>
      <c r="D305" s="2">
        <v>45203.250694444447</v>
      </c>
      <c r="E305" s="3">
        <v>45203.250694444447</v>
      </c>
      <c r="F305">
        <v>49</v>
      </c>
      <c r="G305">
        <f>Master[[#This Row],[Duree_Panne_Min]]/60</f>
        <v>0.81666666666666665</v>
      </c>
      <c r="H305" s="1" t="s">
        <v>735</v>
      </c>
      <c r="I305">
        <f>IFERROR(VLOOKUP(Master[[#This Row],[Cell_ID]],Registre_Maintenance[],3,FALSE),"")</f>
        <v>-10.414493</v>
      </c>
      <c r="J305">
        <f>IFERROR(VLOOKUP(Master[[#This Row],[Cell_ID]],Registre_Maintenance[],4,FALSE),"")</f>
        <v>12.333356999999999</v>
      </c>
      <c r="K305" t="str">
        <f>IFERROR(VLOOKUP(Master[[#This Row],[Cell_ID]],Registre_Maintenance[],5,FALSE),"")</f>
        <v>3G</v>
      </c>
      <c r="L305" t="str">
        <f>IFERROR(VLOOKUP(Master[[#This Row],[Cell_ID]],Registre_Maintenance[],6,FALSE),"")</f>
        <v>Ericsson</v>
      </c>
      <c r="M305" s="1" t="str">
        <f>VLOOKUP(Master[[#This Row],[Province_RDC]],Client[],2,FALSE)</f>
        <v>CLI-00060</v>
      </c>
      <c r="N305" s="1">
        <f>VLOOKUP(Master[[#This Row],[Province_RDC]],Client[],3,FALSE)</f>
        <v>72</v>
      </c>
      <c r="O305" s="1" t="str">
        <f>VLOOKUP(Master[[#This Row],[Province_RDC]],Client[],4,FALSE)</f>
        <v>Pro Monde</v>
      </c>
      <c r="P305" s="1">
        <f>VLOOKUP(Master[[#This Row],[Province_RDC]],Client[],5,FALSE)</f>
        <v>160</v>
      </c>
      <c r="Q305" s="1">
        <f>VLOOKUP(Master[[#This Row],[Province_RDC]],Client[],6,FALSE)</f>
        <v>90.13</v>
      </c>
      <c r="R305" s="1">
        <f>VLOOKUP(Master[[#This Row],[Province_RDC]],Client[],7,FALSE)</f>
        <v>2</v>
      </c>
      <c r="S305" s="1" t="str">
        <f>IF(Master[[#This Row],[Type_Forfait]]="Pro Monde","B2B","B2C")</f>
        <v>B2B</v>
      </c>
      <c r="T305" s="1">
        <f>Master[[#This Row],[Anciennete_Mois]]/12</f>
        <v>6</v>
      </c>
      <c r="U305" s="1">
        <f>Master[[#This Row],[Duree_Cumule_Panne_Min]]/60</f>
        <v>2.6666666666666665</v>
      </c>
      <c r="V30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0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05" s="6">
        <f>Master[[#This Row],[Facture_Mensuelle]]*Master[[#This Row],[Remise]]</f>
        <v>9.0129999999999999</v>
      </c>
    </row>
    <row r="306" spans="1:24" x14ac:dyDescent="0.25">
      <c r="A306" s="1" t="s">
        <v>779</v>
      </c>
      <c r="B306" t="str">
        <f>IFERROR(VLOOKUP(Master[[#This Row],[Cell_ID]],Registre_Maintenance[],2,FALSE),"")</f>
        <v>Sud-Ubangi</v>
      </c>
      <c r="C306" s="1" t="s">
        <v>820</v>
      </c>
      <c r="D306" s="2">
        <v>45214.457638888889</v>
      </c>
      <c r="E306" s="3">
        <v>45214.457638888889</v>
      </c>
      <c r="F306">
        <v>48</v>
      </c>
      <c r="G306">
        <f>Master[[#This Row],[Duree_Panne_Min]]/60</f>
        <v>0.8</v>
      </c>
      <c r="H306" s="1" t="s">
        <v>737</v>
      </c>
      <c r="I306">
        <f>IFERROR(VLOOKUP(Master[[#This Row],[Cell_ID]],Registre_Maintenance[],3,FALSE),"")</f>
        <v>-9.3652239999999995</v>
      </c>
      <c r="J306">
        <f>IFERROR(VLOOKUP(Master[[#This Row],[Cell_ID]],Registre_Maintenance[],4,FALSE),"")</f>
        <v>22.593423999999999</v>
      </c>
      <c r="K306" t="str">
        <f>IFERROR(VLOOKUP(Master[[#This Row],[Cell_ID]],Registre_Maintenance[],5,FALSE),"")</f>
        <v>5G</v>
      </c>
      <c r="L306" t="str">
        <f>IFERROR(VLOOKUP(Master[[#This Row],[Cell_ID]],Registre_Maintenance[],6,FALSE),"")</f>
        <v>Nokia</v>
      </c>
      <c r="M306" s="1" t="str">
        <f>VLOOKUP(Master[[#This Row],[Province_RDC]],Client[],2,FALSE)</f>
        <v>CLI-00280</v>
      </c>
      <c r="N306" s="1">
        <f>VLOOKUP(Master[[#This Row],[Province_RDC]],Client[],3,FALSE)</f>
        <v>113</v>
      </c>
      <c r="O306" s="1" t="str">
        <f>VLOOKUP(Master[[#This Row],[Province_RDC]],Client[],4,FALSE)</f>
        <v>Illimité 50Go</v>
      </c>
      <c r="P306" s="1">
        <f>VLOOKUP(Master[[#This Row],[Province_RDC]],Client[],5,FALSE)</f>
        <v>380</v>
      </c>
      <c r="Q306" s="1">
        <f>VLOOKUP(Master[[#This Row],[Province_RDC]],Client[],6,FALSE)</f>
        <v>12.11</v>
      </c>
      <c r="R306" s="1">
        <f>VLOOKUP(Master[[#This Row],[Province_RDC]],Client[],7,FALSE)</f>
        <v>0</v>
      </c>
      <c r="S306" s="1" t="str">
        <f>IF(Master[[#This Row],[Type_Forfait]]="Pro Monde","B2B","B2C")</f>
        <v>B2C</v>
      </c>
      <c r="T306" s="1">
        <f>Master[[#This Row],[Anciennete_Mois]]/12</f>
        <v>9.4166666666666661</v>
      </c>
      <c r="U306" s="1">
        <f>Master[[#This Row],[Duree_Cumule_Panne_Min]]/60</f>
        <v>6.333333333333333</v>
      </c>
      <c r="V30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6" s="6">
        <f>Master[[#This Row],[Facture_Mensuelle]]*Master[[#This Row],[Remise]]</f>
        <v>5.4494999999999996</v>
      </c>
    </row>
    <row r="307" spans="1:24" x14ac:dyDescent="0.25">
      <c r="A307" s="1" t="s">
        <v>1059</v>
      </c>
      <c r="B307" t="str">
        <f>IFERROR(VLOOKUP(Master[[#This Row],[Cell_ID]],Registre_Maintenance[],2,FALSE),"")</f>
        <v>Ituri</v>
      </c>
      <c r="C307" s="1" t="s">
        <v>1063</v>
      </c>
      <c r="D307" s="2">
        <v>45216.760416666657</v>
      </c>
      <c r="E307" s="3">
        <v>45216.760416666657</v>
      </c>
      <c r="F307">
        <v>48</v>
      </c>
      <c r="G307">
        <f>Master[[#This Row],[Duree_Panne_Min]]/60</f>
        <v>0.8</v>
      </c>
      <c r="H307" s="1" t="s">
        <v>732</v>
      </c>
      <c r="I307">
        <f>IFERROR(VLOOKUP(Master[[#This Row],[Cell_ID]],Registre_Maintenance[],3,FALSE),"")</f>
        <v>-11.002602</v>
      </c>
      <c r="J307">
        <f>IFERROR(VLOOKUP(Master[[#This Row],[Cell_ID]],Registre_Maintenance[],4,FALSE),"")</f>
        <v>23.918247999999998</v>
      </c>
      <c r="K307" t="str">
        <f>IFERROR(VLOOKUP(Master[[#This Row],[Cell_ID]],Registre_Maintenance[],5,FALSE),"")</f>
        <v>5G</v>
      </c>
      <c r="L307" t="str">
        <f>IFERROR(VLOOKUP(Master[[#This Row],[Cell_ID]],Registre_Maintenance[],6,FALSE),"")</f>
        <v>ZTE</v>
      </c>
      <c r="M307" s="1" t="str">
        <f>VLOOKUP(Master[[#This Row],[Province_RDC]],Client[],2,FALSE)</f>
        <v>CLI-00041</v>
      </c>
      <c r="N307" s="1">
        <f>VLOOKUP(Master[[#This Row],[Province_RDC]],Client[],3,FALSE)</f>
        <v>103</v>
      </c>
      <c r="O307" s="1" t="str">
        <f>VLOOKUP(Master[[#This Row],[Province_RDC]],Client[],4,FALSE)</f>
        <v>Pro Monde</v>
      </c>
      <c r="P307" s="1">
        <f>VLOOKUP(Master[[#This Row],[Province_RDC]],Client[],5,FALSE)</f>
        <v>105</v>
      </c>
      <c r="Q307" s="1">
        <f>VLOOKUP(Master[[#This Row],[Province_RDC]],Client[],6,FALSE)</f>
        <v>61.52</v>
      </c>
      <c r="R307" s="1">
        <f>VLOOKUP(Master[[#This Row],[Province_RDC]],Client[],7,FALSE)</f>
        <v>3</v>
      </c>
      <c r="S307" s="1" t="str">
        <f>IF(Master[[#This Row],[Type_Forfait]]="Pro Monde","B2B","B2C")</f>
        <v>B2B</v>
      </c>
      <c r="T307" s="1">
        <f>Master[[#This Row],[Anciennete_Mois]]/12</f>
        <v>8.5833333333333339</v>
      </c>
      <c r="U307" s="1">
        <f>Master[[#This Row],[Duree_Cumule_Panne_Min]]/60</f>
        <v>1.75</v>
      </c>
      <c r="V30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0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07" s="6">
        <f>Master[[#This Row],[Facture_Mensuelle]]*Master[[#This Row],[Remise]]</f>
        <v>6.152000000000001</v>
      </c>
    </row>
    <row r="308" spans="1:24" x14ac:dyDescent="0.25">
      <c r="A308" s="1" t="s">
        <v>1024</v>
      </c>
      <c r="B308" t="str">
        <f>IFERROR(VLOOKUP(Master[[#This Row],[Cell_ID]],Registre_Maintenance[],2,FALSE),"")</f>
        <v>Haut-Lomami</v>
      </c>
      <c r="C308" s="1" t="s">
        <v>1032</v>
      </c>
      <c r="D308" s="2">
        <v>45206.443055555559</v>
      </c>
      <c r="E308" s="3">
        <v>45206.443055555559</v>
      </c>
      <c r="F308">
        <v>48</v>
      </c>
      <c r="G308">
        <f>Master[[#This Row],[Duree_Panne_Min]]/60</f>
        <v>0.8</v>
      </c>
      <c r="H308" s="1" t="s">
        <v>737</v>
      </c>
      <c r="I308">
        <f>IFERROR(VLOOKUP(Master[[#This Row],[Cell_ID]],Registre_Maintenance[],3,FALSE),"")</f>
        <v>0.16327700000000001</v>
      </c>
      <c r="J308">
        <f>IFERROR(VLOOKUP(Master[[#This Row],[Cell_ID]],Registre_Maintenance[],4,FALSE),"")</f>
        <v>14.871577</v>
      </c>
      <c r="K308" t="str">
        <f>IFERROR(VLOOKUP(Master[[#This Row],[Cell_ID]],Registre_Maintenance[],5,FALSE),"")</f>
        <v>4G</v>
      </c>
      <c r="L308" t="str">
        <f>IFERROR(VLOOKUP(Master[[#This Row],[Cell_ID]],Registre_Maintenance[],6,FALSE),"")</f>
        <v>Huawei</v>
      </c>
      <c r="M308" s="1" t="str">
        <f>VLOOKUP(Master[[#This Row],[Province_RDC]],Client[],2,FALSE)</f>
        <v>CLI-01325</v>
      </c>
      <c r="N308" s="1">
        <f>VLOOKUP(Master[[#This Row],[Province_RDC]],Client[],3,FALSE)</f>
        <v>44</v>
      </c>
      <c r="O308" s="1" t="str">
        <f>VLOOKUP(Master[[#This Row],[Province_RDC]],Client[],4,FALSE)</f>
        <v>Bloqué 5Go</v>
      </c>
      <c r="P308" s="1">
        <f>VLOOKUP(Master[[#This Row],[Province_RDC]],Client[],5,FALSE)</f>
        <v>348</v>
      </c>
      <c r="Q308" s="1">
        <f>VLOOKUP(Master[[#This Row],[Province_RDC]],Client[],6,FALSE)</f>
        <v>58.67</v>
      </c>
      <c r="R308" s="1">
        <f>VLOOKUP(Master[[#This Row],[Province_RDC]],Client[],7,FALSE)</f>
        <v>0</v>
      </c>
      <c r="S308" s="1" t="str">
        <f>IF(Master[[#This Row],[Type_Forfait]]="Pro Monde","B2B","B2C")</f>
        <v>B2C</v>
      </c>
      <c r="T308" s="1">
        <f>Master[[#This Row],[Anciennete_Mois]]/12</f>
        <v>3.6666666666666665</v>
      </c>
      <c r="U308" s="1">
        <f>Master[[#This Row],[Duree_Cumule_Panne_Min]]/60</f>
        <v>5.8</v>
      </c>
      <c r="V30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8" s="6">
        <f>Master[[#This Row],[Facture_Mensuelle]]*Master[[#This Row],[Remise]]</f>
        <v>26.401500000000002</v>
      </c>
    </row>
    <row r="309" spans="1:24" x14ac:dyDescent="0.25">
      <c r="A309" s="1" t="s">
        <v>861</v>
      </c>
      <c r="B309" t="str">
        <f>IFERROR(VLOOKUP(Master[[#This Row],[Cell_ID]],Registre_Maintenance[],2,FALSE),"")</f>
        <v>Bas-Uele</v>
      </c>
      <c r="C309" s="1" t="s">
        <v>901</v>
      </c>
      <c r="D309" s="2">
        <v>45228.614583333343</v>
      </c>
      <c r="E309" s="3">
        <v>45228.614583333343</v>
      </c>
      <c r="F309">
        <v>48</v>
      </c>
      <c r="G309">
        <f>Master[[#This Row],[Duree_Panne_Min]]/60</f>
        <v>0.8</v>
      </c>
      <c r="H309" s="1" t="s">
        <v>735</v>
      </c>
      <c r="I309">
        <f>IFERROR(VLOOKUP(Master[[#This Row],[Cell_ID]],Registre_Maintenance[],3,FALSE),"")</f>
        <v>-3.6945459999999999</v>
      </c>
      <c r="J309">
        <f>IFERROR(VLOOKUP(Master[[#This Row],[Cell_ID]],Registre_Maintenance[],4,FALSE),"")</f>
        <v>16.809108999999999</v>
      </c>
      <c r="K309" t="str">
        <f>IFERROR(VLOOKUP(Master[[#This Row],[Cell_ID]],Registre_Maintenance[],5,FALSE),"")</f>
        <v>5G</v>
      </c>
      <c r="L309" t="str">
        <f>IFERROR(VLOOKUP(Master[[#This Row],[Cell_ID]],Registre_Maintenance[],6,FALSE),"")</f>
        <v>ZTE</v>
      </c>
      <c r="M309" s="1" t="str">
        <f>VLOOKUP(Master[[#This Row],[Province_RDC]],Client[],2,FALSE)</f>
        <v>CLI-01128</v>
      </c>
      <c r="N309" s="1">
        <f>VLOOKUP(Master[[#This Row],[Province_RDC]],Client[],3,FALSE)</f>
        <v>112</v>
      </c>
      <c r="O309" s="1" t="str">
        <f>VLOOKUP(Master[[#This Row],[Province_RDC]],Client[],4,FALSE)</f>
        <v>Premium 5G 150Go</v>
      </c>
      <c r="P309" s="1">
        <f>VLOOKUP(Master[[#This Row],[Province_RDC]],Client[],5,FALSE)</f>
        <v>460</v>
      </c>
      <c r="Q309" s="1">
        <f>VLOOKUP(Master[[#This Row],[Province_RDC]],Client[],6,FALSE)</f>
        <v>55.47</v>
      </c>
      <c r="R309" s="1">
        <f>VLOOKUP(Master[[#This Row],[Province_RDC]],Client[],7,FALSE)</f>
        <v>4</v>
      </c>
      <c r="S309" s="1" t="str">
        <f>IF(Master[[#This Row],[Type_Forfait]]="Pro Monde","B2B","B2C")</f>
        <v>B2C</v>
      </c>
      <c r="T309" s="1">
        <f>Master[[#This Row],[Anciennete_Mois]]/12</f>
        <v>9.3333333333333339</v>
      </c>
      <c r="U309" s="1">
        <f>Master[[#This Row],[Duree_Cumule_Panne_Min]]/60</f>
        <v>7.666666666666667</v>
      </c>
      <c r="V30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0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09" s="6">
        <f>Master[[#This Row],[Facture_Mensuelle]]*Master[[#This Row],[Remise]]</f>
        <v>24.961500000000001</v>
      </c>
    </row>
    <row r="310" spans="1:24" x14ac:dyDescent="0.25">
      <c r="A310" s="1" t="s">
        <v>1193</v>
      </c>
      <c r="B310" t="str">
        <f>IFERROR(VLOOKUP(Master[[#This Row],[Cell_ID]],Registre_Maintenance[],2,FALSE),"")</f>
        <v>Nord-Kivu</v>
      </c>
      <c r="C310" s="1" t="s">
        <v>900</v>
      </c>
      <c r="D310" s="2">
        <v>45204.53125</v>
      </c>
      <c r="E310" s="3">
        <v>45204.53125</v>
      </c>
      <c r="F310">
        <v>47</v>
      </c>
      <c r="G310">
        <f>Master[[#This Row],[Duree_Panne_Min]]/60</f>
        <v>0.78333333333333333</v>
      </c>
      <c r="H310" s="1" t="s">
        <v>732</v>
      </c>
      <c r="I310">
        <f>IFERROR(VLOOKUP(Master[[#This Row],[Cell_ID]],Registre_Maintenance[],3,FALSE),"")</f>
        <v>-12.336202</v>
      </c>
      <c r="J310">
        <f>IFERROR(VLOOKUP(Master[[#This Row],[Cell_ID]],Registre_Maintenance[],4,FALSE),"")</f>
        <v>13.693683999999999</v>
      </c>
      <c r="K310" t="str">
        <f>IFERROR(VLOOKUP(Master[[#This Row],[Cell_ID]],Registre_Maintenance[],5,FALSE),"")</f>
        <v>5G</v>
      </c>
      <c r="L310" t="str">
        <f>IFERROR(VLOOKUP(Master[[#This Row],[Cell_ID]],Registre_Maintenance[],6,FALSE),"")</f>
        <v>Huawei</v>
      </c>
      <c r="M310" s="1" t="str">
        <f>VLOOKUP(Master[[#This Row],[Province_RDC]],Client[],2,FALSE)</f>
        <v>CLI-00837</v>
      </c>
      <c r="N310" s="1">
        <f>VLOOKUP(Master[[#This Row],[Province_RDC]],Client[],3,FALSE)</f>
        <v>16</v>
      </c>
      <c r="O310" s="1" t="str">
        <f>VLOOKUP(Master[[#This Row],[Province_RDC]],Client[],4,FALSE)</f>
        <v>Bloqué 5Go</v>
      </c>
      <c r="P310" s="1">
        <f>VLOOKUP(Master[[#This Row],[Province_RDC]],Client[],5,FALSE)</f>
        <v>390</v>
      </c>
      <c r="Q310" s="1">
        <f>VLOOKUP(Master[[#This Row],[Province_RDC]],Client[],6,FALSE)</f>
        <v>98.17</v>
      </c>
      <c r="R310" s="1">
        <f>VLOOKUP(Master[[#This Row],[Province_RDC]],Client[],7,FALSE)</f>
        <v>5</v>
      </c>
      <c r="S310" s="1" t="str">
        <f>IF(Master[[#This Row],[Type_Forfait]]="Pro Monde","B2B","B2C")</f>
        <v>B2C</v>
      </c>
      <c r="T310" s="1">
        <f>Master[[#This Row],[Anciennete_Mois]]/12</f>
        <v>1.3333333333333333</v>
      </c>
      <c r="U310" s="1">
        <f>Master[[#This Row],[Duree_Cumule_Panne_Min]]/60</f>
        <v>6.5</v>
      </c>
      <c r="V31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0" s="6">
        <f>Master[[#This Row],[Facture_Mensuelle]]*Master[[#This Row],[Remise]]</f>
        <v>44.176500000000004</v>
      </c>
    </row>
    <row r="311" spans="1:24" x14ac:dyDescent="0.25">
      <c r="A311" s="1" t="s">
        <v>902</v>
      </c>
      <c r="B311" t="str">
        <f>IFERROR(VLOOKUP(Master[[#This Row],[Cell_ID]],Registre_Maintenance[],2,FALSE),"")</f>
        <v>Kasai</v>
      </c>
      <c r="C311" s="1" t="s">
        <v>930</v>
      </c>
      <c r="D311" s="2">
        <v>45208.169444444437</v>
      </c>
      <c r="E311" s="3">
        <v>45208.169444444437</v>
      </c>
      <c r="F311">
        <v>47</v>
      </c>
      <c r="G311">
        <f>Master[[#This Row],[Duree_Panne_Min]]/60</f>
        <v>0.78333333333333333</v>
      </c>
      <c r="H311" s="1" t="s">
        <v>732</v>
      </c>
      <c r="I311">
        <f>IFERROR(VLOOKUP(Master[[#This Row],[Cell_ID]],Registre_Maintenance[],3,FALSE),"")</f>
        <v>-4.351254</v>
      </c>
      <c r="J311">
        <f>IFERROR(VLOOKUP(Master[[#This Row],[Cell_ID]],Registre_Maintenance[],4,FALSE),"")</f>
        <v>30.097408999999999</v>
      </c>
      <c r="K311" t="str">
        <f>IFERROR(VLOOKUP(Master[[#This Row],[Cell_ID]],Registre_Maintenance[],5,FALSE),"")</f>
        <v>5G</v>
      </c>
      <c r="L311" t="str">
        <f>IFERROR(VLOOKUP(Master[[#This Row],[Cell_ID]],Registre_Maintenance[],6,FALSE),"")</f>
        <v>Nokia</v>
      </c>
      <c r="M311" s="1" t="str">
        <f>VLOOKUP(Master[[#This Row],[Province_RDC]],Client[],2,FALSE)</f>
        <v>CLI-00559</v>
      </c>
      <c r="N311" s="1">
        <f>VLOOKUP(Master[[#This Row],[Province_RDC]],Client[],3,FALSE)</f>
        <v>99</v>
      </c>
      <c r="O311" s="1" t="str">
        <f>VLOOKUP(Master[[#This Row],[Province_RDC]],Client[],4,FALSE)</f>
        <v>Bloqué 5Go</v>
      </c>
      <c r="P311" s="1">
        <f>VLOOKUP(Master[[#This Row],[Province_RDC]],Client[],5,FALSE)</f>
        <v>369</v>
      </c>
      <c r="Q311" s="1">
        <f>VLOOKUP(Master[[#This Row],[Province_RDC]],Client[],6,FALSE)</f>
        <v>67.209999999999994</v>
      </c>
      <c r="R311" s="1">
        <f>VLOOKUP(Master[[#This Row],[Province_RDC]],Client[],7,FALSE)</f>
        <v>3</v>
      </c>
      <c r="S311" s="1" t="str">
        <f>IF(Master[[#This Row],[Type_Forfait]]="Pro Monde","B2B","B2C")</f>
        <v>B2C</v>
      </c>
      <c r="T311" s="1">
        <f>Master[[#This Row],[Anciennete_Mois]]/12</f>
        <v>8.25</v>
      </c>
      <c r="U311" s="1">
        <f>Master[[#This Row],[Duree_Cumule_Panne_Min]]/60</f>
        <v>6.15</v>
      </c>
      <c r="V31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1" s="6">
        <f>Master[[#This Row],[Facture_Mensuelle]]*Master[[#This Row],[Remise]]</f>
        <v>30.244499999999999</v>
      </c>
    </row>
    <row r="312" spans="1:24" x14ac:dyDescent="0.25">
      <c r="A312" s="1" t="s">
        <v>902</v>
      </c>
      <c r="B312" t="str">
        <f>IFERROR(VLOOKUP(Master[[#This Row],[Cell_ID]],Registre_Maintenance[],2,FALSE),"")</f>
        <v>Tanganyika</v>
      </c>
      <c r="C312" s="1" t="s">
        <v>925</v>
      </c>
      <c r="D312" s="2">
        <v>45207.368055555547</v>
      </c>
      <c r="E312" s="3">
        <v>45207.368055555547</v>
      </c>
      <c r="F312">
        <v>46</v>
      </c>
      <c r="G312">
        <f>Master[[#This Row],[Duree_Panne_Min]]/60</f>
        <v>0.76666666666666672</v>
      </c>
      <c r="H312" s="1" t="s">
        <v>732</v>
      </c>
      <c r="I312">
        <f>IFERROR(VLOOKUP(Master[[#This Row],[Cell_ID]],Registre_Maintenance[],3,FALSE),"")</f>
        <v>-10.481026999999999</v>
      </c>
      <c r="J312">
        <f>IFERROR(VLOOKUP(Master[[#This Row],[Cell_ID]],Registre_Maintenance[],4,FALSE),"")</f>
        <v>18.160464000000001</v>
      </c>
      <c r="K312" t="str">
        <f>IFERROR(VLOOKUP(Master[[#This Row],[Cell_ID]],Registre_Maintenance[],5,FALSE),"")</f>
        <v>5G</v>
      </c>
      <c r="L312" t="str">
        <f>IFERROR(VLOOKUP(Master[[#This Row],[Cell_ID]],Registre_Maintenance[],6,FALSE),"")</f>
        <v>Huawei</v>
      </c>
      <c r="M312" s="1" t="str">
        <f>VLOOKUP(Master[[#This Row],[Province_RDC]],Client[],2,FALSE)</f>
        <v>CLI-01618</v>
      </c>
      <c r="N312" s="1">
        <f>VLOOKUP(Master[[#This Row],[Province_RDC]],Client[],3,FALSE)</f>
        <v>115</v>
      </c>
      <c r="O312" s="1" t="str">
        <f>VLOOKUP(Master[[#This Row],[Province_RDC]],Client[],4,FALSE)</f>
        <v>Bloqué 5Go</v>
      </c>
      <c r="P312" s="1">
        <f>VLOOKUP(Master[[#This Row],[Province_RDC]],Client[],5,FALSE)</f>
        <v>176</v>
      </c>
      <c r="Q312" s="1">
        <f>VLOOKUP(Master[[#This Row],[Province_RDC]],Client[],6,FALSE)</f>
        <v>33.28</v>
      </c>
      <c r="R312" s="1">
        <f>VLOOKUP(Master[[#This Row],[Province_RDC]],Client[],7,FALSE)</f>
        <v>4</v>
      </c>
      <c r="S312" s="1" t="str">
        <f>IF(Master[[#This Row],[Type_Forfait]]="Pro Monde","B2B","B2C")</f>
        <v>B2C</v>
      </c>
      <c r="T312" s="1">
        <f>Master[[#This Row],[Anciennete_Mois]]/12</f>
        <v>9.5833333333333339</v>
      </c>
      <c r="U312" s="1">
        <f>Master[[#This Row],[Duree_Cumule_Panne_Min]]/60</f>
        <v>2.9333333333333331</v>
      </c>
      <c r="V31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1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12" s="6">
        <f>Master[[#This Row],[Facture_Mensuelle]]*Master[[#This Row],[Remise]]</f>
        <v>0</v>
      </c>
    </row>
    <row r="313" spans="1:24" x14ac:dyDescent="0.25">
      <c r="A313" s="1" t="s">
        <v>1361</v>
      </c>
      <c r="B313" t="str">
        <f>IFERROR(VLOOKUP(Master[[#This Row],[Cell_ID]],Registre_Maintenance[],2,FALSE),"")</f>
        <v>Sankuru</v>
      </c>
      <c r="C313" s="1" t="s">
        <v>1366</v>
      </c>
      <c r="D313" s="2">
        <v>45213.87222222222</v>
      </c>
      <c r="E313" s="3">
        <v>45213.87222222222</v>
      </c>
      <c r="F313">
        <v>46</v>
      </c>
      <c r="G313">
        <f>Master[[#This Row],[Duree_Panne_Min]]/60</f>
        <v>0.76666666666666672</v>
      </c>
      <c r="H313" s="1" t="s">
        <v>735</v>
      </c>
      <c r="I313">
        <f>IFERROR(VLOOKUP(Master[[#This Row],[Cell_ID]],Registre_Maintenance[],3,FALSE),"")</f>
        <v>-7.513261</v>
      </c>
      <c r="J313">
        <f>IFERROR(VLOOKUP(Master[[#This Row],[Cell_ID]],Registre_Maintenance[],4,FALSE),"")</f>
        <v>24.338812000000001</v>
      </c>
      <c r="K313" t="str">
        <f>IFERROR(VLOOKUP(Master[[#This Row],[Cell_ID]],Registre_Maintenance[],5,FALSE),"")</f>
        <v>5G</v>
      </c>
      <c r="L313" t="str">
        <f>IFERROR(VLOOKUP(Master[[#This Row],[Cell_ID]],Registre_Maintenance[],6,FALSE),"")</f>
        <v>Huawei</v>
      </c>
      <c r="M313" s="1" t="str">
        <f>VLOOKUP(Master[[#This Row],[Province_RDC]],Client[],2,FALSE)</f>
        <v>CLI-00530</v>
      </c>
      <c r="N313" s="1">
        <f>VLOOKUP(Master[[#This Row],[Province_RDC]],Client[],3,FALSE)</f>
        <v>35</v>
      </c>
      <c r="O313" s="1" t="str">
        <f>VLOOKUP(Master[[#This Row],[Province_RDC]],Client[],4,FALSE)</f>
        <v>Pro Monde</v>
      </c>
      <c r="P313" s="1">
        <f>VLOOKUP(Master[[#This Row],[Province_RDC]],Client[],5,FALSE)</f>
        <v>465</v>
      </c>
      <c r="Q313" s="1">
        <f>VLOOKUP(Master[[#This Row],[Province_RDC]],Client[],6,FALSE)</f>
        <v>58.59</v>
      </c>
      <c r="R313" s="1">
        <f>VLOOKUP(Master[[#This Row],[Province_RDC]],Client[],7,FALSE)</f>
        <v>5</v>
      </c>
      <c r="S313" s="1" t="str">
        <f>IF(Master[[#This Row],[Type_Forfait]]="Pro Monde","B2B","B2C")</f>
        <v>B2B</v>
      </c>
      <c r="T313" s="1">
        <f>Master[[#This Row],[Anciennete_Mois]]/12</f>
        <v>2.9166666666666665</v>
      </c>
      <c r="U313" s="1">
        <f>Master[[#This Row],[Duree_Cumule_Panne_Min]]/60</f>
        <v>7.75</v>
      </c>
      <c r="V31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3" s="6">
        <f>Master[[#This Row],[Facture_Mensuelle]]*Master[[#This Row],[Remise]]</f>
        <v>26.365500000000001</v>
      </c>
    </row>
    <row r="314" spans="1:24" x14ac:dyDescent="0.25">
      <c r="A314" s="1" t="s">
        <v>1059</v>
      </c>
      <c r="B314" t="str">
        <f>IFERROR(VLOOKUP(Master[[#This Row],[Cell_ID]],Registre_Maintenance[],2,FALSE),"")</f>
        <v>Lomami</v>
      </c>
      <c r="C314" s="1" t="s">
        <v>1078</v>
      </c>
      <c r="D314" s="2">
        <v>45222.652777777781</v>
      </c>
      <c r="E314" s="3">
        <v>45222.652777777781</v>
      </c>
      <c r="F314">
        <v>46</v>
      </c>
      <c r="G314">
        <f>Master[[#This Row],[Duree_Panne_Min]]/60</f>
        <v>0.76666666666666672</v>
      </c>
      <c r="H314" s="1" t="s">
        <v>737</v>
      </c>
      <c r="I314">
        <f>IFERROR(VLOOKUP(Master[[#This Row],[Cell_ID]],Registre_Maintenance[],3,FALSE),"")</f>
        <v>-11.266565999999999</v>
      </c>
      <c r="J314">
        <f>IFERROR(VLOOKUP(Master[[#This Row],[Cell_ID]],Registre_Maintenance[],4,FALSE),"")</f>
        <v>26.245055000000001</v>
      </c>
      <c r="K314" t="str">
        <f>IFERROR(VLOOKUP(Master[[#This Row],[Cell_ID]],Registre_Maintenance[],5,FALSE),"")</f>
        <v>3G</v>
      </c>
      <c r="L314" t="str">
        <f>IFERROR(VLOOKUP(Master[[#This Row],[Cell_ID]],Registre_Maintenance[],6,FALSE),"")</f>
        <v>Ericsson</v>
      </c>
      <c r="M314" s="1" t="str">
        <f>VLOOKUP(Master[[#This Row],[Province_RDC]],Client[],2,FALSE)</f>
        <v>CLI-00505</v>
      </c>
      <c r="N314" s="1">
        <f>VLOOKUP(Master[[#This Row],[Province_RDC]],Client[],3,FALSE)</f>
        <v>59</v>
      </c>
      <c r="O314" s="1" t="str">
        <f>VLOOKUP(Master[[#This Row],[Province_RDC]],Client[],4,FALSE)</f>
        <v>Bloqué 5Go</v>
      </c>
      <c r="P314" s="1">
        <f>VLOOKUP(Master[[#This Row],[Province_RDC]],Client[],5,FALSE)</f>
        <v>196</v>
      </c>
      <c r="Q314" s="1">
        <f>VLOOKUP(Master[[#This Row],[Province_RDC]],Client[],6,FALSE)</f>
        <v>62.53</v>
      </c>
      <c r="R314" s="1">
        <f>VLOOKUP(Master[[#This Row],[Province_RDC]],Client[],7,FALSE)</f>
        <v>0</v>
      </c>
      <c r="S314" s="1" t="str">
        <f>IF(Master[[#This Row],[Type_Forfait]]="Pro Monde","B2B","B2C")</f>
        <v>B2C</v>
      </c>
      <c r="T314" s="1">
        <f>Master[[#This Row],[Anciennete_Mois]]/12</f>
        <v>4.916666666666667</v>
      </c>
      <c r="U314" s="1">
        <f>Master[[#This Row],[Duree_Cumule_Panne_Min]]/60</f>
        <v>3.2666666666666666</v>
      </c>
      <c r="V31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1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14" s="6">
        <f>Master[[#This Row],[Facture_Mensuelle]]*Master[[#This Row],[Remise]]</f>
        <v>0</v>
      </c>
    </row>
    <row r="315" spans="1:24" x14ac:dyDescent="0.25">
      <c r="A315" s="1" t="s">
        <v>1193</v>
      </c>
      <c r="B315" t="str">
        <f>IFERROR(VLOOKUP(Master[[#This Row],[Cell_ID]],Registre_Maintenance[],2,FALSE),"")</f>
        <v>Tshopo</v>
      </c>
      <c r="C315" s="1" t="s">
        <v>1214</v>
      </c>
      <c r="D315" s="2">
        <v>45224.115277777782</v>
      </c>
      <c r="E315" s="3">
        <v>45224.115277777782</v>
      </c>
      <c r="F315">
        <v>45</v>
      </c>
      <c r="G315">
        <f>Master[[#This Row],[Duree_Panne_Min]]/60</f>
        <v>0.75</v>
      </c>
      <c r="H315" s="1" t="s">
        <v>735</v>
      </c>
      <c r="I315">
        <f>IFERROR(VLOOKUP(Master[[#This Row],[Cell_ID]],Registre_Maintenance[],3,FALSE),"")</f>
        <v>-11.265995</v>
      </c>
      <c r="J315">
        <f>IFERROR(VLOOKUP(Master[[#This Row],[Cell_ID]],Registre_Maintenance[],4,FALSE),"")</f>
        <v>28.935514999999999</v>
      </c>
      <c r="K315" t="str">
        <f>IFERROR(VLOOKUP(Master[[#This Row],[Cell_ID]],Registre_Maintenance[],5,FALSE),"")</f>
        <v>4G</v>
      </c>
      <c r="L315" t="str">
        <f>IFERROR(VLOOKUP(Master[[#This Row],[Cell_ID]],Registre_Maintenance[],6,FALSE),"")</f>
        <v>Ericsson</v>
      </c>
      <c r="M315" s="1" t="str">
        <f>VLOOKUP(Master[[#This Row],[Province_RDC]],Client[],2,FALSE)</f>
        <v>CLI-00745</v>
      </c>
      <c r="N315" s="1">
        <f>VLOOKUP(Master[[#This Row],[Province_RDC]],Client[],3,FALSE)</f>
        <v>6</v>
      </c>
      <c r="O315" s="1" t="str">
        <f>VLOOKUP(Master[[#This Row],[Province_RDC]],Client[],4,FALSE)</f>
        <v>Premium 5G 150Go</v>
      </c>
      <c r="P315" s="1">
        <f>VLOOKUP(Master[[#This Row],[Province_RDC]],Client[],5,FALSE)</f>
        <v>207</v>
      </c>
      <c r="Q315" s="1">
        <f>VLOOKUP(Master[[#This Row],[Province_RDC]],Client[],6,FALSE)</f>
        <v>61.55</v>
      </c>
      <c r="R315" s="1">
        <f>VLOOKUP(Master[[#This Row],[Province_RDC]],Client[],7,FALSE)</f>
        <v>0</v>
      </c>
      <c r="S315" s="1" t="str">
        <f>IF(Master[[#This Row],[Type_Forfait]]="Pro Monde","B2B","B2C")</f>
        <v>B2C</v>
      </c>
      <c r="T315" s="1">
        <f>Master[[#This Row],[Anciennete_Mois]]/12</f>
        <v>0.5</v>
      </c>
      <c r="U315" s="1">
        <f>Master[[#This Row],[Duree_Cumule_Panne_Min]]/60</f>
        <v>3.45</v>
      </c>
      <c r="V31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15" s="6">
        <f>Master[[#This Row],[Facture_Mensuelle]]*Master[[#This Row],[Remise]]</f>
        <v>0</v>
      </c>
    </row>
    <row r="316" spans="1:24" x14ac:dyDescent="0.25">
      <c r="A316" s="1" t="s">
        <v>1361</v>
      </c>
      <c r="B316" t="str">
        <f>IFERROR(VLOOKUP(Master[[#This Row],[Cell_ID]],Registre_Maintenance[],2,FALSE),"")</f>
        <v>Sud-Ubangi</v>
      </c>
      <c r="C316" s="1" t="s">
        <v>941</v>
      </c>
      <c r="D316" s="2">
        <v>45211.904861111107</v>
      </c>
      <c r="E316" s="3">
        <v>45211.904861111107</v>
      </c>
      <c r="F316">
        <v>45</v>
      </c>
      <c r="G316">
        <f>Master[[#This Row],[Duree_Panne_Min]]/60</f>
        <v>0.75</v>
      </c>
      <c r="H316" s="1" t="s">
        <v>737</v>
      </c>
      <c r="I316">
        <f>IFERROR(VLOOKUP(Master[[#This Row],[Cell_ID]],Registre_Maintenance[],3,FALSE),"")</f>
        <v>-12.342053999999999</v>
      </c>
      <c r="J316">
        <f>IFERROR(VLOOKUP(Master[[#This Row],[Cell_ID]],Registre_Maintenance[],4,FALSE),"")</f>
        <v>18.756862000000002</v>
      </c>
      <c r="K316" t="str">
        <f>IFERROR(VLOOKUP(Master[[#This Row],[Cell_ID]],Registre_Maintenance[],5,FALSE),"")</f>
        <v>3G</v>
      </c>
      <c r="L316" t="str">
        <f>IFERROR(VLOOKUP(Master[[#This Row],[Cell_ID]],Registre_Maintenance[],6,FALSE),"")</f>
        <v>Ericsson</v>
      </c>
      <c r="M316" s="1" t="str">
        <f>VLOOKUP(Master[[#This Row],[Province_RDC]],Client[],2,FALSE)</f>
        <v>CLI-00280</v>
      </c>
      <c r="N316" s="1">
        <f>VLOOKUP(Master[[#This Row],[Province_RDC]],Client[],3,FALSE)</f>
        <v>113</v>
      </c>
      <c r="O316" s="1" t="str">
        <f>VLOOKUP(Master[[#This Row],[Province_RDC]],Client[],4,FALSE)</f>
        <v>Illimité 50Go</v>
      </c>
      <c r="P316" s="1">
        <f>VLOOKUP(Master[[#This Row],[Province_RDC]],Client[],5,FALSE)</f>
        <v>380</v>
      </c>
      <c r="Q316" s="1">
        <f>VLOOKUP(Master[[#This Row],[Province_RDC]],Client[],6,FALSE)</f>
        <v>12.11</v>
      </c>
      <c r="R316" s="1">
        <f>VLOOKUP(Master[[#This Row],[Province_RDC]],Client[],7,FALSE)</f>
        <v>0</v>
      </c>
      <c r="S316" s="1" t="str">
        <f>IF(Master[[#This Row],[Type_Forfait]]="Pro Monde","B2B","B2C")</f>
        <v>B2C</v>
      </c>
      <c r="T316" s="1">
        <f>Master[[#This Row],[Anciennete_Mois]]/12</f>
        <v>9.4166666666666661</v>
      </c>
      <c r="U316" s="1">
        <f>Master[[#This Row],[Duree_Cumule_Panne_Min]]/60</f>
        <v>6.333333333333333</v>
      </c>
      <c r="V31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6" s="6">
        <f>Master[[#This Row],[Facture_Mensuelle]]*Master[[#This Row],[Remise]]</f>
        <v>5.4494999999999996</v>
      </c>
    </row>
    <row r="317" spans="1:24" x14ac:dyDescent="0.25">
      <c r="A317" s="1" t="s">
        <v>1086</v>
      </c>
      <c r="B317" t="str">
        <f>IFERROR(VLOOKUP(Master[[#This Row],[Cell_ID]],Registre_Maintenance[],2,FALSE),"")</f>
        <v>Haut-Lomami</v>
      </c>
      <c r="C317" s="1" t="s">
        <v>923</v>
      </c>
      <c r="D317" s="2">
        <v>45210.926388888889</v>
      </c>
      <c r="E317" s="3">
        <v>45210.926388888889</v>
      </c>
      <c r="F317">
        <v>45</v>
      </c>
      <c r="G317">
        <f>Master[[#This Row],[Duree_Panne_Min]]/60</f>
        <v>0.75</v>
      </c>
      <c r="H317" s="1" t="s">
        <v>735</v>
      </c>
      <c r="I317">
        <f>IFERROR(VLOOKUP(Master[[#This Row],[Cell_ID]],Registre_Maintenance[],3,FALSE),"")</f>
        <v>1.210869</v>
      </c>
      <c r="J317">
        <f>IFERROR(VLOOKUP(Master[[#This Row],[Cell_ID]],Registre_Maintenance[],4,FALSE),"")</f>
        <v>25.598741</v>
      </c>
      <c r="K317" t="str">
        <f>IFERROR(VLOOKUP(Master[[#This Row],[Cell_ID]],Registre_Maintenance[],5,FALSE),"")</f>
        <v>4G</v>
      </c>
      <c r="L317" t="str">
        <f>IFERROR(VLOOKUP(Master[[#This Row],[Cell_ID]],Registre_Maintenance[],6,FALSE),"")</f>
        <v>Ericsson</v>
      </c>
      <c r="M317" s="1" t="str">
        <f>VLOOKUP(Master[[#This Row],[Province_RDC]],Client[],2,FALSE)</f>
        <v>CLI-01325</v>
      </c>
      <c r="N317" s="1">
        <f>VLOOKUP(Master[[#This Row],[Province_RDC]],Client[],3,FALSE)</f>
        <v>44</v>
      </c>
      <c r="O317" s="1" t="str">
        <f>VLOOKUP(Master[[#This Row],[Province_RDC]],Client[],4,FALSE)</f>
        <v>Bloqué 5Go</v>
      </c>
      <c r="P317" s="1">
        <f>VLOOKUP(Master[[#This Row],[Province_RDC]],Client[],5,FALSE)</f>
        <v>348</v>
      </c>
      <c r="Q317" s="1">
        <f>VLOOKUP(Master[[#This Row],[Province_RDC]],Client[],6,FALSE)</f>
        <v>58.67</v>
      </c>
      <c r="R317" s="1">
        <f>VLOOKUP(Master[[#This Row],[Province_RDC]],Client[],7,FALSE)</f>
        <v>0</v>
      </c>
      <c r="S317" s="1" t="str">
        <f>IF(Master[[#This Row],[Type_Forfait]]="Pro Monde","B2B","B2C")</f>
        <v>B2C</v>
      </c>
      <c r="T317" s="1">
        <f>Master[[#This Row],[Anciennete_Mois]]/12</f>
        <v>3.6666666666666665</v>
      </c>
      <c r="U317" s="1">
        <f>Master[[#This Row],[Duree_Cumule_Panne_Min]]/60</f>
        <v>5.8</v>
      </c>
      <c r="V31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7" s="6">
        <f>Master[[#This Row],[Facture_Mensuelle]]*Master[[#This Row],[Remise]]</f>
        <v>26.401500000000002</v>
      </c>
    </row>
    <row r="318" spans="1:24" x14ac:dyDescent="0.25">
      <c r="A318" s="1" t="s">
        <v>1086</v>
      </c>
      <c r="B318" t="str">
        <f>IFERROR(VLOOKUP(Master[[#This Row],[Cell_ID]],Registre_Maintenance[],2,FALSE),"")</f>
        <v>Haut-Lomami</v>
      </c>
      <c r="C318" s="1" t="s">
        <v>923</v>
      </c>
      <c r="D318" s="2">
        <v>45206.857638888891</v>
      </c>
      <c r="E318" s="3">
        <v>45206.857638888891</v>
      </c>
      <c r="F318">
        <v>45</v>
      </c>
      <c r="G318">
        <f>Master[[#This Row],[Duree_Panne_Min]]/60</f>
        <v>0.75</v>
      </c>
      <c r="H318" s="1" t="s">
        <v>737</v>
      </c>
      <c r="I318">
        <f>IFERROR(VLOOKUP(Master[[#This Row],[Cell_ID]],Registre_Maintenance[],3,FALSE),"")</f>
        <v>1.210869</v>
      </c>
      <c r="J318">
        <f>IFERROR(VLOOKUP(Master[[#This Row],[Cell_ID]],Registre_Maintenance[],4,FALSE),"")</f>
        <v>25.598741</v>
      </c>
      <c r="K318" t="str">
        <f>IFERROR(VLOOKUP(Master[[#This Row],[Cell_ID]],Registre_Maintenance[],5,FALSE),"")</f>
        <v>4G</v>
      </c>
      <c r="L318" t="str">
        <f>IFERROR(VLOOKUP(Master[[#This Row],[Cell_ID]],Registre_Maintenance[],6,FALSE),"")</f>
        <v>Ericsson</v>
      </c>
      <c r="M318" s="1" t="str">
        <f>VLOOKUP(Master[[#This Row],[Province_RDC]],Client[],2,FALSE)</f>
        <v>CLI-01325</v>
      </c>
      <c r="N318" s="1">
        <f>VLOOKUP(Master[[#This Row],[Province_RDC]],Client[],3,FALSE)</f>
        <v>44</v>
      </c>
      <c r="O318" s="1" t="str">
        <f>VLOOKUP(Master[[#This Row],[Province_RDC]],Client[],4,FALSE)</f>
        <v>Bloqué 5Go</v>
      </c>
      <c r="P318" s="1">
        <f>VLOOKUP(Master[[#This Row],[Province_RDC]],Client[],5,FALSE)</f>
        <v>348</v>
      </c>
      <c r="Q318" s="1">
        <f>VLOOKUP(Master[[#This Row],[Province_RDC]],Client[],6,FALSE)</f>
        <v>58.67</v>
      </c>
      <c r="R318" s="1">
        <f>VLOOKUP(Master[[#This Row],[Province_RDC]],Client[],7,FALSE)</f>
        <v>0</v>
      </c>
      <c r="S318" s="1" t="str">
        <f>IF(Master[[#This Row],[Type_Forfait]]="Pro Monde","B2B","B2C")</f>
        <v>B2C</v>
      </c>
      <c r="T318" s="1">
        <f>Master[[#This Row],[Anciennete_Mois]]/12</f>
        <v>3.6666666666666665</v>
      </c>
      <c r="U318" s="1">
        <f>Master[[#This Row],[Duree_Cumule_Panne_Min]]/60</f>
        <v>5.8</v>
      </c>
      <c r="V31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18" s="6">
        <f>Master[[#This Row],[Facture_Mensuelle]]*Master[[#This Row],[Remise]]</f>
        <v>26.401500000000002</v>
      </c>
    </row>
    <row r="319" spans="1:24" x14ac:dyDescent="0.25">
      <c r="A319" s="1" t="s">
        <v>1308</v>
      </c>
      <c r="B319" t="str">
        <f>IFERROR(VLOOKUP(Master[[#This Row],[Cell_ID]],Registre_Maintenance[],2,FALSE),"")</f>
        <v>Tshopo</v>
      </c>
      <c r="C319" s="1" t="s">
        <v>1214</v>
      </c>
      <c r="D319" s="2">
        <v>45228.563194444447</v>
      </c>
      <c r="E319" s="3">
        <v>45228.563194444447</v>
      </c>
      <c r="F319">
        <v>44</v>
      </c>
      <c r="G319">
        <f>Master[[#This Row],[Duree_Panne_Min]]/60</f>
        <v>0.73333333333333328</v>
      </c>
      <c r="H319" s="1" t="s">
        <v>732</v>
      </c>
      <c r="I319">
        <f>IFERROR(VLOOKUP(Master[[#This Row],[Cell_ID]],Registre_Maintenance[],3,FALSE),"")</f>
        <v>-11.265995</v>
      </c>
      <c r="J319">
        <f>IFERROR(VLOOKUP(Master[[#This Row],[Cell_ID]],Registre_Maintenance[],4,FALSE),"")</f>
        <v>28.935514999999999</v>
      </c>
      <c r="K319" t="str">
        <f>IFERROR(VLOOKUP(Master[[#This Row],[Cell_ID]],Registre_Maintenance[],5,FALSE),"")</f>
        <v>4G</v>
      </c>
      <c r="L319" t="str">
        <f>IFERROR(VLOOKUP(Master[[#This Row],[Cell_ID]],Registre_Maintenance[],6,FALSE),"")</f>
        <v>Ericsson</v>
      </c>
      <c r="M319" s="1" t="str">
        <f>VLOOKUP(Master[[#This Row],[Province_RDC]],Client[],2,FALSE)</f>
        <v>CLI-00745</v>
      </c>
      <c r="N319" s="1">
        <f>VLOOKUP(Master[[#This Row],[Province_RDC]],Client[],3,FALSE)</f>
        <v>6</v>
      </c>
      <c r="O319" s="1" t="str">
        <f>VLOOKUP(Master[[#This Row],[Province_RDC]],Client[],4,FALSE)</f>
        <v>Premium 5G 150Go</v>
      </c>
      <c r="P319" s="1">
        <f>VLOOKUP(Master[[#This Row],[Province_RDC]],Client[],5,FALSE)</f>
        <v>207</v>
      </c>
      <c r="Q319" s="1">
        <f>VLOOKUP(Master[[#This Row],[Province_RDC]],Client[],6,FALSE)</f>
        <v>61.55</v>
      </c>
      <c r="R319" s="1">
        <f>VLOOKUP(Master[[#This Row],[Province_RDC]],Client[],7,FALSE)</f>
        <v>0</v>
      </c>
      <c r="S319" s="1" t="str">
        <f>IF(Master[[#This Row],[Type_Forfait]]="Pro Monde","B2B","B2C")</f>
        <v>B2C</v>
      </c>
      <c r="T319" s="1">
        <f>Master[[#This Row],[Anciennete_Mois]]/12</f>
        <v>0.5</v>
      </c>
      <c r="U319" s="1">
        <f>Master[[#This Row],[Duree_Cumule_Panne_Min]]/60</f>
        <v>3.45</v>
      </c>
      <c r="V31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1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19" s="6">
        <f>Master[[#This Row],[Facture_Mensuelle]]*Master[[#This Row],[Remise]]</f>
        <v>0</v>
      </c>
    </row>
    <row r="320" spans="1:24" x14ac:dyDescent="0.25">
      <c r="A320" s="1" t="s">
        <v>1024</v>
      </c>
      <c r="B320" t="str">
        <f>IFERROR(VLOOKUP(Master[[#This Row],[Cell_ID]],Registre_Maintenance[],2,FALSE),"")</f>
        <v>Sud-Kivu</v>
      </c>
      <c r="C320" s="1" t="s">
        <v>1058</v>
      </c>
      <c r="D320" s="2">
        <v>45225.147222222222</v>
      </c>
      <c r="E320" s="3">
        <v>45225.147222222222</v>
      </c>
      <c r="F320">
        <v>44</v>
      </c>
      <c r="G320">
        <f>Master[[#This Row],[Duree_Panne_Min]]/60</f>
        <v>0.73333333333333328</v>
      </c>
      <c r="H320" s="1" t="s">
        <v>732</v>
      </c>
      <c r="I320">
        <f>IFERROR(VLOOKUP(Master[[#This Row],[Cell_ID]],Registre_Maintenance[],3,FALSE),"")</f>
        <v>4.2904629999999999</v>
      </c>
      <c r="J320">
        <f>IFERROR(VLOOKUP(Master[[#This Row],[Cell_ID]],Registre_Maintenance[],4,FALSE),"")</f>
        <v>26.354195000000001</v>
      </c>
      <c r="K320" t="str">
        <f>IFERROR(VLOOKUP(Master[[#This Row],[Cell_ID]],Registre_Maintenance[],5,FALSE),"")</f>
        <v>3G</v>
      </c>
      <c r="L320" t="str">
        <f>IFERROR(VLOOKUP(Master[[#This Row],[Cell_ID]],Registre_Maintenance[],6,FALSE),"")</f>
        <v>Ericsson</v>
      </c>
      <c r="M320" s="1" t="str">
        <f>VLOOKUP(Master[[#This Row],[Province_RDC]],Client[],2,FALSE)</f>
        <v>CLI-01855</v>
      </c>
      <c r="N320" s="1">
        <f>VLOOKUP(Master[[#This Row],[Province_RDC]],Client[],3,FALSE)</f>
        <v>101</v>
      </c>
      <c r="O320" s="1" t="str">
        <f>VLOOKUP(Master[[#This Row],[Province_RDC]],Client[],4,FALSE)</f>
        <v>Illimité 50Go</v>
      </c>
      <c r="P320" s="1">
        <f>VLOOKUP(Master[[#This Row],[Province_RDC]],Client[],5,FALSE)</f>
        <v>358</v>
      </c>
      <c r="Q320" s="1">
        <f>VLOOKUP(Master[[#This Row],[Province_RDC]],Client[],6,FALSE)</f>
        <v>29.24</v>
      </c>
      <c r="R320" s="1">
        <f>VLOOKUP(Master[[#This Row],[Province_RDC]],Client[],7,FALSE)</f>
        <v>3</v>
      </c>
      <c r="S320" s="1" t="str">
        <f>IF(Master[[#This Row],[Type_Forfait]]="Pro Monde","B2B","B2C")</f>
        <v>B2C</v>
      </c>
      <c r="T320" s="1">
        <f>Master[[#This Row],[Anciennete_Mois]]/12</f>
        <v>8.4166666666666661</v>
      </c>
      <c r="U320" s="1">
        <f>Master[[#This Row],[Duree_Cumule_Panne_Min]]/60</f>
        <v>5.9666666666666668</v>
      </c>
      <c r="V32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0" s="6">
        <f>Master[[#This Row],[Facture_Mensuelle]]*Master[[#This Row],[Remise]]</f>
        <v>13.157999999999999</v>
      </c>
    </row>
    <row r="321" spans="1:24" x14ac:dyDescent="0.25">
      <c r="A321" s="1" t="s">
        <v>1330</v>
      </c>
      <c r="B321" t="str">
        <f>IFERROR(VLOOKUP(Master[[#This Row],[Cell_ID]],Registre_Maintenance[],2,FALSE),"")</f>
        <v>Sud-Kivu</v>
      </c>
      <c r="C321" s="1" t="s">
        <v>843</v>
      </c>
      <c r="D321" s="2">
        <v>45218.007638888892</v>
      </c>
      <c r="E321" s="3">
        <v>45218.007638888892</v>
      </c>
      <c r="F321">
        <v>44</v>
      </c>
      <c r="G321">
        <f>Master[[#This Row],[Duree_Panne_Min]]/60</f>
        <v>0.73333333333333328</v>
      </c>
      <c r="H321" s="1" t="s">
        <v>735</v>
      </c>
      <c r="I321">
        <f>IFERROR(VLOOKUP(Master[[#This Row],[Cell_ID]],Registre_Maintenance[],3,FALSE),"")</f>
        <v>-9.4702129999999993</v>
      </c>
      <c r="J321">
        <f>IFERROR(VLOOKUP(Master[[#This Row],[Cell_ID]],Registre_Maintenance[],4,FALSE),"")</f>
        <v>12.826158</v>
      </c>
      <c r="K321" t="str">
        <f>IFERROR(VLOOKUP(Master[[#This Row],[Cell_ID]],Registre_Maintenance[],5,FALSE),"")</f>
        <v>3G</v>
      </c>
      <c r="L321" t="str">
        <f>IFERROR(VLOOKUP(Master[[#This Row],[Cell_ID]],Registre_Maintenance[],6,FALSE),"")</f>
        <v>Ericsson</v>
      </c>
      <c r="M321" s="1" t="str">
        <f>VLOOKUP(Master[[#This Row],[Province_RDC]],Client[],2,FALSE)</f>
        <v>CLI-01855</v>
      </c>
      <c r="N321" s="1">
        <f>VLOOKUP(Master[[#This Row],[Province_RDC]],Client[],3,FALSE)</f>
        <v>101</v>
      </c>
      <c r="O321" s="1" t="str">
        <f>VLOOKUP(Master[[#This Row],[Province_RDC]],Client[],4,FALSE)</f>
        <v>Illimité 50Go</v>
      </c>
      <c r="P321" s="1">
        <f>VLOOKUP(Master[[#This Row],[Province_RDC]],Client[],5,FALSE)</f>
        <v>358</v>
      </c>
      <c r="Q321" s="1">
        <f>VLOOKUP(Master[[#This Row],[Province_RDC]],Client[],6,FALSE)</f>
        <v>29.24</v>
      </c>
      <c r="R321" s="1">
        <f>VLOOKUP(Master[[#This Row],[Province_RDC]],Client[],7,FALSE)</f>
        <v>3</v>
      </c>
      <c r="S321" s="1" t="str">
        <f>IF(Master[[#This Row],[Type_Forfait]]="Pro Monde","B2B","B2C")</f>
        <v>B2C</v>
      </c>
      <c r="T321" s="1">
        <f>Master[[#This Row],[Anciennete_Mois]]/12</f>
        <v>8.4166666666666661</v>
      </c>
      <c r="U321" s="1">
        <f>Master[[#This Row],[Duree_Cumule_Panne_Min]]/60</f>
        <v>5.9666666666666668</v>
      </c>
      <c r="V32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1" s="6">
        <f>Master[[#This Row],[Facture_Mensuelle]]*Master[[#This Row],[Remise]]</f>
        <v>13.157999999999999</v>
      </c>
    </row>
    <row r="322" spans="1:24" x14ac:dyDescent="0.25">
      <c r="A322" s="1" t="s">
        <v>1404</v>
      </c>
      <c r="B322" t="str">
        <f>IFERROR(VLOOKUP(Master[[#This Row],[Cell_ID]],Registre_Maintenance[],2,FALSE),"")</f>
        <v>Kasai-Central</v>
      </c>
      <c r="C322" s="1" t="s">
        <v>1397</v>
      </c>
      <c r="D322" s="2">
        <v>45208.558333333327</v>
      </c>
      <c r="E322" s="3">
        <v>45208.558333333327</v>
      </c>
      <c r="F322">
        <v>44</v>
      </c>
      <c r="G322">
        <f>Master[[#This Row],[Duree_Panne_Min]]/60</f>
        <v>0.73333333333333328</v>
      </c>
      <c r="H322" s="1" t="s">
        <v>737</v>
      </c>
      <c r="I322">
        <f>IFERROR(VLOOKUP(Master[[#This Row],[Cell_ID]],Registre_Maintenance[],3,FALSE),"")</f>
        <v>-8.0800809999999998</v>
      </c>
      <c r="J322">
        <f>IFERROR(VLOOKUP(Master[[#This Row],[Cell_ID]],Registre_Maintenance[],4,FALSE),"")</f>
        <v>30.147970999999998</v>
      </c>
      <c r="K322" t="str">
        <f>IFERROR(VLOOKUP(Master[[#This Row],[Cell_ID]],Registre_Maintenance[],5,FALSE),"")</f>
        <v>5G</v>
      </c>
      <c r="L322" t="str">
        <f>IFERROR(VLOOKUP(Master[[#This Row],[Cell_ID]],Registre_Maintenance[],6,FALSE),"")</f>
        <v>Huawei</v>
      </c>
      <c r="M322" s="1" t="str">
        <f>VLOOKUP(Master[[#This Row],[Province_RDC]],Client[],2,FALSE)</f>
        <v>CLI-00060</v>
      </c>
      <c r="N322" s="1">
        <f>VLOOKUP(Master[[#This Row],[Province_RDC]],Client[],3,FALSE)</f>
        <v>72</v>
      </c>
      <c r="O322" s="1" t="str">
        <f>VLOOKUP(Master[[#This Row],[Province_RDC]],Client[],4,FALSE)</f>
        <v>Pro Monde</v>
      </c>
      <c r="P322" s="1">
        <f>VLOOKUP(Master[[#This Row],[Province_RDC]],Client[],5,FALSE)</f>
        <v>160</v>
      </c>
      <c r="Q322" s="1">
        <f>VLOOKUP(Master[[#This Row],[Province_RDC]],Client[],6,FALSE)</f>
        <v>90.13</v>
      </c>
      <c r="R322" s="1">
        <f>VLOOKUP(Master[[#This Row],[Province_RDC]],Client[],7,FALSE)</f>
        <v>2</v>
      </c>
      <c r="S322" s="1" t="str">
        <f>IF(Master[[#This Row],[Type_Forfait]]="Pro Monde","B2B","B2C")</f>
        <v>B2B</v>
      </c>
      <c r="T322" s="1">
        <f>Master[[#This Row],[Anciennete_Mois]]/12</f>
        <v>6</v>
      </c>
      <c r="U322" s="1">
        <f>Master[[#This Row],[Duree_Cumule_Panne_Min]]/60</f>
        <v>2.6666666666666665</v>
      </c>
      <c r="V32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2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22" s="6">
        <f>Master[[#This Row],[Facture_Mensuelle]]*Master[[#This Row],[Remise]]</f>
        <v>9.0129999999999999</v>
      </c>
    </row>
    <row r="323" spans="1:24" x14ac:dyDescent="0.25">
      <c r="A323" s="1" t="s">
        <v>939</v>
      </c>
      <c r="B323" t="str">
        <f>IFERROR(VLOOKUP(Master[[#This Row],[Cell_ID]],Registre_Maintenance[],2,FALSE),"")</f>
        <v>Sud-Ubangi</v>
      </c>
      <c r="C323" s="1" t="s">
        <v>941</v>
      </c>
      <c r="D323" s="2">
        <v>45210.280555555553</v>
      </c>
      <c r="E323" s="3">
        <v>45210.280555555553</v>
      </c>
      <c r="F323">
        <v>43</v>
      </c>
      <c r="G323">
        <f>Master[[#This Row],[Duree_Panne_Min]]/60</f>
        <v>0.71666666666666667</v>
      </c>
      <c r="H323" s="1" t="s">
        <v>735</v>
      </c>
      <c r="I323">
        <f>IFERROR(VLOOKUP(Master[[#This Row],[Cell_ID]],Registre_Maintenance[],3,FALSE),"")</f>
        <v>-12.342053999999999</v>
      </c>
      <c r="J323">
        <f>IFERROR(VLOOKUP(Master[[#This Row],[Cell_ID]],Registre_Maintenance[],4,FALSE),"")</f>
        <v>18.756862000000002</v>
      </c>
      <c r="K323" t="str">
        <f>IFERROR(VLOOKUP(Master[[#This Row],[Cell_ID]],Registre_Maintenance[],5,FALSE),"")</f>
        <v>3G</v>
      </c>
      <c r="L323" t="str">
        <f>IFERROR(VLOOKUP(Master[[#This Row],[Cell_ID]],Registre_Maintenance[],6,FALSE),"")</f>
        <v>Ericsson</v>
      </c>
      <c r="M323" s="1" t="str">
        <f>VLOOKUP(Master[[#This Row],[Province_RDC]],Client[],2,FALSE)</f>
        <v>CLI-00280</v>
      </c>
      <c r="N323" s="1">
        <f>VLOOKUP(Master[[#This Row],[Province_RDC]],Client[],3,FALSE)</f>
        <v>113</v>
      </c>
      <c r="O323" s="1" t="str">
        <f>VLOOKUP(Master[[#This Row],[Province_RDC]],Client[],4,FALSE)</f>
        <v>Illimité 50Go</v>
      </c>
      <c r="P323" s="1">
        <f>VLOOKUP(Master[[#This Row],[Province_RDC]],Client[],5,FALSE)</f>
        <v>380</v>
      </c>
      <c r="Q323" s="1">
        <f>VLOOKUP(Master[[#This Row],[Province_RDC]],Client[],6,FALSE)</f>
        <v>12.11</v>
      </c>
      <c r="R323" s="1">
        <f>VLOOKUP(Master[[#This Row],[Province_RDC]],Client[],7,FALSE)</f>
        <v>0</v>
      </c>
      <c r="S323" s="1" t="str">
        <f>IF(Master[[#This Row],[Type_Forfait]]="Pro Monde","B2B","B2C")</f>
        <v>B2C</v>
      </c>
      <c r="T323" s="1">
        <f>Master[[#This Row],[Anciennete_Mois]]/12</f>
        <v>9.4166666666666661</v>
      </c>
      <c r="U323" s="1">
        <f>Master[[#This Row],[Duree_Cumule_Panne_Min]]/60</f>
        <v>6.333333333333333</v>
      </c>
      <c r="V32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3" s="6">
        <f>Master[[#This Row],[Facture_Mensuelle]]*Master[[#This Row],[Remise]]</f>
        <v>5.4494999999999996</v>
      </c>
    </row>
    <row r="324" spans="1:24" x14ac:dyDescent="0.25">
      <c r="A324" s="1" t="s">
        <v>1086</v>
      </c>
      <c r="B324" t="str">
        <f>IFERROR(VLOOKUP(Master[[#This Row],[Cell_ID]],Registre_Maintenance[],2,FALSE),"")</f>
        <v>Sankuru</v>
      </c>
      <c r="C324" s="1" t="s">
        <v>1095</v>
      </c>
      <c r="D324" s="2">
        <v>45228.086111111108</v>
      </c>
      <c r="E324" s="3">
        <v>45228.086111111108</v>
      </c>
      <c r="F324">
        <v>43</v>
      </c>
      <c r="G324">
        <f>Master[[#This Row],[Duree_Panne_Min]]/60</f>
        <v>0.71666666666666667</v>
      </c>
      <c r="H324" s="1" t="s">
        <v>737</v>
      </c>
      <c r="I324">
        <f>IFERROR(VLOOKUP(Master[[#This Row],[Cell_ID]],Registre_Maintenance[],3,FALSE),"")</f>
        <v>-6.4883290000000002</v>
      </c>
      <c r="J324">
        <f>IFERROR(VLOOKUP(Master[[#This Row],[Cell_ID]],Registre_Maintenance[],4,FALSE),"")</f>
        <v>25.103404000000001</v>
      </c>
      <c r="K324" t="str">
        <f>IFERROR(VLOOKUP(Master[[#This Row],[Cell_ID]],Registre_Maintenance[],5,FALSE),"")</f>
        <v>5G</v>
      </c>
      <c r="L324" t="str">
        <f>IFERROR(VLOOKUP(Master[[#This Row],[Cell_ID]],Registre_Maintenance[],6,FALSE),"")</f>
        <v>ZTE</v>
      </c>
      <c r="M324" s="1" t="str">
        <f>VLOOKUP(Master[[#This Row],[Province_RDC]],Client[],2,FALSE)</f>
        <v>CLI-00530</v>
      </c>
      <c r="N324" s="1">
        <f>VLOOKUP(Master[[#This Row],[Province_RDC]],Client[],3,FALSE)</f>
        <v>35</v>
      </c>
      <c r="O324" s="1" t="str">
        <f>VLOOKUP(Master[[#This Row],[Province_RDC]],Client[],4,FALSE)</f>
        <v>Pro Monde</v>
      </c>
      <c r="P324" s="1">
        <f>VLOOKUP(Master[[#This Row],[Province_RDC]],Client[],5,FALSE)</f>
        <v>465</v>
      </c>
      <c r="Q324" s="1">
        <f>VLOOKUP(Master[[#This Row],[Province_RDC]],Client[],6,FALSE)</f>
        <v>58.59</v>
      </c>
      <c r="R324" s="1">
        <f>VLOOKUP(Master[[#This Row],[Province_RDC]],Client[],7,FALSE)</f>
        <v>5</v>
      </c>
      <c r="S324" s="1" t="str">
        <f>IF(Master[[#This Row],[Type_Forfait]]="Pro Monde","B2B","B2C")</f>
        <v>B2B</v>
      </c>
      <c r="T324" s="1">
        <f>Master[[#This Row],[Anciennete_Mois]]/12</f>
        <v>2.9166666666666665</v>
      </c>
      <c r="U324" s="1">
        <f>Master[[#This Row],[Duree_Cumule_Panne_Min]]/60</f>
        <v>7.75</v>
      </c>
      <c r="V32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4" s="6">
        <f>Master[[#This Row],[Facture_Mensuelle]]*Master[[#This Row],[Remise]]</f>
        <v>26.365500000000001</v>
      </c>
    </row>
    <row r="325" spans="1:24" x14ac:dyDescent="0.25">
      <c r="A325" s="1" t="s">
        <v>978</v>
      </c>
      <c r="B325" t="str">
        <f>IFERROR(VLOOKUP(Master[[#This Row],[Cell_ID]],Registre_Maintenance[],2,FALSE),"")</f>
        <v>Maniema</v>
      </c>
      <c r="C325" s="1" t="s">
        <v>886</v>
      </c>
      <c r="D325" s="2">
        <v>45224.201388888891</v>
      </c>
      <c r="E325" s="3">
        <v>45224.201388888891</v>
      </c>
      <c r="F325">
        <v>43</v>
      </c>
      <c r="G325">
        <f>Master[[#This Row],[Duree_Panne_Min]]/60</f>
        <v>0.71666666666666667</v>
      </c>
      <c r="H325" s="1" t="s">
        <v>737</v>
      </c>
      <c r="I325">
        <f>IFERROR(VLOOKUP(Master[[#This Row],[Cell_ID]],Registre_Maintenance[],3,FALSE),"")</f>
        <v>-4.6818410000000004</v>
      </c>
      <c r="J325">
        <f>IFERROR(VLOOKUP(Master[[#This Row],[Cell_ID]],Registre_Maintenance[],4,FALSE),"")</f>
        <v>17.541618</v>
      </c>
      <c r="K325" t="str">
        <f>IFERROR(VLOOKUP(Master[[#This Row],[Cell_ID]],Registre_Maintenance[],5,FALSE),"")</f>
        <v>4G</v>
      </c>
      <c r="L325" t="str">
        <f>IFERROR(VLOOKUP(Master[[#This Row],[Cell_ID]],Registre_Maintenance[],6,FALSE),"")</f>
        <v>Ericsson</v>
      </c>
      <c r="M325" s="1" t="str">
        <f>VLOOKUP(Master[[#This Row],[Province_RDC]],Client[],2,FALSE)</f>
        <v>CLI-00185</v>
      </c>
      <c r="N325" s="1">
        <f>VLOOKUP(Master[[#This Row],[Province_RDC]],Client[],3,FALSE)</f>
        <v>81</v>
      </c>
      <c r="O325" s="1" t="str">
        <f>VLOOKUP(Master[[#This Row],[Province_RDC]],Client[],4,FALSE)</f>
        <v>Pro Monde</v>
      </c>
      <c r="P325" s="1">
        <f>VLOOKUP(Master[[#This Row],[Province_RDC]],Client[],5,FALSE)</f>
        <v>154</v>
      </c>
      <c r="Q325" s="1">
        <f>VLOOKUP(Master[[#This Row],[Province_RDC]],Client[],6,FALSE)</f>
        <v>19.47</v>
      </c>
      <c r="R325" s="1">
        <f>VLOOKUP(Master[[#This Row],[Province_RDC]],Client[],7,FALSE)</f>
        <v>3</v>
      </c>
      <c r="S325" s="1" t="str">
        <f>IF(Master[[#This Row],[Type_Forfait]]="Pro Monde","B2B","B2C")</f>
        <v>B2B</v>
      </c>
      <c r="T325" s="1">
        <f>Master[[#This Row],[Anciennete_Mois]]/12</f>
        <v>6.75</v>
      </c>
      <c r="U325" s="1">
        <f>Master[[#This Row],[Duree_Cumule_Panne_Min]]/60</f>
        <v>2.5666666666666669</v>
      </c>
      <c r="V32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2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25" s="6">
        <f>Master[[#This Row],[Facture_Mensuelle]]*Master[[#This Row],[Remise]]</f>
        <v>1.9470000000000001</v>
      </c>
    </row>
    <row r="326" spans="1:24" x14ac:dyDescent="0.25">
      <c r="A326" s="1" t="s">
        <v>779</v>
      </c>
      <c r="B326" t="str">
        <f>IFERROR(VLOOKUP(Master[[#This Row],[Cell_ID]],Registre_Maintenance[],2,FALSE),"")</f>
        <v>Kwango</v>
      </c>
      <c r="C326" s="1" t="s">
        <v>796</v>
      </c>
      <c r="D326" s="2">
        <v>45206.539583333331</v>
      </c>
      <c r="E326" s="3">
        <v>45206.539583333331</v>
      </c>
      <c r="F326">
        <v>43</v>
      </c>
      <c r="G326">
        <f>Master[[#This Row],[Duree_Panne_Min]]/60</f>
        <v>0.71666666666666667</v>
      </c>
      <c r="H326" s="1" t="s">
        <v>732</v>
      </c>
      <c r="I326">
        <f>IFERROR(VLOOKUP(Master[[#This Row],[Cell_ID]],Registre_Maintenance[],3,FALSE),"")</f>
        <v>-10.963041</v>
      </c>
      <c r="J326">
        <f>IFERROR(VLOOKUP(Master[[#This Row],[Cell_ID]],Registre_Maintenance[],4,FALSE),"")</f>
        <v>12.269857</v>
      </c>
      <c r="K326" t="str">
        <f>IFERROR(VLOOKUP(Master[[#This Row],[Cell_ID]],Registre_Maintenance[],5,FALSE),"")</f>
        <v>4G</v>
      </c>
      <c r="L326" t="str">
        <f>IFERROR(VLOOKUP(Master[[#This Row],[Cell_ID]],Registre_Maintenance[],6,FALSE),"")</f>
        <v>Huawei</v>
      </c>
      <c r="M326" s="1" t="str">
        <f>VLOOKUP(Master[[#This Row],[Province_RDC]],Client[],2,FALSE)</f>
        <v>CLI-00569</v>
      </c>
      <c r="N326" s="1">
        <f>VLOOKUP(Master[[#This Row],[Province_RDC]],Client[],3,FALSE)</f>
        <v>110</v>
      </c>
      <c r="O326" s="1" t="str">
        <f>VLOOKUP(Master[[#This Row],[Province_RDC]],Client[],4,FALSE)</f>
        <v>Pro Monde</v>
      </c>
      <c r="P326" s="1">
        <f>VLOOKUP(Master[[#This Row],[Province_RDC]],Client[],5,FALSE)</f>
        <v>423</v>
      </c>
      <c r="Q326" s="1">
        <f>VLOOKUP(Master[[#This Row],[Province_RDC]],Client[],6,FALSE)</f>
        <v>37.35</v>
      </c>
      <c r="R326" s="1">
        <f>VLOOKUP(Master[[#This Row],[Province_RDC]],Client[],7,FALSE)</f>
        <v>4</v>
      </c>
      <c r="S326" s="1" t="str">
        <f>IF(Master[[#This Row],[Type_Forfait]]="Pro Monde","B2B","B2C")</f>
        <v>B2B</v>
      </c>
      <c r="T326" s="1">
        <f>Master[[#This Row],[Anciennete_Mois]]/12</f>
        <v>9.1666666666666661</v>
      </c>
      <c r="U326" s="1">
        <f>Master[[#This Row],[Duree_Cumule_Panne_Min]]/60</f>
        <v>7.05</v>
      </c>
      <c r="V32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6" s="6">
        <f>Master[[#This Row],[Facture_Mensuelle]]*Master[[#This Row],[Remise]]</f>
        <v>16.807500000000001</v>
      </c>
    </row>
    <row r="327" spans="1:24" x14ac:dyDescent="0.25">
      <c r="A327" s="1" t="s">
        <v>730</v>
      </c>
      <c r="B327" t="str">
        <f>IFERROR(VLOOKUP(Master[[#This Row],[Cell_ID]],Registre_Maintenance[],2,FALSE),"")</f>
        <v>Tanganyika</v>
      </c>
      <c r="C327" s="1" t="s">
        <v>771</v>
      </c>
      <c r="D327" s="2">
        <v>45228.853472222218</v>
      </c>
      <c r="E327" s="3">
        <v>45228.853472222218</v>
      </c>
      <c r="F327">
        <v>42</v>
      </c>
      <c r="G327">
        <f>Master[[#This Row],[Duree_Panne_Min]]/60</f>
        <v>0.7</v>
      </c>
      <c r="H327" s="1" t="s">
        <v>732</v>
      </c>
      <c r="I327">
        <f>IFERROR(VLOOKUP(Master[[#This Row],[Cell_ID]],Registre_Maintenance[],3,FALSE),"")</f>
        <v>-10.776204</v>
      </c>
      <c r="J327">
        <f>IFERROR(VLOOKUP(Master[[#This Row],[Cell_ID]],Registre_Maintenance[],4,FALSE),"")</f>
        <v>24.672934000000001</v>
      </c>
      <c r="K327" t="str">
        <f>IFERROR(VLOOKUP(Master[[#This Row],[Cell_ID]],Registre_Maintenance[],5,FALSE),"")</f>
        <v>4G</v>
      </c>
      <c r="L327" t="str">
        <f>IFERROR(VLOOKUP(Master[[#This Row],[Cell_ID]],Registre_Maintenance[],6,FALSE),"")</f>
        <v>Ericsson</v>
      </c>
      <c r="M327" s="1" t="str">
        <f>VLOOKUP(Master[[#This Row],[Province_RDC]],Client[],2,FALSE)</f>
        <v>CLI-01618</v>
      </c>
      <c r="N327" s="1">
        <f>VLOOKUP(Master[[#This Row],[Province_RDC]],Client[],3,FALSE)</f>
        <v>115</v>
      </c>
      <c r="O327" s="1" t="str">
        <f>VLOOKUP(Master[[#This Row],[Province_RDC]],Client[],4,FALSE)</f>
        <v>Bloqué 5Go</v>
      </c>
      <c r="P327" s="1">
        <f>VLOOKUP(Master[[#This Row],[Province_RDC]],Client[],5,FALSE)</f>
        <v>176</v>
      </c>
      <c r="Q327" s="1">
        <f>VLOOKUP(Master[[#This Row],[Province_RDC]],Client[],6,FALSE)</f>
        <v>33.28</v>
      </c>
      <c r="R327" s="1">
        <f>VLOOKUP(Master[[#This Row],[Province_RDC]],Client[],7,FALSE)</f>
        <v>4</v>
      </c>
      <c r="S327" s="1" t="str">
        <f>IF(Master[[#This Row],[Type_Forfait]]="Pro Monde","B2B","B2C")</f>
        <v>B2C</v>
      </c>
      <c r="T327" s="1">
        <f>Master[[#This Row],[Anciennete_Mois]]/12</f>
        <v>9.5833333333333339</v>
      </c>
      <c r="U327" s="1">
        <f>Master[[#This Row],[Duree_Cumule_Panne_Min]]/60</f>
        <v>2.9333333333333331</v>
      </c>
      <c r="V32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2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27" s="6">
        <f>Master[[#This Row],[Facture_Mensuelle]]*Master[[#This Row],[Remise]]</f>
        <v>0</v>
      </c>
    </row>
    <row r="328" spans="1:24" x14ac:dyDescent="0.25">
      <c r="A328" s="1" t="s">
        <v>1308</v>
      </c>
      <c r="B328" t="str">
        <f>IFERROR(VLOOKUP(Master[[#This Row],[Cell_ID]],Registre_Maintenance[],2,FALSE),"")</f>
        <v>Sud-Ubangi</v>
      </c>
      <c r="C328" s="1" t="s">
        <v>1188</v>
      </c>
      <c r="D328" s="2">
        <v>45227.751388888893</v>
      </c>
      <c r="E328" s="3">
        <v>45227.751388888893</v>
      </c>
      <c r="F328">
        <v>42</v>
      </c>
      <c r="G328">
        <f>Master[[#This Row],[Duree_Panne_Min]]/60</f>
        <v>0.7</v>
      </c>
      <c r="H328" s="1" t="s">
        <v>732</v>
      </c>
      <c r="I328">
        <f>IFERROR(VLOOKUP(Master[[#This Row],[Cell_ID]],Registre_Maintenance[],3,FALSE),"")</f>
        <v>-12.050063</v>
      </c>
      <c r="J328">
        <f>IFERROR(VLOOKUP(Master[[#This Row],[Cell_ID]],Registre_Maintenance[],4,FALSE),"")</f>
        <v>26.636987999999999</v>
      </c>
      <c r="K328" t="str">
        <f>IFERROR(VLOOKUP(Master[[#This Row],[Cell_ID]],Registre_Maintenance[],5,FALSE),"")</f>
        <v>3G</v>
      </c>
      <c r="L328" t="str">
        <f>IFERROR(VLOOKUP(Master[[#This Row],[Cell_ID]],Registre_Maintenance[],6,FALSE),"")</f>
        <v>Nokia</v>
      </c>
      <c r="M328" s="1" t="str">
        <f>VLOOKUP(Master[[#This Row],[Province_RDC]],Client[],2,FALSE)</f>
        <v>CLI-00280</v>
      </c>
      <c r="N328" s="1">
        <f>VLOOKUP(Master[[#This Row],[Province_RDC]],Client[],3,FALSE)</f>
        <v>113</v>
      </c>
      <c r="O328" s="1" t="str">
        <f>VLOOKUP(Master[[#This Row],[Province_RDC]],Client[],4,FALSE)</f>
        <v>Illimité 50Go</v>
      </c>
      <c r="P328" s="1">
        <f>VLOOKUP(Master[[#This Row],[Province_RDC]],Client[],5,FALSE)</f>
        <v>380</v>
      </c>
      <c r="Q328" s="1">
        <f>VLOOKUP(Master[[#This Row],[Province_RDC]],Client[],6,FALSE)</f>
        <v>12.11</v>
      </c>
      <c r="R328" s="1">
        <f>VLOOKUP(Master[[#This Row],[Province_RDC]],Client[],7,FALSE)</f>
        <v>0</v>
      </c>
      <c r="S328" s="1" t="str">
        <f>IF(Master[[#This Row],[Type_Forfait]]="Pro Monde","B2B","B2C")</f>
        <v>B2C</v>
      </c>
      <c r="T328" s="1">
        <f>Master[[#This Row],[Anciennete_Mois]]/12</f>
        <v>9.4166666666666661</v>
      </c>
      <c r="U328" s="1">
        <f>Master[[#This Row],[Duree_Cumule_Panne_Min]]/60</f>
        <v>6.333333333333333</v>
      </c>
      <c r="V32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8" s="6">
        <f>Master[[#This Row],[Facture_Mensuelle]]*Master[[#This Row],[Remise]]</f>
        <v>5.4494999999999996</v>
      </c>
    </row>
    <row r="329" spans="1:24" x14ac:dyDescent="0.25">
      <c r="A329" s="1" t="s">
        <v>1193</v>
      </c>
      <c r="B329" t="str">
        <f>IFERROR(VLOOKUP(Master[[#This Row],[Cell_ID]],Registre_Maintenance[],2,FALSE),"")</f>
        <v>Sud-Ubangi</v>
      </c>
      <c r="C329" s="1" t="s">
        <v>1215</v>
      </c>
      <c r="D329" s="2">
        <v>45205.178472222222</v>
      </c>
      <c r="E329" s="3">
        <v>45205.178472222222</v>
      </c>
      <c r="F329">
        <v>42</v>
      </c>
      <c r="G329">
        <f>Master[[#This Row],[Duree_Panne_Min]]/60</f>
        <v>0.7</v>
      </c>
      <c r="H329" s="1" t="s">
        <v>735</v>
      </c>
      <c r="I329">
        <f>IFERROR(VLOOKUP(Master[[#This Row],[Cell_ID]],Registre_Maintenance[],3,FALSE),"")</f>
        <v>3.611561</v>
      </c>
      <c r="J329">
        <f>IFERROR(VLOOKUP(Master[[#This Row],[Cell_ID]],Registre_Maintenance[],4,FALSE),"")</f>
        <v>17.725974999999998</v>
      </c>
      <c r="K329" t="str">
        <f>IFERROR(VLOOKUP(Master[[#This Row],[Cell_ID]],Registre_Maintenance[],5,FALSE),"")</f>
        <v>3G</v>
      </c>
      <c r="L329" t="str">
        <f>IFERROR(VLOOKUP(Master[[#This Row],[Cell_ID]],Registre_Maintenance[],6,FALSE),"")</f>
        <v>ZTE</v>
      </c>
      <c r="M329" s="1" t="str">
        <f>VLOOKUP(Master[[#This Row],[Province_RDC]],Client[],2,FALSE)</f>
        <v>CLI-00280</v>
      </c>
      <c r="N329" s="1">
        <f>VLOOKUP(Master[[#This Row],[Province_RDC]],Client[],3,FALSE)</f>
        <v>113</v>
      </c>
      <c r="O329" s="1" t="str">
        <f>VLOOKUP(Master[[#This Row],[Province_RDC]],Client[],4,FALSE)</f>
        <v>Illimité 50Go</v>
      </c>
      <c r="P329" s="1">
        <f>VLOOKUP(Master[[#This Row],[Province_RDC]],Client[],5,FALSE)</f>
        <v>380</v>
      </c>
      <c r="Q329" s="1">
        <f>VLOOKUP(Master[[#This Row],[Province_RDC]],Client[],6,FALSE)</f>
        <v>12.11</v>
      </c>
      <c r="R329" s="1">
        <f>VLOOKUP(Master[[#This Row],[Province_RDC]],Client[],7,FALSE)</f>
        <v>0</v>
      </c>
      <c r="S329" s="1" t="str">
        <f>IF(Master[[#This Row],[Type_Forfait]]="Pro Monde","B2B","B2C")</f>
        <v>B2C</v>
      </c>
      <c r="T329" s="1">
        <f>Master[[#This Row],[Anciennete_Mois]]/12</f>
        <v>9.4166666666666661</v>
      </c>
      <c r="U329" s="1">
        <f>Master[[#This Row],[Duree_Cumule_Panne_Min]]/60</f>
        <v>6.333333333333333</v>
      </c>
      <c r="V32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2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29" s="6">
        <f>Master[[#This Row],[Facture_Mensuelle]]*Master[[#This Row],[Remise]]</f>
        <v>5.4494999999999996</v>
      </c>
    </row>
    <row r="330" spans="1:24" x14ac:dyDescent="0.25">
      <c r="A330" s="1" t="s">
        <v>1114</v>
      </c>
      <c r="B330" t="str">
        <f>IFERROR(VLOOKUP(Master[[#This Row],[Cell_ID]],Registre_Maintenance[],2,FALSE),"")</f>
        <v>Kwilu</v>
      </c>
      <c r="C330" s="1" t="s">
        <v>769</v>
      </c>
      <c r="D330" s="2">
        <v>45218.631944444453</v>
      </c>
      <c r="E330" s="3">
        <v>45218.631944444453</v>
      </c>
      <c r="F330">
        <v>42</v>
      </c>
      <c r="G330">
        <f>Master[[#This Row],[Duree_Panne_Min]]/60</f>
        <v>0.7</v>
      </c>
      <c r="H330" s="1" t="s">
        <v>735</v>
      </c>
      <c r="I330">
        <f>IFERROR(VLOOKUP(Master[[#This Row],[Cell_ID]],Registre_Maintenance[],3,FALSE),"")</f>
        <v>-0.77432100000000004</v>
      </c>
      <c r="J330">
        <f>IFERROR(VLOOKUP(Master[[#This Row],[Cell_ID]],Registre_Maintenance[],4,FALSE),"")</f>
        <v>18.628658999999999</v>
      </c>
      <c r="K330" t="str">
        <f>IFERROR(VLOOKUP(Master[[#This Row],[Cell_ID]],Registre_Maintenance[],5,FALSE),"")</f>
        <v>4G</v>
      </c>
      <c r="L330" t="str">
        <f>IFERROR(VLOOKUP(Master[[#This Row],[Cell_ID]],Registre_Maintenance[],6,FALSE),"")</f>
        <v>Huawei</v>
      </c>
      <c r="M330" s="1" t="str">
        <f>VLOOKUP(Master[[#This Row],[Province_RDC]],Client[],2,FALSE)</f>
        <v>CLI-00996</v>
      </c>
      <c r="N330" s="1">
        <f>VLOOKUP(Master[[#This Row],[Province_RDC]],Client[],3,FALSE)</f>
        <v>119</v>
      </c>
      <c r="O330" s="1" t="str">
        <f>VLOOKUP(Master[[#This Row],[Province_RDC]],Client[],4,FALSE)</f>
        <v>Illimité 50Go</v>
      </c>
      <c r="P330" s="1">
        <f>VLOOKUP(Master[[#This Row],[Province_RDC]],Client[],5,FALSE)</f>
        <v>228</v>
      </c>
      <c r="Q330" s="1">
        <f>VLOOKUP(Master[[#This Row],[Province_RDC]],Client[],6,FALSE)</f>
        <v>94.72</v>
      </c>
      <c r="R330" s="1">
        <f>VLOOKUP(Master[[#This Row],[Province_RDC]],Client[],7,FALSE)</f>
        <v>3</v>
      </c>
      <c r="S330" s="1" t="str">
        <f>IF(Master[[#This Row],[Type_Forfait]]="Pro Monde","B2B","B2C")</f>
        <v>B2C</v>
      </c>
      <c r="T330" s="1">
        <f>Master[[#This Row],[Anciennete_Mois]]/12</f>
        <v>9.9166666666666661</v>
      </c>
      <c r="U330" s="1">
        <f>Master[[#This Row],[Duree_Cumule_Panne_Min]]/60</f>
        <v>3.8</v>
      </c>
      <c r="V33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3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30" s="6">
        <f>Master[[#This Row],[Facture_Mensuelle]]*Master[[#This Row],[Remise]]</f>
        <v>0</v>
      </c>
    </row>
    <row r="331" spans="1:24" x14ac:dyDescent="0.25">
      <c r="A331" s="1" t="s">
        <v>1219</v>
      </c>
      <c r="B331" t="str">
        <f>IFERROR(VLOOKUP(Master[[#This Row],[Cell_ID]],Registre_Maintenance[],2,FALSE),"")</f>
        <v>Kasai-Central</v>
      </c>
      <c r="C331" s="1" t="s">
        <v>1239</v>
      </c>
      <c r="D331" s="2">
        <v>45212.568055555559</v>
      </c>
      <c r="E331" s="3">
        <v>45212.568055555559</v>
      </c>
      <c r="F331">
        <v>42</v>
      </c>
      <c r="G331">
        <f>Master[[#This Row],[Duree_Panne_Min]]/60</f>
        <v>0.7</v>
      </c>
      <c r="H331" s="1" t="s">
        <v>735</v>
      </c>
      <c r="I331">
        <f>IFERROR(VLOOKUP(Master[[#This Row],[Cell_ID]],Registre_Maintenance[],3,FALSE),"")</f>
        <v>-7.3379339999999997</v>
      </c>
      <c r="J331">
        <f>IFERROR(VLOOKUP(Master[[#This Row],[Cell_ID]],Registre_Maintenance[],4,FALSE),"")</f>
        <v>28.404001999999998</v>
      </c>
      <c r="K331" t="str">
        <f>IFERROR(VLOOKUP(Master[[#This Row],[Cell_ID]],Registre_Maintenance[],5,FALSE),"")</f>
        <v>3G</v>
      </c>
      <c r="L331" t="str">
        <f>IFERROR(VLOOKUP(Master[[#This Row],[Cell_ID]],Registre_Maintenance[],6,FALSE),"")</f>
        <v>Nokia</v>
      </c>
      <c r="M331" s="1" t="str">
        <f>VLOOKUP(Master[[#This Row],[Province_RDC]],Client[],2,FALSE)</f>
        <v>CLI-00060</v>
      </c>
      <c r="N331" s="1">
        <f>VLOOKUP(Master[[#This Row],[Province_RDC]],Client[],3,FALSE)</f>
        <v>72</v>
      </c>
      <c r="O331" s="1" t="str">
        <f>VLOOKUP(Master[[#This Row],[Province_RDC]],Client[],4,FALSE)</f>
        <v>Pro Monde</v>
      </c>
      <c r="P331" s="1">
        <f>VLOOKUP(Master[[#This Row],[Province_RDC]],Client[],5,FALSE)</f>
        <v>160</v>
      </c>
      <c r="Q331" s="1">
        <f>VLOOKUP(Master[[#This Row],[Province_RDC]],Client[],6,FALSE)</f>
        <v>90.13</v>
      </c>
      <c r="R331" s="1">
        <f>VLOOKUP(Master[[#This Row],[Province_RDC]],Client[],7,FALSE)</f>
        <v>2</v>
      </c>
      <c r="S331" s="1" t="str">
        <f>IF(Master[[#This Row],[Type_Forfait]]="Pro Monde","B2B","B2C")</f>
        <v>B2B</v>
      </c>
      <c r="T331" s="1">
        <f>Master[[#This Row],[Anciennete_Mois]]/12</f>
        <v>6</v>
      </c>
      <c r="U331" s="1">
        <f>Master[[#This Row],[Duree_Cumule_Panne_Min]]/60</f>
        <v>2.6666666666666665</v>
      </c>
      <c r="V33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3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31" s="6">
        <f>Master[[#This Row],[Facture_Mensuelle]]*Master[[#This Row],[Remise]]</f>
        <v>9.0129999999999999</v>
      </c>
    </row>
    <row r="332" spans="1:24" x14ac:dyDescent="0.25">
      <c r="A332" s="1" t="s">
        <v>1261</v>
      </c>
      <c r="B332" t="str">
        <f>IFERROR(VLOOKUP(Master[[#This Row],[Cell_ID]],Registre_Maintenance[],2,FALSE),"")</f>
        <v>Haut-Katanga</v>
      </c>
      <c r="C332" s="1" t="s">
        <v>1169</v>
      </c>
      <c r="D332" s="2">
        <v>45223.293749999997</v>
      </c>
      <c r="E332" s="3">
        <v>45223.293749999997</v>
      </c>
      <c r="F332">
        <v>42</v>
      </c>
      <c r="G332">
        <f>Master[[#This Row],[Duree_Panne_Min]]/60</f>
        <v>0.7</v>
      </c>
      <c r="H332" s="1" t="s">
        <v>737</v>
      </c>
      <c r="I332">
        <f>IFERROR(VLOOKUP(Master[[#This Row],[Cell_ID]],Registre_Maintenance[],3,FALSE),"")</f>
        <v>-4.4958720000000003</v>
      </c>
      <c r="J332">
        <f>IFERROR(VLOOKUP(Master[[#This Row],[Cell_ID]],Registre_Maintenance[],4,FALSE),"")</f>
        <v>18.514112000000001</v>
      </c>
      <c r="K332" t="str">
        <f>IFERROR(VLOOKUP(Master[[#This Row],[Cell_ID]],Registre_Maintenance[],5,FALSE),"")</f>
        <v>4G</v>
      </c>
      <c r="L332" t="str">
        <f>IFERROR(VLOOKUP(Master[[#This Row],[Cell_ID]],Registre_Maintenance[],6,FALSE),"")</f>
        <v>Nokia</v>
      </c>
      <c r="M332" s="1" t="str">
        <f>VLOOKUP(Master[[#This Row],[Province_RDC]],Client[],2,FALSE)</f>
        <v>CLI-00076</v>
      </c>
      <c r="N332" s="1">
        <f>VLOOKUP(Master[[#This Row],[Province_RDC]],Client[],3,FALSE)</f>
        <v>46</v>
      </c>
      <c r="O332" s="1" t="str">
        <f>VLOOKUP(Master[[#This Row],[Province_RDC]],Client[],4,FALSE)</f>
        <v>Premium 5G 150Go</v>
      </c>
      <c r="P332" s="1">
        <f>VLOOKUP(Master[[#This Row],[Province_RDC]],Client[],5,FALSE)</f>
        <v>283</v>
      </c>
      <c r="Q332" s="1">
        <f>VLOOKUP(Master[[#This Row],[Province_RDC]],Client[],6,FALSE)</f>
        <v>56.05</v>
      </c>
      <c r="R332" s="1">
        <f>VLOOKUP(Master[[#This Row],[Province_RDC]],Client[],7,FALSE)</f>
        <v>1</v>
      </c>
      <c r="S332" s="1" t="str">
        <f>IF(Master[[#This Row],[Type_Forfait]]="Pro Monde","B2B","B2C")</f>
        <v>B2C</v>
      </c>
      <c r="T332" s="1">
        <f>Master[[#This Row],[Anciennete_Mois]]/12</f>
        <v>3.8333333333333335</v>
      </c>
      <c r="U332" s="1">
        <f>Master[[#This Row],[Duree_Cumule_Panne_Min]]/60</f>
        <v>4.7166666666666668</v>
      </c>
      <c r="V33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2" s="6">
        <f>Master[[#This Row],[Facture_Mensuelle]]*Master[[#This Row],[Remise]]</f>
        <v>25.2225</v>
      </c>
    </row>
    <row r="333" spans="1:24" x14ac:dyDescent="0.25">
      <c r="A333" s="1" t="s">
        <v>779</v>
      </c>
      <c r="B333" t="str">
        <f>IFERROR(VLOOKUP(Master[[#This Row],[Cell_ID]],Registre_Maintenance[],2,FALSE),"")</f>
        <v>Nord-Ubangi</v>
      </c>
      <c r="C333" s="1" t="s">
        <v>816</v>
      </c>
      <c r="D333" s="2">
        <v>45208.279166666667</v>
      </c>
      <c r="E333" s="3">
        <v>45208.279166666667</v>
      </c>
      <c r="F333">
        <v>41</v>
      </c>
      <c r="G333">
        <f>Master[[#This Row],[Duree_Panne_Min]]/60</f>
        <v>0.68333333333333335</v>
      </c>
      <c r="H333" s="1" t="s">
        <v>735</v>
      </c>
      <c r="I333">
        <f>IFERROR(VLOOKUP(Master[[#This Row],[Cell_ID]],Registre_Maintenance[],3,FALSE),"")</f>
        <v>-9.3066320000000005</v>
      </c>
      <c r="J333">
        <f>IFERROR(VLOOKUP(Master[[#This Row],[Cell_ID]],Registre_Maintenance[],4,FALSE),"")</f>
        <v>20.470889</v>
      </c>
      <c r="K333" t="str">
        <f>IFERROR(VLOOKUP(Master[[#This Row],[Cell_ID]],Registre_Maintenance[],5,FALSE),"")</f>
        <v>5G</v>
      </c>
      <c r="L333" t="str">
        <f>IFERROR(VLOOKUP(Master[[#This Row],[Cell_ID]],Registre_Maintenance[],6,FALSE),"")</f>
        <v>ZTE</v>
      </c>
      <c r="M333" s="1" t="str">
        <f>VLOOKUP(Master[[#This Row],[Province_RDC]],Client[],2,FALSE)</f>
        <v>CLI-01170</v>
      </c>
      <c r="N333" s="1">
        <f>VLOOKUP(Master[[#This Row],[Province_RDC]],Client[],3,FALSE)</f>
        <v>98</v>
      </c>
      <c r="O333" s="1" t="str">
        <f>VLOOKUP(Master[[#This Row],[Province_RDC]],Client[],4,FALSE)</f>
        <v>Pro Monde</v>
      </c>
      <c r="P333" s="1">
        <f>VLOOKUP(Master[[#This Row],[Province_RDC]],Client[],5,FALSE)</f>
        <v>482</v>
      </c>
      <c r="Q333" s="1">
        <f>VLOOKUP(Master[[#This Row],[Province_RDC]],Client[],6,FALSE)</f>
        <v>55.04</v>
      </c>
      <c r="R333" s="1">
        <f>VLOOKUP(Master[[#This Row],[Province_RDC]],Client[],7,FALSE)</f>
        <v>5</v>
      </c>
      <c r="S333" s="1" t="str">
        <f>IF(Master[[#This Row],[Type_Forfait]]="Pro Monde","B2B","B2C")</f>
        <v>B2B</v>
      </c>
      <c r="T333" s="1">
        <f>Master[[#This Row],[Anciennete_Mois]]/12</f>
        <v>8.1666666666666661</v>
      </c>
      <c r="U333" s="1">
        <f>Master[[#This Row],[Duree_Cumule_Panne_Min]]/60</f>
        <v>8.0333333333333332</v>
      </c>
      <c r="V33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3" s="6">
        <f>Master[[#This Row],[Facture_Mensuelle]]*Master[[#This Row],[Remise]]</f>
        <v>24.768000000000001</v>
      </c>
    </row>
    <row r="334" spans="1:24" x14ac:dyDescent="0.25">
      <c r="A334" s="1" t="s">
        <v>1114</v>
      </c>
      <c r="B334" t="str">
        <f>IFERROR(VLOOKUP(Master[[#This Row],[Cell_ID]],Registre_Maintenance[],2,FALSE),"")</f>
        <v>Mongala</v>
      </c>
      <c r="C334" s="1" t="s">
        <v>1046</v>
      </c>
      <c r="D334" s="2">
        <v>45223.400694444441</v>
      </c>
      <c r="E334" s="3">
        <v>45223.400694444441</v>
      </c>
      <c r="F334">
        <v>41</v>
      </c>
      <c r="G334">
        <f>Master[[#This Row],[Duree_Panne_Min]]/60</f>
        <v>0.68333333333333335</v>
      </c>
      <c r="H334" s="1" t="s">
        <v>737</v>
      </c>
      <c r="I334">
        <f>IFERROR(VLOOKUP(Master[[#This Row],[Cell_ID]],Registre_Maintenance[],3,FALSE),"")</f>
        <v>-1.231033</v>
      </c>
      <c r="J334">
        <f>IFERROR(VLOOKUP(Master[[#This Row],[Cell_ID]],Registre_Maintenance[],4,FALSE),"")</f>
        <v>28.851388</v>
      </c>
      <c r="K334" t="str">
        <f>IFERROR(VLOOKUP(Master[[#This Row],[Cell_ID]],Registre_Maintenance[],5,FALSE),"")</f>
        <v>3G</v>
      </c>
      <c r="L334" t="str">
        <f>IFERROR(VLOOKUP(Master[[#This Row],[Cell_ID]],Registre_Maintenance[],6,FALSE),"")</f>
        <v>Ericsson</v>
      </c>
      <c r="M334" s="1" t="str">
        <f>VLOOKUP(Master[[#This Row],[Province_RDC]],Client[],2,FALSE)</f>
        <v>CLI-00865</v>
      </c>
      <c r="N334" s="1">
        <f>VLOOKUP(Master[[#This Row],[Province_RDC]],Client[],3,FALSE)</f>
        <v>34</v>
      </c>
      <c r="O334" s="1" t="str">
        <f>VLOOKUP(Master[[#This Row],[Province_RDC]],Client[],4,FALSE)</f>
        <v>Pro Monde</v>
      </c>
      <c r="P334" s="1">
        <f>VLOOKUP(Master[[#This Row],[Province_RDC]],Client[],5,FALSE)</f>
        <v>453</v>
      </c>
      <c r="Q334" s="1">
        <f>VLOOKUP(Master[[#This Row],[Province_RDC]],Client[],6,FALSE)</f>
        <v>56.84</v>
      </c>
      <c r="R334" s="1">
        <f>VLOOKUP(Master[[#This Row],[Province_RDC]],Client[],7,FALSE)</f>
        <v>0</v>
      </c>
      <c r="S334" s="1" t="str">
        <f>IF(Master[[#This Row],[Type_Forfait]]="Pro Monde","B2B","B2C")</f>
        <v>B2B</v>
      </c>
      <c r="T334" s="1">
        <f>Master[[#This Row],[Anciennete_Mois]]/12</f>
        <v>2.8333333333333335</v>
      </c>
      <c r="U334" s="1">
        <f>Master[[#This Row],[Duree_Cumule_Panne_Min]]/60</f>
        <v>7.55</v>
      </c>
      <c r="V33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4" s="6">
        <f>Master[[#This Row],[Facture_Mensuelle]]*Master[[#This Row],[Remise]]</f>
        <v>25.578000000000003</v>
      </c>
    </row>
    <row r="335" spans="1:24" x14ac:dyDescent="0.25">
      <c r="A335" s="1" t="s">
        <v>939</v>
      </c>
      <c r="B335" t="str">
        <f>IFERROR(VLOOKUP(Master[[#This Row],[Cell_ID]],Registre_Maintenance[],2,FALSE),"")</f>
        <v>Mai-Ndombe</v>
      </c>
      <c r="C335" s="1" t="s">
        <v>968</v>
      </c>
      <c r="D335" s="2">
        <v>45225.215277777781</v>
      </c>
      <c r="E335" s="3">
        <v>45225.215277777781</v>
      </c>
      <c r="F335">
        <v>41</v>
      </c>
      <c r="G335">
        <f>Master[[#This Row],[Duree_Panne_Min]]/60</f>
        <v>0.68333333333333335</v>
      </c>
      <c r="H335" s="1" t="s">
        <v>737</v>
      </c>
      <c r="I335">
        <f>IFERROR(VLOOKUP(Master[[#This Row],[Cell_ID]],Registre_Maintenance[],3,FALSE),"")</f>
        <v>-4.9552579999999997</v>
      </c>
      <c r="J335">
        <f>IFERROR(VLOOKUP(Master[[#This Row],[Cell_ID]],Registre_Maintenance[],4,FALSE),"")</f>
        <v>22.008103999999999</v>
      </c>
      <c r="K335" t="str">
        <f>IFERROR(VLOOKUP(Master[[#This Row],[Cell_ID]],Registre_Maintenance[],5,FALSE),"")</f>
        <v>4G</v>
      </c>
      <c r="L335" t="str">
        <f>IFERROR(VLOOKUP(Master[[#This Row],[Cell_ID]],Registre_Maintenance[],6,FALSE),"")</f>
        <v>Huawei</v>
      </c>
      <c r="M335" s="1" t="str">
        <f>VLOOKUP(Master[[#This Row],[Province_RDC]],Client[],2,FALSE)</f>
        <v>CLI-00361</v>
      </c>
      <c r="N335" s="1">
        <f>VLOOKUP(Master[[#This Row],[Province_RDC]],Client[],3,FALSE)</f>
        <v>66</v>
      </c>
      <c r="O335" s="1" t="str">
        <f>VLOOKUP(Master[[#This Row],[Province_RDC]],Client[],4,FALSE)</f>
        <v>Illimité 50Go</v>
      </c>
      <c r="P335" s="1">
        <f>VLOOKUP(Master[[#This Row],[Province_RDC]],Client[],5,FALSE)</f>
        <v>270</v>
      </c>
      <c r="Q335" s="1">
        <f>VLOOKUP(Master[[#This Row],[Province_RDC]],Client[],6,FALSE)</f>
        <v>75.88</v>
      </c>
      <c r="R335" s="1">
        <f>VLOOKUP(Master[[#This Row],[Province_RDC]],Client[],7,FALSE)</f>
        <v>3</v>
      </c>
      <c r="S335" s="1" t="str">
        <f>IF(Master[[#This Row],[Type_Forfait]]="Pro Monde","B2B","B2C")</f>
        <v>B2C</v>
      </c>
      <c r="T335" s="1">
        <f>Master[[#This Row],[Anciennete_Mois]]/12</f>
        <v>5.5</v>
      </c>
      <c r="U335" s="1">
        <f>Master[[#This Row],[Duree_Cumule_Panne_Min]]/60</f>
        <v>4.5</v>
      </c>
      <c r="V33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5" s="6">
        <f>Master[[#This Row],[Facture_Mensuelle]]*Master[[#This Row],[Remise]]</f>
        <v>34.146000000000001</v>
      </c>
    </row>
    <row r="336" spans="1:24" x14ac:dyDescent="0.25">
      <c r="A336" s="1" t="s">
        <v>1138</v>
      </c>
      <c r="B336" t="str">
        <f>IFERROR(VLOOKUP(Master[[#This Row],[Cell_ID]],Registre_Maintenance[],2,FALSE),"")</f>
        <v>Kinshasa</v>
      </c>
      <c r="C336" s="1" t="s">
        <v>1148</v>
      </c>
      <c r="D336" s="2">
        <v>45204.615972222222</v>
      </c>
      <c r="E336" s="3">
        <v>45204.615972222222</v>
      </c>
      <c r="F336">
        <v>41</v>
      </c>
      <c r="G336">
        <f>Master[[#This Row],[Duree_Panne_Min]]/60</f>
        <v>0.68333333333333335</v>
      </c>
      <c r="H336" s="1" t="s">
        <v>737</v>
      </c>
      <c r="I336">
        <f>IFERROR(VLOOKUP(Master[[#This Row],[Cell_ID]],Registre_Maintenance[],3,FALSE),"")</f>
        <v>1.3006180000000001</v>
      </c>
      <c r="J336">
        <f>IFERROR(VLOOKUP(Master[[#This Row],[Cell_ID]],Registre_Maintenance[],4,FALSE),"")</f>
        <v>29.060970999999999</v>
      </c>
      <c r="K336" t="str">
        <f>IFERROR(VLOOKUP(Master[[#This Row],[Cell_ID]],Registre_Maintenance[],5,FALSE),"")</f>
        <v>3G</v>
      </c>
      <c r="L336" t="str">
        <f>IFERROR(VLOOKUP(Master[[#This Row],[Cell_ID]],Registre_Maintenance[],6,FALSE),"")</f>
        <v>ZTE</v>
      </c>
      <c r="M336" s="1" t="str">
        <f>VLOOKUP(Master[[#This Row],[Province_RDC]],Client[],2,FALSE)</f>
        <v>CLI-00611</v>
      </c>
      <c r="N336" s="1">
        <f>VLOOKUP(Master[[#This Row],[Province_RDC]],Client[],3,FALSE)</f>
        <v>79</v>
      </c>
      <c r="O336" s="1" t="str">
        <f>VLOOKUP(Master[[#This Row],[Province_RDC]],Client[],4,FALSE)</f>
        <v>Premium 5G 150Go</v>
      </c>
      <c r="P336" s="1">
        <f>VLOOKUP(Master[[#This Row],[Province_RDC]],Client[],5,FALSE)</f>
        <v>226</v>
      </c>
      <c r="Q336" s="1">
        <f>VLOOKUP(Master[[#This Row],[Province_RDC]],Client[],6,FALSE)</f>
        <v>94.38</v>
      </c>
      <c r="R336" s="1">
        <f>VLOOKUP(Master[[#This Row],[Province_RDC]],Client[],7,FALSE)</f>
        <v>3</v>
      </c>
      <c r="S336" s="1" t="str">
        <f>IF(Master[[#This Row],[Type_Forfait]]="Pro Monde","B2B","B2C")</f>
        <v>B2C</v>
      </c>
      <c r="T336" s="1">
        <f>Master[[#This Row],[Anciennete_Mois]]/12</f>
        <v>6.583333333333333</v>
      </c>
      <c r="U336" s="1">
        <f>Master[[#This Row],[Duree_Cumule_Panne_Min]]/60</f>
        <v>3.7666666666666666</v>
      </c>
      <c r="V33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36" s="6">
        <f>Master[[#This Row],[Facture_Mensuelle]]*Master[[#This Row],[Remise]]</f>
        <v>0</v>
      </c>
    </row>
    <row r="337" spans="1:24" x14ac:dyDescent="0.25">
      <c r="A337" s="1" t="s">
        <v>1361</v>
      </c>
      <c r="B337" t="str">
        <f>IFERROR(VLOOKUP(Master[[#This Row],[Cell_ID]],Registre_Maintenance[],2,FALSE),"")</f>
        <v>Nord-Kivu</v>
      </c>
      <c r="C337" s="1" t="s">
        <v>797</v>
      </c>
      <c r="D337" s="2">
        <v>45201.212500000001</v>
      </c>
      <c r="E337" s="3">
        <v>45201.212500000001</v>
      </c>
      <c r="F337">
        <v>40</v>
      </c>
      <c r="G337">
        <f>Master[[#This Row],[Duree_Panne_Min]]/60</f>
        <v>0.66666666666666663</v>
      </c>
      <c r="H337" s="1" t="s">
        <v>735</v>
      </c>
      <c r="I337">
        <f>IFERROR(VLOOKUP(Master[[#This Row],[Cell_ID]],Registre_Maintenance[],3,FALSE),"")</f>
        <v>0.82868600000000003</v>
      </c>
      <c r="J337">
        <f>IFERROR(VLOOKUP(Master[[#This Row],[Cell_ID]],Registre_Maintenance[],4,FALSE),"")</f>
        <v>26.958843999999999</v>
      </c>
      <c r="K337" t="str">
        <f>IFERROR(VLOOKUP(Master[[#This Row],[Cell_ID]],Registre_Maintenance[],5,FALSE),"")</f>
        <v>5G</v>
      </c>
      <c r="L337" t="str">
        <f>IFERROR(VLOOKUP(Master[[#This Row],[Cell_ID]],Registre_Maintenance[],6,FALSE),"")</f>
        <v>ZTE</v>
      </c>
      <c r="M337" s="1" t="str">
        <f>VLOOKUP(Master[[#This Row],[Province_RDC]],Client[],2,FALSE)</f>
        <v>CLI-00837</v>
      </c>
      <c r="N337" s="1">
        <f>VLOOKUP(Master[[#This Row],[Province_RDC]],Client[],3,FALSE)</f>
        <v>16</v>
      </c>
      <c r="O337" s="1" t="str">
        <f>VLOOKUP(Master[[#This Row],[Province_RDC]],Client[],4,FALSE)</f>
        <v>Bloqué 5Go</v>
      </c>
      <c r="P337" s="1">
        <f>VLOOKUP(Master[[#This Row],[Province_RDC]],Client[],5,FALSE)</f>
        <v>390</v>
      </c>
      <c r="Q337" s="1">
        <f>VLOOKUP(Master[[#This Row],[Province_RDC]],Client[],6,FALSE)</f>
        <v>98.17</v>
      </c>
      <c r="R337" s="1">
        <f>VLOOKUP(Master[[#This Row],[Province_RDC]],Client[],7,FALSE)</f>
        <v>5</v>
      </c>
      <c r="S337" s="1" t="str">
        <f>IF(Master[[#This Row],[Type_Forfait]]="Pro Monde","B2B","B2C")</f>
        <v>B2C</v>
      </c>
      <c r="T337" s="1">
        <f>Master[[#This Row],[Anciennete_Mois]]/12</f>
        <v>1.3333333333333333</v>
      </c>
      <c r="U337" s="1">
        <f>Master[[#This Row],[Duree_Cumule_Panne_Min]]/60</f>
        <v>6.5</v>
      </c>
      <c r="V33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7" s="6">
        <f>Master[[#This Row],[Facture_Mensuelle]]*Master[[#This Row],[Remise]]</f>
        <v>44.176500000000004</v>
      </c>
    </row>
    <row r="338" spans="1:24" x14ac:dyDescent="0.25">
      <c r="A338" s="1" t="s">
        <v>902</v>
      </c>
      <c r="B338" t="str">
        <f>IFERROR(VLOOKUP(Master[[#This Row],[Cell_ID]],Registre_Maintenance[],2,FALSE),"")</f>
        <v>Lualaba</v>
      </c>
      <c r="C338" s="1" t="s">
        <v>916</v>
      </c>
      <c r="D338" s="2">
        <v>45209.777083333327</v>
      </c>
      <c r="E338" s="3">
        <v>45209.777083333327</v>
      </c>
      <c r="F338">
        <v>40</v>
      </c>
      <c r="G338">
        <f>Master[[#This Row],[Duree_Panne_Min]]/60</f>
        <v>0.66666666666666663</v>
      </c>
      <c r="H338" s="1" t="s">
        <v>737</v>
      </c>
      <c r="I338">
        <f>IFERROR(VLOOKUP(Master[[#This Row],[Cell_ID]],Registre_Maintenance[],3,FALSE),"")</f>
        <v>-9.5243310000000001</v>
      </c>
      <c r="J338">
        <f>IFERROR(VLOOKUP(Master[[#This Row],[Cell_ID]],Registre_Maintenance[],4,FALSE),"")</f>
        <v>30.541212000000002</v>
      </c>
      <c r="K338" t="str">
        <f>IFERROR(VLOOKUP(Master[[#This Row],[Cell_ID]],Registre_Maintenance[],5,FALSE),"")</f>
        <v>3G</v>
      </c>
      <c r="L338" t="str">
        <f>IFERROR(VLOOKUP(Master[[#This Row],[Cell_ID]],Registre_Maintenance[],6,FALSE),"")</f>
        <v>Ericsson</v>
      </c>
      <c r="M338" s="1" t="str">
        <f>VLOOKUP(Master[[#This Row],[Province_RDC]],Client[],2,FALSE)</f>
        <v>CLI-01005</v>
      </c>
      <c r="N338" s="1">
        <f>VLOOKUP(Master[[#This Row],[Province_RDC]],Client[],3,FALSE)</f>
        <v>80</v>
      </c>
      <c r="O338" s="1" t="str">
        <f>VLOOKUP(Master[[#This Row],[Province_RDC]],Client[],4,FALSE)</f>
        <v>Illimité 50Go</v>
      </c>
      <c r="P338" s="1">
        <f>VLOOKUP(Master[[#This Row],[Province_RDC]],Client[],5,FALSE)</f>
        <v>155</v>
      </c>
      <c r="Q338" s="1">
        <f>VLOOKUP(Master[[#This Row],[Province_RDC]],Client[],6,FALSE)</f>
        <v>28.96</v>
      </c>
      <c r="R338" s="1">
        <f>VLOOKUP(Master[[#This Row],[Province_RDC]],Client[],7,FALSE)</f>
        <v>2</v>
      </c>
      <c r="S338" s="1" t="str">
        <f>IF(Master[[#This Row],[Type_Forfait]]="Pro Monde","B2B","B2C")</f>
        <v>B2C</v>
      </c>
      <c r="T338" s="1">
        <f>Master[[#This Row],[Anciennete_Mois]]/12</f>
        <v>6.666666666666667</v>
      </c>
      <c r="U338" s="1">
        <f>Master[[#This Row],[Duree_Cumule_Panne_Min]]/60</f>
        <v>2.5833333333333335</v>
      </c>
      <c r="V33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3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38" s="6">
        <f>Master[[#This Row],[Facture_Mensuelle]]*Master[[#This Row],[Remise]]</f>
        <v>0</v>
      </c>
    </row>
    <row r="339" spans="1:24" x14ac:dyDescent="0.25">
      <c r="A339" s="1" t="s">
        <v>1288</v>
      </c>
      <c r="B339" t="str">
        <f>IFERROR(VLOOKUP(Master[[#This Row],[Cell_ID]],Registre_Maintenance[],2,FALSE),"")</f>
        <v>Kasai</v>
      </c>
      <c r="C339" s="1" t="s">
        <v>970</v>
      </c>
      <c r="D339" s="2">
        <v>45200.078472222223</v>
      </c>
      <c r="E339" s="3">
        <v>45200.078472222223</v>
      </c>
      <c r="F339">
        <v>40</v>
      </c>
      <c r="G339">
        <f>Master[[#This Row],[Duree_Panne_Min]]/60</f>
        <v>0.66666666666666663</v>
      </c>
      <c r="H339" s="1" t="s">
        <v>732</v>
      </c>
      <c r="I339">
        <f>IFERROR(VLOOKUP(Master[[#This Row],[Cell_ID]],Registre_Maintenance[],3,FALSE),"")</f>
        <v>-10.165072</v>
      </c>
      <c r="J339">
        <f>IFERROR(VLOOKUP(Master[[#This Row],[Cell_ID]],Registre_Maintenance[],4,FALSE),"")</f>
        <v>29.428024000000001</v>
      </c>
      <c r="K339" t="str">
        <f>IFERROR(VLOOKUP(Master[[#This Row],[Cell_ID]],Registre_Maintenance[],5,FALSE),"")</f>
        <v>5G</v>
      </c>
      <c r="L339" t="str">
        <f>IFERROR(VLOOKUP(Master[[#This Row],[Cell_ID]],Registre_Maintenance[],6,FALSE),"")</f>
        <v>Huawei</v>
      </c>
      <c r="M339" s="1" t="str">
        <f>VLOOKUP(Master[[#This Row],[Province_RDC]],Client[],2,FALSE)</f>
        <v>CLI-00559</v>
      </c>
      <c r="N339" s="1">
        <f>VLOOKUP(Master[[#This Row],[Province_RDC]],Client[],3,FALSE)</f>
        <v>99</v>
      </c>
      <c r="O339" s="1" t="str">
        <f>VLOOKUP(Master[[#This Row],[Province_RDC]],Client[],4,FALSE)</f>
        <v>Bloqué 5Go</v>
      </c>
      <c r="P339" s="1">
        <f>VLOOKUP(Master[[#This Row],[Province_RDC]],Client[],5,FALSE)</f>
        <v>369</v>
      </c>
      <c r="Q339" s="1">
        <f>VLOOKUP(Master[[#This Row],[Province_RDC]],Client[],6,FALSE)</f>
        <v>67.209999999999994</v>
      </c>
      <c r="R339" s="1">
        <f>VLOOKUP(Master[[#This Row],[Province_RDC]],Client[],7,FALSE)</f>
        <v>3</v>
      </c>
      <c r="S339" s="1" t="str">
        <f>IF(Master[[#This Row],[Type_Forfait]]="Pro Monde","B2B","B2C")</f>
        <v>B2C</v>
      </c>
      <c r="T339" s="1">
        <f>Master[[#This Row],[Anciennete_Mois]]/12</f>
        <v>8.25</v>
      </c>
      <c r="U339" s="1">
        <f>Master[[#This Row],[Duree_Cumule_Panne_Min]]/60</f>
        <v>6.15</v>
      </c>
      <c r="V33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3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39" s="6">
        <f>Master[[#This Row],[Facture_Mensuelle]]*Master[[#This Row],[Remise]]</f>
        <v>30.244499999999999</v>
      </c>
    </row>
    <row r="340" spans="1:24" x14ac:dyDescent="0.25">
      <c r="A340" s="1" t="s">
        <v>861</v>
      </c>
      <c r="B340" t="str">
        <f>IFERROR(VLOOKUP(Master[[#This Row],[Cell_ID]],Registre_Maintenance[],2,FALSE),"")</f>
        <v>Haut-Uele</v>
      </c>
      <c r="C340" s="1" t="s">
        <v>881</v>
      </c>
      <c r="D340" s="2">
        <v>45218.270138888889</v>
      </c>
      <c r="E340" s="3">
        <v>45218.270138888889</v>
      </c>
      <c r="F340">
        <v>40</v>
      </c>
      <c r="G340">
        <f>Master[[#This Row],[Duree_Panne_Min]]/60</f>
        <v>0.66666666666666663</v>
      </c>
      <c r="H340" s="1" t="s">
        <v>735</v>
      </c>
      <c r="I340">
        <f>IFERROR(VLOOKUP(Master[[#This Row],[Cell_ID]],Registre_Maintenance[],3,FALSE),"")</f>
        <v>-1.8045979999999999</v>
      </c>
      <c r="J340">
        <f>IFERROR(VLOOKUP(Master[[#This Row],[Cell_ID]],Registre_Maintenance[],4,FALSE),"")</f>
        <v>12.511096999999999</v>
      </c>
      <c r="K340" t="str">
        <f>IFERROR(VLOOKUP(Master[[#This Row],[Cell_ID]],Registre_Maintenance[],5,FALSE),"")</f>
        <v>3G</v>
      </c>
      <c r="L340" t="str">
        <f>IFERROR(VLOOKUP(Master[[#This Row],[Cell_ID]],Registre_Maintenance[],6,FALSE),"")</f>
        <v>Huawei</v>
      </c>
      <c r="M340" s="1" t="str">
        <f>VLOOKUP(Master[[#This Row],[Province_RDC]],Client[],2,FALSE)</f>
        <v>CLI-00439</v>
      </c>
      <c r="N340" s="1">
        <f>VLOOKUP(Master[[#This Row],[Province_RDC]],Client[],3,FALSE)</f>
        <v>40</v>
      </c>
      <c r="O340" s="1" t="str">
        <f>VLOOKUP(Master[[#This Row],[Province_RDC]],Client[],4,FALSE)</f>
        <v>Premium 5G 150Go</v>
      </c>
      <c r="P340" s="1">
        <f>VLOOKUP(Master[[#This Row],[Province_RDC]],Client[],5,FALSE)</f>
        <v>345</v>
      </c>
      <c r="Q340" s="1">
        <f>VLOOKUP(Master[[#This Row],[Province_RDC]],Client[],6,FALSE)</f>
        <v>89.55</v>
      </c>
      <c r="R340" s="1">
        <f>VLOOKUP(Master[[#This Row],[Province_RDC]],Client[],7,FALSE)</f>
        <v>3</v>
      </c>
      <c r="S340" s="1" t="str">
        <f>IF(Master[[#This Row],[Type_Forfait]]="Pro Monde","B2B","B2C")</f>
        <v>B2C</v>
      </c>
      <c r="T340" s="1">
        <f>Master[[#This Row],[Anciennete_Mois]]/12</f>
        <v>3.3333333333333335</v>
      </c>
      <c r="U340" s="1">
        <f>Master[[#This Row],[Duree_Cumule_Panne_Min]]/60</f>
        <v>5.75</v>
      </c>
      <c r="V34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4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40" s="6">
        <f>Master[[#This Row],[Facture_Mensuelle]]*Master[[#This Row],[Remise]]</f>
        <v>40.297499999999999</v>
      </c>
    </row>
    <row r="341" spans="1:24" x14ac:dyDescent="0.25">
      <c r="A341" s="1" t="s">
        <v>1114</v>
      </c>
      <c r="B341" t="str">
        <f>IFERROR(VLOOKUP(Master[[#This Row],[Cell_ID]],Registre_Maintenance[],2,FALSE),"")</f>
        <v>Lomami</v>
      </c>
      <c r="C341" s="1" t="s">
        <v>860</v>
      </c>
      <c r="D341" s="2">
        <v>45230.228472222218</v>
      </c>
      <c r="E341" s="3">
        <v>45230.228472222218</v>
      </c>
      <c r="F341">
        <v>39</v>
      </c>
      <c r="G341">
        <f>Master[[#This Row],[Duree_Panne_Min]]/60</f>
        <v>0.65</v>
      </c>
      <c r="H341" s="1" t="s">
        <v>737</v>
      </c>
      <c r="I341">
        <f>IFERROR(VLOOKUP(Master[[#This Row],[Cell_ID]],Registre_Maintenance[],3,FALSE),"")</f>
        <v>-5.7035130000000001</v>
      </c>
      <c r="J341">
        <f>IFERROR(VLOOKUP(Master[[#This Row],[Cell_ID]],Registre_Maintenance[],4,FALSE),"")</f>
        <v>14.331479</v>
      </c>
      <c r="K341" t="str">
        <f>IFERROR(VLOOKUP(Master[[#This Row],[Cell_ID]],Registre_Maintenance[],5,FALSE),"")</f>
        <v>5G</v>
      </c>
      <c r="L341" t="str">
        <f>IFERROR(VLOOKUP(Master[[#This Row],[Cell_ID]],Registre_Maintenance[],6,FALSE),"")</f>
        <v>Nokia</v>
      </c>
      <c r="M341" s="1" t="str">
        <f>VLOOKUP(Master[[#This Row],[Province_RDC]],Client[],2,FALSE)</f>
        <v>CLI-00505</v>
      </c>
      <c r="N341" s="1">
        <f>VLOOKUP(Master[[#This Row],[Province_RDC]],Client[],3,FALSE)</f>
        <v>59</v>
      </c>
      <c r="O341" s="1" t="str">
        <f>VLOOKUP(Master[[#This Row],[Province_RDC]],Client[],4,FALSE)</f>
        <v>Bloqué 5Go</v>
      </c>
      <c r="P341" s="1">
        <f>VLOOKUP(Master[[#This Row],[Province_RDC]],Client[],5,FALSE)</f>
        <v>196</v>
      </c>
      <c r="Q341" s="1">
        <f>VLOOKUP(Master[[#This Row],[Province_RDC]],Client[],6,FALSE)</f>
        <v>62.53</v>
      </c>
      <c r="R341" s="1">
        <f>VLOOKUP(Master[[#This Row],[Province_RDC]],Client[],7,FALSE)</f>
        <v>0</v>
      </c>
      <c r="S341" s="1" t="str">
        <f>IF(Master[[#This Row],[Type_Forfait]]="Pro Monde","B2B","B2C")</f>
        <v>B2C</v>
      </c>
      <c r="T341" s="1">
        <f>Master[[#This Row],[Anciennete_Mois]]/12</f>
        <v>4.916666666666667</v>
      </c>
      <c r="U341" s="1">
        <f>Master[[#This Row],[Duree_Cumule_Panne_Min]]/60</f>
        <v>3.2666666666666666</v>
      </c>
      <c r="V34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1" s="6">
        <f>Master[[#This Row],[Facture_Mensuelle]]*Master[[#This Row],[Remise]]</f>
        <v>0</v>
      </c>
    </row>
    <row r="342" spans="1:24" x14ac:dyDescent="0.25">
      <c r="A342" s="1" t="s">
        <v>779</v>
      </c>
      <c r="B342" t="str">
        <f>IFERROR(VLOOKUP(Master[[#This Row],[Cell_ID]],Registre_Maintenance[],2,FALSE),"")</f>
        <v>Kasai-Central</v>
      </c>
      <c r="C342" s="1" t="s">
        <v>815</v>
      </c>
      <c r="D342" s="2">
        <v>45216.457638888889</v>
      </c>
      <c r="E342" s="3">
        <v>45216.457638888889</v>
      </c>
      <c r="F342">
        <v>39</v>
      </c>
      <c r="G342">
        <f>Master[[#This Row],[Duree_Panne_Min]]/60</f>
        <v>0.65</v>
      </c>
      <c r="H342" s="1" t="s">
        <v>732</v>
      </c>
      <c r="I342">
        <f>IFERROR(VLOOKUP(Master[[#This Row],[Cell_ID]],Registre_Maintenance[],3,FALSE),"")</f>
        <v>-9.5266249999999992</v>
      </c>
      <c r="J342">
        <f>IFERROR(VLOOKUP(Master[[#This Row],[Cell_ID]],Registre_Maintenance[],4,FALSE),"")</f>
        <v>27.889690999999999</v>
      </c>
      <c r="K342" t="str">
        <f>IFERROR(VLOOKUP(Master[[#This Row],[Cell_ID]],Registre_Maintenance[],5,FALSE),"")</f>
        <v>4G</v>
      </c>
      <c r="L342" t="str">
        <f>IFERROR(VLOOKUP(Master[[#This Row],[Cell_ID]],Registre_Maintenance[],6,FALSE),"")</f>
        <v>Ericsson</v>
      </c>
      <c r="M342" s="1" t="str">
        <f>VLOOKUP(Master[[#This Row],[Province_RDC]],Client[],2,FALSE)</f>
        <v>CLI-00060</v>
      </c>
      <c r="N342" s="1">
        <f>VLOOKUP(Master[[#This Row],[Province_RDC]],Client[],3,FALSE)</f>
        <v>72</v>
      </c>
      <c r="O342" s="1" t="str">
        <f>VLOOKUP(Master[[#This Row],[Province_RDC]],Client[],4,FALSE)</f>
        <v>Pro Monde</v>
      </c>
      <c r="P342" s="1">
        <f>VLOOKUP(Master[[#This Row],[Province_RDC]],Client[],5,FALSE)</f>
        <v>160</v>
      </c>
      <c r="Q342" s="1">
        <f>VLOOKUP(Master[[#This Row],[Province_RDC]],Client[],6,FALSE)</f>
        <v>90.13</v>
      </c>
      <c r="R342" s="1">
        <f>VLOOKUP(Master[[#This Row],[Province_RDC]],Client[],7,FALSE)</f>
        <v>2</v>
      </c>
      <c r="S342" s="1" t="str">
        <f>IF(Master[[#This Row],[Type_Forfait]]="Pro Monde","B2B","B2C")</f>
        <v>B2B</v>
      </c>
      <c r="T342" s="1">
        <f>Master[[#This Row],[Anciennete_Mois]]/12</f>
        <v>6</v>
      </c>
      <c r="U342" s="1">
        <f>Master[[#This Row],[Duree_Cumule_Panne_Min]]/60</f>
        <v>2.6666666666666665</v>
      </c>
      <c r="V34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4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42" s="6">
        <f>Master[[#This Row],[Facture_Mensuelle]]*Master[[#This Row],[Remise]]</f>
        <v>9.0129999999999999</v>
      </c>
    </row>
    <row r="343" spans="1:24" x14ac:dyDescent="0.25">
      <c r="A343" s="1" t="s">
        <v>1059</v>
      </c>
      <c r="B343" t="str">
        <f>IFERROR(VLOOKUP(Master[[#This Row],[Cell_ID]],Registre_Maintenance[],2,FALSE),"")</f>
        <v>Ituri</v>
      </c>
      <c r="C343" s="1" t="s">
        <v>1068</v>
      </c>
      <c r="D343" s="2">
        <v>45216.709027777782</v>
      </c>
      <c r="E343" s="3">
        <v>45216.709027777782</v>
      </c>
      <c r="F343">
        <v>39</v>
      </c>
      <c r="G343">
        <f>Master[[#This Row],[Duree_Panne_Min]]/60</f>
        <v>0.65</v>
      </c>
      <c r="H343" s="1" t="s">
        <v>732</v>
      </c>
      <c r="I343">
        <f>IFERROR(VLOOKUP(Master[[#This Row],[Cell_ID]],Registre_Maintenance[],3,FALSE),"")</f>
        <v>-0.34051900000000002</v>
      </c>
      <c r="J343">
        <f>IFERROR(VLOOKUP(Master[[#This Row],[Cell_ID]],Registre_Maintenance[],4,FALSE),"")</f>
        <v>17.079799000000001</v>
      </c>
      <c r="K343" t="str">
        <f>IFERROR(VLOOKUP(Master[[#This Row],[Cell_ID]],Registre_Maintenance[],5,FALSE),"")</f>
        <v>5G</v>
      </c>
      <c r="L343" t="str">
        <f>IFERROR(VLOOKUP(Master[[#This Row],[Cell_ID]],Registre_Maintenance[],6,FALSE),"")</f>
        <v>Ericsson</v>
      </c>
      <c r="M343" s="1" t="str">
        <f>VLOOKUP(Master[[#This Row],[Province_RDC]],Client[],2,FALSE)</f>
        <v>CLI-00041</v>
      </c>
      <c r="N343" s="1">
        <f>VLOOKUP(Master[[#This Row],[Province_RDC]],Client[],3,FALSE)</f>
        <v>103</v>
      </c>
      <c r="O343" s="1" t="str">
        <f>VLOOKUP(Master[[#This Row],[Province_RDC]],Client[],4,FALSE)</f>
        <v>Pro Monde</v>
      </c>
      <c r="P343" s="1">
        <f>VLOOKUP(Master[[#This Row],[Province_RDC]],Client[],5,FALSE)</f>
        <v>105</v>
      </c>
      <c r="Q343" s="1">
        <f>VLOOKUP(Master[[#This Row],[Province_RDC]],Client[],6,FALSE)</f>
        <v>61.52</v>
      </c>
      <c r="R343" s="1">
        <f>VLOOKUP(Master[[#This Row],[Province_RDC]],Client[],7,FALSE)</f>
        <v>3</v>
      </c>
      <c r="S343" s="1" t="str">
        <f>IF(Master[[#This Row],[Type_Forfait]]="Pro Monde","B2B","B2C")</f>
        <v>B2B</v>
      </c>
      <c r="T343" s="1">
        <f>Master[[#This Row],[Anciennete_Mois]]/12</f>
        <v>8.5833333333333339</v>
      </c>
      <c r="U343" s="1">
        <f>Master[[#This Row],[Duree_Cumule_Panne_Min]]/60</f>
        <v>1.75</v>
      </c>
      <c r="V34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4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43" s="6">
        <f>Master[[#This Row],[Facture_Mensuelle]]*Master[[#This Row],[Remise]]</f>
        <v>6.152000000000001</v>
      </c>
    </row>
    <row r="344" spans="1:24" x14ac:dyDescent="0.25">
      <c r="A344" s="1" t="s">
        <v>861</v>
      </c>
      <c r="B344" t="str">
        <f>IFERROR(VLOOKUP(Master[[#This Row],[Cell_ID]],Registre_Maintenance[],2,FALSE),"")</f>
        <v>Nord-Kivu</v>
      </c>
      <c r="C344" s="1" t="s">
        <v>900</v>
      </c>
      <c r="D344" s="2">
        <v>45230.486111111109</v>
      </c>
      <c r="E344" s="3">
        <v>45230.486111111109</v>
      </c>
      <c r="F344">
        <v>38</v>
      </c>
      <c r="G344">
        <f>Master[[#This Row],[Duree_Panne_Min]]/60</f>
        <v>0.6333333333333333</v>
      </c>
      <c r="H344" s="1" t="s">
        <v>732</v>
      </c>
      <c r="I344">
        <f>IFERROR(VLOOKUP(Master[[#This Row],[Cell_ID]],Registre_Maintenance[],3,FALSE),"")</f>
        <v>-12.336202</v>
      </c>
      <c r="J344">
        <f>IFERROR(VLOOKUP(Master[[#This Row],[Cell_ID]],Registre_Maintenance[],4,FALSE),"")</f>
        <v>13.693683999999999</v>
      </c>
      <c r="K344" t="str">
        <f>IFERROR(VLOOKUP(Master[[#This Row],[Cell_ID]],Registre_Maintenance[],5,FALSE),"")</f>
        <v>5G</v>
      </c>
      <c r="L344" t="str">
        <f>IFERROR(VLOOKUP(Master[[#This Row],[Cell_ID]],Registre_Maintenance[],6,FALSE),"")</f>
        <v>Huawei</v>
      </c>
      <c r="M344" s="1" t="str">
        <f>VLOOKUP(Master[[#This Row],[Province_RDC]],Client[],2,FALSE)</f>
        <v>CLI-00837</v>
      </c>
      <c r="N344" s="1">
        <f>VLOOKUP(Master[[#This Row],[Province_RDC]],Client[],3,FALSE)</f>
        <v>16</v>
      </c>
      <c r="O344" s="1" t="str">
        <f>VLOOKUP(Master[[#This Row],[Province_RDC]],Client[],4,FALSE)</f>
        <v>Bloqué 5Go</v>
      </c>
      <c r="P344" s="1">
        <f>VLOOKUP(Master[[#This Row],[Province_RDC]],Client[],5,FALSE)</f>
        <v>390</v>
      </c>
      <c r="Q344" s="1">
        <f>VLOOKUP(Master[[#This Row],[Province_RDC]],Client[],6,FALSE)</f>
        <v>98.17</v>
      </c>
      <c r="R344" s="1">
        <f>VLOOKUP(Master[[#This Row],[Province_RDC]],Client[],7,FALSE)</f>
        <v>5</v>
      </c>
      <c r="S344" s="1" t="str">
        <f>IF(Master[[#This Row],[Type_Forfait]]="Pro Monde","B2B","B2C")</f>
        <v>B2C</v>
      </c>
      <c r="T344" s="1">
        <f>Master[[#This Row],[Anciennete_Mois]]/12</f>
        <v>1.3333333333333333</v>
      </c>
      <c r="U344" s="1">
        <f>Master[[#This Row],[Duree_Cumule_Panne_Min]]/60</f>
        <v>6.5</v>
      </c>
      <c r="V34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4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44" s="6">
        <f>Master[[#This Row],[Facture_Mensuelle]]*Master[[#This Row],[Remise]]</f>
        <v>44.176500000000004</v>
      </c>
    </row>
    <row r="345" spans="1:24" x14ac:dyDescent="0.25">
      <c r="A345" s="1" t="s">
        <v>1308</v>
      </c>
      <c r="B345" t="str">
        <f>IFERROR(VLOOKUP(Master[[#This Row],[Cell_ID]],Registre_Maintenance[],2,FALSE),"")</f>
        <v>Lualaba</v>
      </c>
      <c r="C345" s="1" t="s">
        <v>1038</v>
      </c>
      <c r="D345" s="2">
        <v>45217.999305555553</v>
      </c>
      <c r="E345" s="3">
        <v>45217.999305555553</v>
      </c>
      <c r="F345">
        <v>38</v>
      </c>
      <c r="G345">
        <f>Master[[#This Row],[Duree_Panne_Min]]/60</f>
        <v>0.6333333333333333</v>
      </c>
      <c r="H345" s="1" t="s">
        <v>735</v>
      </c>
      <c r="I345">
        <f>IFERROR(VLOOKUP(Master[[#This Row],[Cell_ID]],Registre_Maintenance[],3,FALSE),"")</f>
        <v>-10.967288</v>
      </c>
      <c r="J345">
        <f>IFERROR(VLOOKUP(Master[[#This Row],[Cell_ID]],Registre_Maintenance[],4,FALSE),"")</f>
        <v>17.617781000000001</v>
      </c>
      <c r="K345" t="str">
        <f>IFERROR(VLOOKUP(Master[[#This Row],[Cell_ID]],Registre_Maintenance[],5,FALSE),"")</f>
        <v>4G</v>
      </c>
      <c r="L345" t="str">
        <f>IFERROR(VLOOKUP(Master[[#This Row],[Cell_ID]],Registre_Maintenance[],6,FALSE),"")</f>
        <v>Ericsson</v>
      </c>
      <c r="M345" s="1" t="str">
        <f>VLOOKUP(Master[[#This Row],[Province_RDC]],Client[],2,FALSE)</f>
        <v>CLI-01005</v>
      </c>
      <c r="N345" s="1">
        <f>VLOOKUP(Master[[#This Row],[Province_RDC]],Client[],3,FALSE)</f>
        <v>80</v>
      </c>
      <c r="O345" s="1" t="str">
        <f>VLOOKUP(Master[[#This Row],[Province_RDC]],Client[],4,FALSE)</f>
        <v>Illimité 50Go</v>
      </c>
      <c r="P345" s="1">
        <f>VLOOKUP(Master[[#This Row],[Province_RDC]],Client[],5,FALSE)</f>
        <v>155</v>
      </c>
      <c r="Q345" s="1">
        <f>VLOOKUP(Master[[#This Row],[Province_RDC]],Client[],6,FALSE)</f>
        <v>28.96</v>
      </c>
      <c r="R345" s="1">
        <f>VLOOKUP(Master[[#This Row],[Province_RDC]],Client[],7,FALSE)</f>
        <v>2</v>
      </c>
      <c r="S345" s="1" t="str">
        <f>IF(Master[[#This Row],[Type_Forfait]]="Pro Monde","B2B","B2C")</f>
        <v>B2C</v>
      </c>
      <c r="T345" s="1">
        <f>Master[[#This Row],[Anciennete_Mois]]/12</f>
        <v>6.666666666666667</v>
      </c>
      <c r="U345" s="1">
        <f>Master[[#This Row],[Duree_Cumule_Panne_Min]]/60</f>
        <v>2.5833333333333335</v>
      </c>
      <c r="V34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5" s="6">
        <f>Master[[#This Row],[Facture_Mensuelle]]*Master[[#This Row],[Remise]]</f>
        <v>0</v>
      </c>
    </row>
    <row r="346" spans="1:24" x14ac:dyDescent="0.25">
      <c r="A346" s="1" t="s">
        <v>779</v>
      </c>
      <c r="B346" t="str">
        <f>IFERROR(VLOOKUP(Master[[#This Row],[Cell_ID]],Registre_Maintenance[],2,FALSE),"")</f>
        <v>Lualaba</v>
      </c>
      <c r="C346" s="1" t="s">
        <v>784</v>
      </c>
      <c r="D346" s="2">
        <v>45214.960416666669</v>
      </c>
      <c r="E346" s="3">
        <v>45214.960416666669</v>
      </c>
      <c r="F346">
        <v>38</v>
      </c>
      <c r="G346">
        <f>Master[[#This Row],[Duree_Panne_Min]]/60</f>
        <v>0.6333333333333333</v>
      </c>
      <c r="H346" s="1" t="s">
        <v>732</v>
      </c>
      <c r="I346">
        <f>IFERROR(VLOOKUP(Master[[#This Row],[Cell_ID]],Registre_Maintenance[],3,FALSE),"")</f>
        <v>-11.710407999999999</v>
      </c>
      <c r="J346">
        <f>IFERROR(VLOOKUP(Master[[#This Row],[Cell_ID]],Registre_Maintenance[],4,FALSE),"")</f>
        <v>23.741330999999999</v>
      </c>
      <c r="K346" t="str">
        <f>IFERROR(VLOOKUP(Master[[#This Row],[Cell_ID]],Registre_Maintenance[],5,FALSE),"")</f>
        <v>3G</v>
      </c>
      <c r="L346" t="str">
        <f>IFERROR(VLOOKUP(Master[[#This Row],[Cell_ID]],Registre_Maintenance[],6,FALSE),"")</f>
        <v>Huawei</v>
      </c>
      <c r="M346" s="1" t="str">
        <f>VLOOKUP(Master[[#This Row],[Province_RDC]],Client[],2,FALSE)</f>
        <v>CLI-01005</v>
      </c>
      <c r="N346" s="1">
        <f>VLOOKUP(Master[[#This Row],[Province_RDC]],Client[],3,FALSE)</f>
        <v>80</v>
      </c>
      <c r="O346" s="1" t="str">
        <f>VLOOKUP(Master[[#This Row],[Province_RDC]],Client[],4,FALSE)</f>
        <v>Illimité 50Go</v>
      </c>
      <c r="P346" s="1">
        <f>VLOOKUP(Master[[#This Row],[Province_RDC]],Client[],5,FALSE)</f>
        <v>155</v>
      </c>
      <c r="Q346" s="1">
        <f>VLOOKUP(Master[[#This Row],[Province_RDC]],Client[],6,FALSE)</f>
        <v>28.96</v>
      </c>
      <c r="R346" s="1">
        <f>VLOOKUP(Master[[#This Row],[Province_RDC]],Client[],7,FALSE)</f>
        <v>2</v>
      </c>
      <c r="S346" s="1" t="str">
        <f>IF(Master[[#This Row],[Type_Forfait]]="Pro Monde","B2B","B2C")</f>
        <v>B2C</v>
      </c>
      <c r="T346" s="1">
        <f>Master[[#This Row],[Anciennete_Mois]]/12</f>
        <v>6.666666666666667</v>
      </c>
      <c r="U346" s="1">
        <f>Master[[#This Row],[Duree_Cumule_Panne_Min]]/60</f>
        <v>2.5833333333333335</v>
      </c>
      <c r="V34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6" s="6">
        <f>Master[[#This Row],[Facture_Mensuelle]]*Master[[#This Row],[Remise]]</f>
        <v>0</v>
      </c>
    </row>
    <row r="347" spans="1:24" x14ac:dyDescent="0.25">
      <c r="A347" s="1" t="s">
        <v>1308</v>
      </c>
      <c r="B347" t="str">
        <f>IFERROR(VLOOKUP(Master[[#This Row],[Cell_ID]],Registre_Maintenance[],2,FALSE),"")</f>
        <v>Kwilu</v>
      </c>
      <c r="C347" s="1" t="s">
        <v>869</v>
      </c>
      <c r="D347" s="2">
        <v>45207.127083333333</v>
      </c>
      <c r="E347" s="3">
        <v>45207.127083333333</v>
      </c>
      <c r="F347">
        <v>38</v>
      </c>
      <c r="G347">
        <f>Master[[#This Row],[Duree_Panne_Min]]/60</f>
        <v>0.6333333333333333</v>
      </c>
      <c r="H347" s="1" t="s">
        <v>732</v>
      </c>
      <c r="I347">
        <f>IFERROR(VLOOKUP(Master[[#This Row],[Cell_ID]],Registre_Maintenance[],3,FALSE),"")</f>
        <v>-8.5675749999999997</v>
      </c>
      <c r="J347">
        <f>IFERROR(VLOOKUP(Master[[#This Row],[Cell_ID]],Registre_Maintenance[],4,FALSE),"")</f>
        <v>26.994581</v>
      </c>
      <c r="K347" t="str">
        <f>IFERROR(VLOOKUP(Master[[#This Row],[Cell_ID]],Registre_Maintenance[],5,FALSE),"")</f>
        <v>3G</v>
      </c>
      <c r="L347" t="str">
        <f>IFERROR(VLOOKUP(Master[[#This Row],[Cell_ID]],Registre_Maintenance[],6,FALSE),"")</f>
        <v>Nokia</v>
      </c>
      <c r="M347" s="1" t="str">
        <f>VLOOKUP(Master[[#This Row],[Province_RDC]],Client[],2,FALSE)</f>
        <v>CLI-00996</v>
      </c>
      <c r="N347" s="1">
        <f>VLOOKUP(Master[[#This Row],[Province_RDC]],Client[],3,FALSE)</f>
        <v>119</v>
      </c>
      <c r="O347" s="1" t="str">
        <f>VLOOKUP(Master[[#This Row],[Province_RDC]],Client[],4,FALSE)</f>
        <v>Illimité 50Go</v>
      </c>
      <c r="P347" s="1">
        <f>VLOOKUP(Master[[#This Row],[Province_RDC]],Client[],5,FALSE)</f>
        <v>228</v>
      </c>
      <c r="Q347" s="1">
        <f>VLOOKUP(Master[[#This Row],[Province_RDC]],Client[],6,FALSE)</f>
        <v>94.72</v>
      </c>
      <c r="R347" s="1">
        <f>VLOOKUP(Master[[#This Row],[Province_RDC]],Client[],7,FALSE)</f>
        <v>3</v>
      </c>
      <c r="S347" s="1" t="str">
        <f>IF(Master[[#This Row],[Type_Forfait]]="Pro Monde","B2B","B2C")</f>
        <v>B2C</v>
      </c>
      <c r="T347" s="1">
        <f>Master[[#This Row],[Anciennete_Mois]]/12</f>
        <v>9.9166666666666661</v>
      </c>
      <c r="U347" s="1">
        <f>Master[[#This Row],[Duree_Cumule_Panne_Min]]/60</f>
        <v>3.8</v>
      </c>
      <c r="V34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7" s="6">
        <f>Master[[#This Row],[Facture_Mensuelle]]*Master[[#This Row],[Remise]]</f>
        <v>0</v>
      </c>
    </row>
    <row r="348" spans="1:24" x14ac:dyDescent="0.25">
      <c r="A348" s="1" t="s">
        <v>730</v>
      </c>
      <c r="B348" t="str">
        <f>IFERROR(VLOOKUP(Master[[#This Row],[Cell_ID]],Registre_Maintenance[],2,FALSE),"")</f>
        <v>Tanganyika</v>
      </c>
      <c r="C348" s="1" t="s">
        <v>762</v>
      </c>
      <c r="D348" s="2">
        <v>45211.224305555559</v>
      </c>
      <c r="E348" s="3">
        <v>45211.224305555559</v>
      </c>
      <c r="F348">
        <v>37</v>
      </c>
      <c r="G348">
        <f>Master[[#This Row],[Duree_Panne_Min]]/60</f>
        <v>0.6166666666666667</v>
      </c>
      <c r="H348" s="1" t="s">
        <v>732</v>
      </c>
      <c r="I348">
        <f>IFERROR(VLOOKUP(Master[[#This Row],[Cell_ID]],Registre_Maintenance[],3,FALSE),"")</f>
        <v>-2.4662510000000002</v>
      </c>
      <c r="J348">
        <f>IFERROR(VLOOKUP(Master[[#This Row],[Cell_ID]],Registre_Maintenance[],4,FALSE),"")</f>
        <v>18.007998000000001</v>
      </c>
      <c r="K348" t="str">
        <f>IFERROR(VLOOKUP(Master[[#This Row],[Cell_ID]],Registre_Maintenance[],5,FALSE),"")</f>
        <v>5G</v>
      </c>
      <c r="L348" t="str">
        <f>IFERROR(VLOOKUP(Master[[#This Row],[Cell_ID]],Registre_Maintenance[],6,FALSE),"")</f>
        <v>Ericsson</v>
      </c>
      <c r="M348" s="1" t="str">
        <f>VLOOKUP(Master[[#This Row],[Province_RDC]],Client[],2,FALSE)</f>
        <v>CLI-01618</v>
      </c>
      <c r="N348" s="1">
        <f>VLOOKUP(Master[[#This Row],[Province_RDC]],Client[],3,FALSE)</f>
        <v>115</v>
      </c>
      <c r="O348" s="1" t="str">
        <f>VLOOKUP(Master[[#This Row],[Province_RDC]],Client[],4,FALSE)</f>
        <v>Bloqué 5Go</v>
      </c>
      <c r="P348" s="1">
        <f>VLOOKUP(Master[[#This Row],[Province_RDC]],Client[],5,FALSE)</f>
        <v>176</v>
      </c>
      <c r="Q348" s="1">
        <f>VLOOKUP(Master[[#This Row],[Province_RDC]],Client[],6,FALSE)</f>
        <v>33.28</v>
      </c>
      <c r="R348" s="1">
        <f>VLOOKUP(Master[[#This Row],[Province_RDC]],Client[],7,FALSE)</f>
        <v>4</v>
      </c>
      <c r="S348" s="1" t="str">
        <f>IF(Master[[#This Row],[Type_Forfait]]="Pro Monde","B2B","B2C")</f>
        <v>B2C</v>
      </c>
      <c r="T348" s="1">
        <f>Master[[#This Row],[Anciennete_Mois]]/12</f>
        <v>9.5833333333333339</v>
      </c>
      <c r="U348" s="1">
        <f>Master[[#This Row],[Duree_Cumule_Panne_Min]]/60</f>
        <v>2.9333333333333331</v>
      </c>
      <c r="V34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8" s="6">
        <f>Master[[#This Row],[Facture_Mensuelle]]*Master[[#This Row],[Remise]]</f>
        <v>0</v>
      </c>
    </row>
    <row r="349" spans="1:24" x14ac:dyDescent="0.25">
      <c r="A349" s="1" t="s">
        <v>1330</v>
      </c>
      <c r="B349" t="str">
        <f>IFERROR(VLOOKUP(Master[[#This Row],[Cell_ID]],Registre_Maintenance[],2,FALSE),"")</f>
        <v>Kwilu</v>
      </c>
      <c r="C349" s="1" t="s">
        <v>869</v>
      </c>
      <c r="D349" s="2">
        <v>45217.473611111112</v>
      </c>
      <c r="E349" s="3">
        <v>45217.473611111112</v>
      </c>
      <c r="F349">
        <v>37</v>
      </c>
      <c r="G349">
        <f>Master[[#This Row],[Duree_Panne_Min]]/60</f>
        <v>0.6166666666666667</v>
      </c>
      <c r="H349" s="1" t="s">
        <v>737</v>
      </c>
      <c r="I349">
        <f>IFERROR(VLOOKUP(Master[[#This Row],[Cell_ID]],Registre_Maintenance[],3,FALSE),"")</f>
        <v>-8.5675749999999997</v>
      </c>
      <c r="J349">
        <f>IFERROR(VLOOKUP(Master[[#This Row],[Cell_ID]],Registre_Maintenance[],4,FALSE),"")</f>
        <v>26.994581</v>
      </c>
      <c r="K349" t="str">
        <f>IFERROR(VLOOKUP(Master[[#This Row],[Cell_ID]],Registre_Maintenance[],5,FALSE),"")</f>
        <v>3G</v>
      </c>
      <c r="L349" t="str">
        <f>IFERROR(VLOOKUP(Master[[#This Row],[Cell_ID]],Registre_Maintenance[],6,FALSE),"")</f>
        <v>Nokia</v>
      </c>
      <c r="M349" s="1" t="str">
        <f>VLOOKUP(Master[[#This Row],[Province_RDC]],Client[],2,FALSE)</f>
        <v>CLI-00996</v>
      </c>
      <c r="N349" s="1">
        <f>VLOOKUP(Master[[#This Row],[Province_RDC]],Client[],3,FALSE)</f>
        <v>119</v>
      </c>
      <c r="O349" s="1" t="str">
        <f>VLOOKUP(Master[[#This Row],[Province_RDC]],Client[],4,FALSE)</f>
        <v>Illimité 50Go</v>
      </c>
      <c r="P349" s="1">
        <f>VLOOKUP(Master[[#This Row],[Province_RDC]],Client[],5,FALSE)</f>
        <v>228</v>
      </c>
      <c r="Q349" s="1">
        <f>VLOOKUP(Master[[#This Row],[Province_RDC]],Client[],6,FALSE)</f>
        <v>94.72</v>
      </c>
      <c r="R349" s="1">
        <f>VLOOKUP(Master[[#This Row],[Province_RDC]],Client[],7,FALSE)</f>
        <v>3</v>
      </c>
      <c r="S349" s="1" t="str">
        <f>IF(Master[[#This Row],[Type_Forfait]]="Pro Monde","B2B","B2C")</f>
        <v>B2C</v>
      </c>
      <c r="T349" s="1">
        <f>Master[[#This Row],[Anciennete_Mois]]/12</f>
        <v>9.9166666666666661</v>
      </c>
      <c r="U349" s="1">
        <f>Master[[#This Row],[Duree_Cumule_Panne_Min]]/60</f>
        <v>3.8</v>
      </c>
      <c r="V34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4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49" s="6">
        <f>Master[[#This Row],[Facture_Mensuelle]]*Master[[#This Row],[Remise]]</f>
        <v>0</v>
      </c>
    </row>
    <row r="350" spans="1:24" x14ac:dyDescent="0.25">
      <c r="A350" s="1" t="s">
        <v>939</v>
      </c>
      <c r="B350" t="str">
        <f>IFERROR(VLOOKUP(Master[[#This Row],[Cell_ID]],Registre_Maintenance[],2,FALSE),"")</f>
        <v>Kongo-Central</v>
      </c>
      <c r="C350" s="1" t="s">
        <v>975</v>
      </c>
      <c r="D350" s="2">
        <v>45230.484027777777</v>
      </c>
      <c r="E350" s="3">
        <v>45230.484027777777</v>
      </c>
      <c r="F350">
        <v>37</v>
      </c>
      <c r="G350">
        <f>Master[[#This Row],[Duree_Panne_Min]]/60</f>
        <v>0.6166666666666667</v>
      </c>
      <c r="H350" s="1" t="s">
        <v>735</v>
      </c>
      <c r="I350">
        <f>IFERROR(VLOOKUP(Master[[#This Row],[Cell_ID]],Registre_Maintenance[],3,FALSE),"")</f>
        <v>-12.564277000000001</v>
      </c>
      <c r="J350">
        <f>IFERROR(VLOOKUP(Master[[#This Row],[Cell_ID]],Registre_Maintenance[],4,FALSE),"")</f>
        <v>28.480798</v>
      </c>
      <c r="K350" t="str">
        <f>IFERROR(VLOOKUP(Master[[#This Row],[Cell_ID]],Registre_Maintenance[],5,FALSE),"")</f>
        <v>5G</v>
      </c>
      <c r="L350" t="str">
        <f>IFERROR(VLOOKUP(Master[[#This Row],[Cell_ID]],Registre_Maintenance[],6,FALSE),"")</f>
        <v>ZTE</v>
      </c>
      <c r="M350" s="1" t="str">
        <f>VLOOKUP(Master[[#This Row],[Province_RDC]],Client[],2,FALSE)</f>
        <v>CLI-01233</v>
      </c>
      <c r="N350" s="1">
        <f>VLOOKUP(Master[[#This Row],[Province_RDC]],Client[],3,FALSE)</f>
        <v>101</v>
      </c>
      <c r="O350" s="1" t="str">
        <f>VLOOKUP(Master[[#This Row],[Province_RDC]],Client[],4,FALSE)</f>
        <v>Pro Monde</v>
      </c>
      <c r="P350" s="1">
        <f>VLOOKUP(Master[[#This Row],[Province_RDC]],Client[],5,FALSE)</f>
        <v>333</v>
      </c>
      <c r="Q350" s="1">
        <f>VLOOKUP(Master[[#This Row],[Province_RDC]],Client[],6,FALSE)</f>
        <v>74.319999999999993</v>
      </c>
      <c r="R350" s="1">
        <f>VLOOKUP(Master[[#This Row],[Province_RDC]],Client[],7,FALSE)</f>
        <v>1</v>
      </c>
      <c r="S350" s="1" t="str">
        <f>IF(Master[[#This Row],[Type_Forfait]]="Pro Monde","B2B","B2C")</f>
        <v>B2B</v>
      </c>
      <c r="T350" s="1">
        <f>Master[[#This Row],[Anciennete_Mois]]/12</f>
        <v>8.4166666666666661</v>
      </c>
      <c r="U350" s="1">
        <f>Master[[#This Row],[Duree_Cumule_Panne_Min]]/60</f>
        <v>5.55</v>
      </c>
      <c r="V35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0" s="6">
        <f>Master[[#This Row],[Facture_Mensuelle]]*Master[[#This Row],[Remise]]</f>
        <v>33.443999999999996</v>
      </c>
    </row>
    <row r="351" spans="1:24" x14ac:dyDescent="0.25">
      <c r="A351" s="1" t="s">
        <v>1114</v>
      </c>
      <c r="B351" t="str">
        <f>IFERROR(VLOOKUP(Master[[#This Row],[Cell_ID]],Registre_Maintenance[],2,FALSE),"")</f>
        <v>Haut-Uele</v>
      </c>
      <c r="C351" s="1" t="s">
        <v>1128</v>
      </c>
      <c r="D351" s="2">
        <v>45206.563888888893</v>
      </c>
      <c r="E351" s="3">
        <v>45206.563888888893</v>
      </c>
      <c r="F351">
        <v>37</v>
      </c>
      <c r="G351">
        <f>Master[[#This Row],[Duree_Panne_Min]]/60</f>
        <v>0.6166666666666667</v>
      </c>
      <c r="H351" s="1" t="s">
        <v>732</v>
      </c>
      <c r="I351">
        <f>IFERROR(VLOOKUP(Master[[#This Row],[Cell_ID]],Registre_Maintenance[],3,FALSE),"")</f>
        <v>0.20866199999999999</v>
      </c>
      <c r="J351">
        <f>IFERROR(VLOOKUP(Master[[#This Row],[Cell_ID]],Registre_Maintenance[],4,FALSE),"")</f>
        <v>18.556439000000001</v>
      </c>
      <c r="K351" t="str">
        <f>IFERROR(VLOOKUP(Master[[#This Row],[Cell_ID]],Registre_Maintenance[],5,FALSE),"")</f>
        <v>4G</v>
      </c>
      <c r="L351" t="str">
        <f>IFERROR(VLOOKUP(Master[[#This Row],[Cell_ID]],Registre_Maintenance[],6,FALSE),"")</f>
        <v>Nokia</v>
      </c>
      <c r="M351" s="1" t="str">
        <f>VLOOKUP(Master[[#This Row],[Province_RDC]],Client[],2,FALSE)</f>
        <v>CLI-00439</v>
      </c>
      <c r="N351" s="1">
        <f>VLOOKUP(Master[[#This Row],[Province_RDC]],Client[],3,FALSE)</f>
        <v>40</v>
      </c>
      <c r="O351" s="1" t="str">
        <f>VLOOKUP(Master[[#This Row],[Province_RDC]],Client[],4,FALSE)</f>
        <v>Premium 5G 150Go</v>
      </c>
      <c r="P351" s="1">
        <f>VLOOKUP(Master[[#This Row],[Province_RDC]],Client[],5,FALSE)</f>
        <v>345</v>
      </c>
      <c r="Q351" s="1">
        <f>VLOOKUP(Master[[#This Row],[Province_RDC]],Client[],6,FALSE)</f>
        <v>89.55</v>
      </c>
      <c r="R351" s="1">
        <f>VLOOKUP(Master[[#This Row],[Province_RDC]],Client[],7,FALSE)</f>
        <v>3</v>
      </c>
      <c r="S351" s="1" t="str">
        <f>IF(Master[[#This Row],[Type_Forfait]]="Pro Monde","B2B","B2C")</f>
        <v>B2C</v>
      </c>
      <c r="T351" s="1">
        <f>Master[[#This Row],[Anciennete_Mois]]/12</f>
        <v>3.3333333333333335</v>
      </c>
      <c r="U351" s="1">
        <f>Master[[#This Row],[Duree_Cumule_Panne_Min]]/60</f>
        <v>5.75</v>
      </c>
      <c r="V35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1" s="6">
        <f>Master[[#This Row],[Facture_Mensuelle]]*Master[[#This Row],[Remise]]</f>
        <v>40.297499999999999</v>
      </c>
    </row>
    <row r="352" spans="1:24" x14ac:dyDescent="0.25">
      <c r="A352" s="1" t="s">
        <v>1330</v>
      </c>
      <c r="B352" t="str">
        <f>IFERROR(VLOOKUP(Master[[#This Row],[Cell_ID]],Registre_Maintenance[],2,FALSE),"")</f>
        <v>Haut-Katanga</v>
      </c>
      <c r="C352" s="1" t="s">
        <v>792</v>
      </c>
      <c r="D352" s="2">
        <v>45209.938888888893</v>
      </c>
      <c r="E352" s="3">
        <v>45209.938888888893</v>
      </c>
      <c r="F352">
        <v>37</v>
      </c>
      <c r="G352">
        <f>Master[[#This Row],[Duree_Panne_Min]]/60</f>
        <v>0.6166666666666667</v>
      </c>
      <c r="H352" s="1" t="s">
        <v>735</v>
      </c>
      <c r="I352">
        <f>IFERROR(VLOOKUP(Master[[#This Row],[Cell_ID]],Registre_Maintenance[],3,FALSE),"")</f>
        <v>-5.5445120000000001</v>
      </c>
      <c r="J352">
        <f>IFERROR(VLOOKUP(Master[[#This Row],[Cell_ID]],Registre_Maintenance[],4,FALSE),"")</f>
        <v>27.547335</v>
      </c>
      <c r="K352" t="str">
        <f>IFERROR(VLOOKUP(Master[[#This Row],[Cell_ID]],Registre_Maintenance[],5,FALSE),"")</f>
        <v>4G</v>
      </c>
      <c r="L352" t="str">
        <f>IFERROR(VLOOKUP(Master[[#This Row],[Cell_ID]],Registre_Maintenance[],6,FALSE),"")</f>
        <v>Ericsson</v>
      </c>
      <c r="M352" s="1" t="str">
        <f>VLOOKUP(Master[[#This Row],[Province_RDC]],Client[],2,FALSE)</f>
        <v>CLI-00076</v>
      </c>
      <c r="N352" s="1">
        <f>VLOOKUP(Master[[#This Row],[Province_RDC]],Client[],3,FALSE)</f>
        <v>46</v>
      </c>
      <c r="O352" s="1" t="str">
        <f>VLOOKUP(Master[[#This Row],[Province_RDC]],Client[],4,FALSE)</f>
        <v>Premium 5G 150Go</v>
      </c>
      <c r="P352" s="1">
        <f>VLOOKUP(Master[[#This Row],[Province_RDC]],Client[],5,FALSE)</f>
        <v>283</v>
      </c>
      <c r="Q352" s="1">
        <f>VLOOKUP(Master[[#This Row],[Province_RDC]],Client[],6,FALSE)</f>
        <v>56.05</v>
      </c>
      <c r="R352" s="1">
        <f>VLOOKUP(Master[[#This Row],[Province_RDC]],Client[],7,FALSE)</f>
        <v>1</v>
      </c>
      <c r="S352" s="1" t="str">
        <f>IF(Master[[#This Row],[Type_Forfait]]="Pro Monde","B2B","B2C")</f>
        <v>B2C</v>
      </c>
      <c r="T352" s="1">
        <f>Master[[#This Row],[Anciennete_Mois]]/12</f>
        <v>3.8333333333333335</v>
      </c>
      <c r="U352" s="1">
        <f>Master[[#This Row],[Duree_Cumule_Panne_Min]]/60</f>
        <v>4.7166666666666668</v>
      </c>
      <c r="V35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2" s="6">
        <f>Master[[#This Row],[Facture_Mensuelle]]*Master[[#This Row],[Remise]]</f>
        <v>25.2225</v>
      </c>
    </row>
    <row r="353" spans="1:24" x14ac:dyDescent="0.25">
      <c r="A353" s="1" t="s">
        <v>823</v>
      </c>
      <c r="B353" t="str">
        <f>IFERROR(VLOOKUP(Master[[#This Row],[Cell_ID]],Registre_Maintenance[],2,FALSE),"")</f>
        <v>Tanganyika</v>
      </c>
      <c r="C353" s="1" t="s">
        <v>852</v>
      </c>
      <c r="D353" s="2">
        <v>45225.965277777781</v>
      </c>
      <c r="E353" s="3">
        <v>45225.965277777781</v>
      </c>
      <c r="F353">
        <v>36</v>
      </c>
      <c r="G353">
        <f>Master[[#This Row],[Duree_Panne_Min]]/60</f>
        <v>0.6</v>
      </c>
      <c r="H353" s="1" t="s">
        <v>732</v>
      </c>
      <c r="I353">
        <f>IFERROR(VLOOKUP(Master[[#This Row],[Cell_ID]],Registre_Maintenance[],3,FALSE),"")</f>
        <v>-9.002459</v>
      </c>
      <c r="J353">
        <f>IFERROR(VLOOKUP(Master[[#This Row],[Cell_ID]],Registre_Maintenance[],4,FALSE),"")</f>
        <v>25.182109000000001</v>
      </c>
      <c r="K353" t="str">
        <f>IFERROR(VLOOKUP(Master[[#This Row],[Cell_ID]],Registre_Maintenance[],5,FALSE),"")</f>
        <v>5G</v>
      </c>
      <c r="L353" t="str">
        <f>IFERROR(VLOOKUP(Master[[#This Row],[Cell_ID]],Registre_Maintenance[],6,FALSE),"")</f>
        <v>Huawei</v>
      </c>
      <c r="M353" s="1" t="str">
        <f>VLOOKUP(Master[[#This Row],[Province_RDC]],Client[],2,FALSE)</f>
        <v>CLI-01618</v>
      </c>
      <c r="N353" s="1">
        <f>VLOOKUP(Master[[#This Row],[Province_RDC]],Client[],3,FALSE)</f>
        <v>115</v>
      </c>
      <c r="O353" s="1" t="str">
        <f>VLOOKUP(Master[[#This Row],[Province_RDC]],Client[],4,FALSE)</f>
        <v>Bloqué 5Go</v>
      </c>
      <c r="P353" s="1">
        <f>VLOOKUP(Master[[#This Row],[Province_RDC]],Client[],5,FALSE)</f>
        <v>176</v>
      </c>
      <c r="Q353" s="1">
        <f>VLOOKUP(Master[[#This Row],[Province_RDC]],Client[],6,FALSE)</f>
        <v>33.28</v>
      </c>
      <c r="R353" s="1">
        <f>VLOOKUP(Master[[#This Row],[Province_RDC]],Client[],7,FALSE)</f>
        <v>4</v>
      </c>
      <c r="S353" s="1" t="str">
        <f>IF(Master[[#This Row],[Type_Forfait]]="Pro Monde","B2B","B2C")</f>
        <v>B2C</v>
      </c>
      <c r="T353" s="1">
        <f>Master[[#This Row],[Anciennete_Mois]]/12</f>
        <v>9.5833333333333339</v>
      </c>
      <c r="U353" s="1">
        <f>Master[[#This Row],[Duree_Cumule_Panne_Min]]/60</f>
        <v>2.9333333333333331</v>
      </c>
      <c r="V35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5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53" s="6">
        <f>Master[[#This Row],[Facture_Mensuelle]]*Master[[#This Row],[Remise]]</f>
        <v>0</v>
      </c>
    </row>
    <row r="354" spans="1:24" x14ac:dyDescent="0.25">
      <c r="A354" s="1" t="s">
        <v>1261</v>
      </c>
      <c r="B354" t="str">
        <f>IFERROR(VLOOKUP(Master[[#This Row],[Cell_ID]],Registre_Maintenance[],2,FALSE),"")</f>
        <v>Nord-Kivu</v>
      </c>
      <c r="C354" s="1" t="s">
        <v>1273</v>
      </c>
      <c r="D354" s="2">
        <v>45216.460416666669</v>
      </c>
      <c r="E354" s="3">
        <v>45216.460416666669</v>
      </c>
      <c r="F354">
        <v>36</v>
      </c>
      <c r="G354">
        <f>Master[[#This Row],[Duree_Panne_Min]]/60</f>
        <v>0.6</v>
      </c>
      <c r="H354" s="1" t="s">
        <v>737</v>
      </c>
      <c r="I354">
        <f>IFERROR(VLOOKUP(Master[[#This Row],[Cell_ID]],Registre_Maintenance[],3,FALSE),"")</f>
        <v>-11.231472</v>
      </c>
      <c r="J354">
        <f>IFERROR(VLOOKUP(Master[[#This Row],[Cell_ID]],Registre_Maintenance[],4,FALSE),"")</f>
        <v>25.388874000000001</v>
      </c>
      <c r="K354" t="str">
        <f>IFERROR(VLOOKUP(Master[[#This Row],[Cell_ID]],Registre_Maintenance[],5,FALSE),"")</f>
        <v>4G</v>
      </c>
      <c r="L354" t="str">
        <f>IFERROR(VLOOKUP(Master[[#This Row],[Cell_ID]],Registre_Maintenance[],6,FALSE),"")</f>
        <v>Huawei</v>
      </c>
      <c r="M354" s="1" t="str">
        <f>VLOOKUP(Master[[#This Row],[Province_RDC]],Client[],2,FALSE)</f>
        <v>CLI-00837</v>
      </c>
      <c r="N354" s="1">
        <f>VLOOKUP(Master[[#This Row],[Province_RDC]],Client[],3,FALSE)</f>
        <v>16</v>
      </c>
      <c r="O354" s="1" t="str">
        <f>VLOOKUP(Master[[#This Row],[Province_RDC]],Client[],4,FALSE)</f>
        <v>Bloqué 5Go</v>
      </c>
      <c r="P354" s="1">
        <f>VLOOKUP(Master[[#This Row],[Province_RDC]],Client[],5,FALSE)</f>
        <v>390</v>
      </c>
      <c r="Q354" s="1">
        <f>VLOOKUP(Master[[#This Row],[Province_RDC]],Client[],6,FALSE)</f>
        <v>98.17</v>
      </c>
      <c r="R354" s="1">
        <f>VLOOKUP(Master[[#This Row],[Province_RDC]],Client[],7,FALSE)</f>
        <v>5</v>
      </c>
      <c r="S354" s="1" t="str">
        <f>IF(Master[[#This Row],[Type_Forfait]]="Pro Monde","B2B","B2C")</f>
        <v>B2C</v>
      </c>
      <c r="T354" s="1">
        <f>Master[[#This Row],[Anciennete_Mois]]/12</f>
        <v>1.3333333333333333</v>
      </c>
      <c r="U354" s="1">
        <f>Master[[#This Row],[Duree_Cumule_Panne_Min]]/60</f>
        <v>6.5</v>
      </c>
      <c r="V35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4" s="6">
        <f>Master[[#This Row],[Facture_Mensuelle]]*Master[[#This Row],[Remise]]</f>
        <v>44.176500000000004</v>
      </c>
    </row>
    <row r="355" spans="1:24" x14ac:dyDescent="0.25">
      <c r="A355" s="1" t="s">
        <v>823</v>
      </c>
      <c r="B355" t="str">
        <f>IFERROR(VLOOKUP(Master[[#This Row],[Cell_ID]],Registre_Maintenance[],2,FALSE),"")</f>
        <v>Lomami</v>
      </c>
      <c r="C355" s="1" t="s">
        <v>833</v>
      </c>
      <c r="D355" s="2">
        <v>45229.738194444442</v>
      </c>
      <c r="E355" s="3">
        <v>45229.738194444442</v>
      </c>
      <c r="F355">
        <v>36</v>
      </c>
      <c r="G355">
        <f>Master[[#This Row],[Duree_Panne_Min]]/60</f>
        <v>0.6</v>
      </c>
      <c r="H355" s="1" t="s">
        <v>735</v>
      </c>
      <c r="I355">
        <f>IFERROR(VLOOKUP(Master[[#This Row],[Cell_ID]],Registre_Maintenance[],3,FALSE),"")</f>
        <v>-11.218453999999999</v>
      </c>
      <c r="J355">
        <f>IFERROR(VLOOKUP(Master[[#This Row],[Cell_ID]],Registre_Maintenance[],4,FALSE),"")</f>
        <v>28.230025000000001</v>
      </c>
      <c r="K355" t="str">
        <f>IFERROR(VLOOKUP(Master[[#This Row],[Cell_ID]],Registre_Maintenance[],5,FALSE),"")</f>
        <v>5G</v>
      </c>
      <c r="L355" t="str">
        <f>IFERROR(VLOOKUP(Master[[#This Row],[Cell_ID]],Registre_Maintenance[],6,FALSE),"")</f>
        <v>ZTE</v>
      </c>
      <c r="M355" s="1" t="str">
        <f>VLOOKUP(Master[[#This Row],[Province_RDC]],Client[],2,FALSE)</f>
        <v>CLI-00505</v>
      </c>
      <c r="N355" s="1">
        <f>VLOOKUP(Master[[#This Row],[Province_RDC]],Client[],3,FALSE)</f>
        <v>59</v>
      </c>
      <c r="O355" s="1" t="str">
        <f>VLOOKUP(Master[[#This Row],[Province_RDC]],Client[],4,FALSE)</f>
        <v>Bloqué 5Go</v>
      </c>
      <c r="P355" s="1">
        <f>VLOOKUP(Master[[#This Row],[Province_RDC]],Client[],5,FALSE)</f>
        <v>196</v>
      </c>
      <c r="Q355" s="1">
        <f>VLOOKUP(Master[[#This Row],[Province_RDC]],Client[],6,FALSE)</f>
        <v>62.53</v>
      </c>
      <c r="R355" s="1">
        <f>VLOOKUP(Master[[#This Row],[Province_RDC]],Client[],7,FALSE)</f>
        <v>0</v>
      </c>
      <c r="S355" s="1" t="str">
        <f>IF(Master[[#This Row],[Type_Forfait]]="Pro Monde","B2B","B2C")</f>
        <v>B2C</v>
      </c>
      <c r="T355" s="1">
        <f>Master[[#This Row],[Anciennete_Mois]]/12</f>
        <v>4.916666666666667</v>
      </c>
      <c r="U355" s="1">
        <f>Master[[#This Row],[Duree_Cumule_Panne_Min]]/60</f>
        <v>3.2666666666666666</v>
      </c>
      <c r="V35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5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55" s="6">
        <f>Master[[#This Row],[Facture_Mensuelle]]*Master[[#This Row],[Remise]]</f>
        <v>0</v>
      </c>
    </row>
    <row r="356" spans="1:24" x14ac:dyDescent="0.25">
      <c r="A356" s="1" t="s">
        <v>1288</v>
      </c>
      <c r="B356" t="str">
        <f>IFERROR(VLOOKUP(Master[[#This Row],[Cell_ID]],Registre_Maintenance[],2,FALSE),"")</f>
        <v>Kongo-Central</v>
      </c>
      <c r="C356" s="1" t="s">
        <v>1297</v>
      </c>
      <c r="D356" s="2">
        <v>45205.768750000003</v>
      </c>
      <c r="E356" s="3">
        <v>45205.768750000003</v>
      </c>
      <c r="F356">
        <v>36</v>
      </c>
      <c r="G356">
        <f>Master[[#This Row],[Duree_Panne_Min]]/60</f>
        <v>0.6</v>
      </c>
      <c r="H356" s="1" t="s">
        <v>732</v>
      </c>
      <c r="I356">
        <f>IFERROR(VLOOKUP(Master[[#This Row],[Cell_ID]],Registre_Maintenance[],3,FALSE),"")</f>
        <v>-0.469945</v>
      </c>
      <c r="J356">
        <f>IFERROR(VLOOKUP(Master[[#This Row],[Cell_ID]],Registre_Maintenance[],4,FALSE),"")</f>
        <v>21.038527999999999</v>
      </c>
      <c r="K356" t="str">
        <f>IFERROR(VLOOKUP(Master[[#This Row],[Cell_ID]],Registre_Maintenance[],5,FALSE),"")</f>
        <v>3G</v>
      </c>
      <c r="L356" t="str">
        <f>IFERROR(VLOOKUP(Master[[#This Row],[Cell_ID]],Registre_Maintenance[],6,FALSE),"")</f>
        <v>Ericsson</v>
      </c>
      <c r="M356" s="1" t="str">
        <f>VLOOKUP(Master[[#This Row],[Province_RDC]],Client[],2,FALSE)</f>
        <v>CLI-01233</v>
      </c>
      <c r="N356" s="1">
        <f>VLOOKUP(Master[[#This Row],[Province_RDC]],Client[],3,FALSE)</f>
        <v>101</v>
      </c>
      <c r="O356" s="1" t="str">
        <f>VLOOKUP(Master[[#This Row],[Province_RDC]],Client[],4,FALSE)</f>
        <v>Pro Monde</v>
      </c>
      <c r="P356" s="1">
        <f>VLOOKUP(Master[[#This Row],[Province_RDC]],Client[],5,FALSE)</f>
        <v>333</v>
      </c>
      <c r="Q356" s="1">
        <f>VLOOKUP(Master[[#This Row],[Province_RDC]],Client[],6,FALSE)</f>
        <v>74.319999999999993</v>
      </c>
      <c r="R356" s="1">
        <f>VLOOKUP(Master[[#This Row],[Province_RDC]],Client[],7,FALSE)</f>
        <v>1</v>
      </c>
      <c r="S356" s="1" t="str">
        <f>IF(Master[[#This Row],[Type_Forfait]]="Pro Monde","B2B","B2C")</f>
        <v>B2B</v>
      </c>
      <c r="T356" s="1">
        <f>Master[[#This Row],[Anciennete_Mois]]/12</f>
        <v>8.4166666666666661</v>
      </c>
      <c r="U356" s="1">
        <f>Master[[#This Row],[Duree_Cumule_Panne_Min]]/60</f>
        <v>5.55</v>
      </c>
      <c r="V35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6" s="6">
        <f>Master[[#This Row],[Facture_Mensuelle]]*Master[[#This Row],[Remise]]</f>
        <v>33.443999999999996</v>
      </c>
    </row>
    <row r="357" spans="1:24" x14ac:dyDescent="0.25">
      <c r="A357" s="1" t="s">
        <v>861</v>
      </c>
      <c r="B357" t="str">
        <f>IFERROR(VLOOKUP(Master[[#This Row],[Cell_ID]],Registre_Maintenance[],2,FALSE),"")</f>
        <v>Kasai-Central</v>
      </c>
      <c r="C357" s="1" t="s">
        <v>878</v>
      </c>
      <c r="D357" s="2">
        <v>45206.027083333327</v>
      </c>
      <c r="E357" s="3">
        <v>45206.027083333327</v>
      </c>
      <c r="F357">
        <v>36</v>
      </c>
      <c r="G357">
        <f>Master[[#This Row],[Duree_Panne_Min]]/60</f>
        <v>0.6</v>
      </c>
      <c r="H357" s="1" t="s">
        <v>737</v>
      </c>
      <c r="I357">
        <f>IFERROR(VLOOKUP(Master[[#This Row],[Cell_ID]],Registre_Maintenance[],3,FALSE),"")</f>
        <v>-3.111418</v>
      </c>
      <c r="J357">
        <f>IFERROR(VLOOKUP(Master[[#This Row],[Cell_ID]],Registre_Maintenance[],4,FALSE),"")</f>
        <v>14.144854</v>
      </c>
      <c r="K357" t="str">
        <f>IFERROR(VLOOKUP(Master[[#This Row],[Cell_ID]],Registre_Maintenance[],5,FALSE),"")</f>
        <v>4G</v>
      </c>
      <c r="L357" t="str">
        <f>IFERROR(VLOOKUP(Master[[#This Row],[Cell_ID]],Registre_Maintenance[],6,FALSE),"")</f>
        <v>ZTE</v>
      </c>
      <c r="M357" s="1" t="str">
        <f>VLOOKUP(Master[[#This Row],[Province_RDC]],Client[],2,FALSE)</f>
        <v>CLI-00060</v>
      </c>
      <c r="N357" s="1">
        <f>VLOOKUP(Master[[#This Row],[Province_RDC]],Client[],3,FALSE)</f>
        <v>72</v>
      </c>
      <c r="O357" s="1" t="str">
        <f>VLOOKUP(Master[[#This Row],[Province_RDC]],Client[],4,FALSE)</f>
        <v>Pro Monde</v>
      </c>
      <c r="P357" s="1">
        <f>VLOOKUP(Master[[#This Row],[Province_RDC]],Client[],5,FALSE)</f>
        <v>160</v>
      </c>
      <c r="Q357" s="1">
        <f>VLOOKUP(Master[[#This Row],[Province_RDC]],Client[],6,FALSE)</f>
        <v>90.13</v>
      </c>
      <c r="R357" s="1">
        <f>VLOOKUP(Master[[#This Row],[Province_RDC]],Client[],7,FALSE)</f>
        <v>2</v>
      </c>
      <c r="S357" s="1" t="str">
        <f>IF(Master[[#This Row],[Type_Forfait]]="Pro Monde","B2B","B2C")</f>
        <v>B2B</v>
      </c>
      <c r="T357" s="1">
        <f>Master[[#This Row],[Anciennete_Mois]]/12</f>
        <v>6</v>
      </c>
      <c r="U357" s="1">
        <f>Master[[#This Row],[Duree_Cumule_Panne_Min]]/60</f>
        <v>2.6666666666666665</v>
      </c>
      <c r="V35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5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57" s="6">
        <f>Master[[#This Row],[Facture_Mensuelle]]*Master[[#This Row],[Remise]]</f>
        <v>9.0129999999999999</v>
      </c>
    </row>
    <row r="358" spans="1:24" x14ac:dyDescent="0.25">
      <c r="A358" s="1" t="s">
        <v>1288</v>
      </c>
      <c r="B358" t="str">
        <f>IFERROR(VLOOKUP(Master[[#This Row],[Cell_ID]],Registre_Maintenance[],2,FALSE),"")</f>
        <v>Nord-Ubangi</v>
      </c>
      <c r="C358" s="1" t="s">
        <v>763</v>
      </c>
      <c r="D358" s="2">
        <v>45205.013888888891</v>
      </c>
      <c r="E358" s="3">
        <v>45205.013888888891</v>
      </c>
      <c r="F358">
        <v>35</v>
      </c>
      <c r="G358">
        <f>Master[[#This Row],[Duree_Panne_Min]]/60</f>
        <v>0.58333333333333337</v>
      </c>
      <c r="H358" s="1" t="s">
        <v>735</v>
      </c>
      <c r="I358">
        <f>IFERROR(VLOOKUP(Master[[#This Row],[Cell_ID]],Registre_Maintenance[],3,FALSE),"")</f>
        <v>-8.1437910000000002</v>
      </c>
      <c r="J358">
        <f>IFERROR(VLOOKUP(Master[[#This Row],[Cell_ID]],Registre_Maintenance[],4,FALSE),"")</f>
        <v>28.946161</v>
      </c>
      <c r="K358" t="str">
        <f>IFERROR(VLOOKUP(Master[[#This Row],[Cell_ID]],Registre_Maintenance[],5,FALSE),"")</f>
        <v>4G</v>
      </c>
      <c r="L358" t="str">
        <f>IFERROR(VLOOKUP(Master[[#This Row],[Cell_ID]],Registre_Maintenance[],6,FALSE),"")</f>
        <v>ZTE</v>
      </c>
      <c r="M358" s="1" t="str">
        <f>VLOOKUP(Master[[#This Row],[Province_RDC]],Client[],2,FALSE)</f>
        <v>CLI-01170</v>
      </c>
      <c r="N358" s="1">
        <f>VLOOKUP(Master[[#This Row],[Province_RDC]],Client[],3,FALSE)</f>
        <v>98</v>
      </c>
      <c r="O358" s="1" t="str">
        <f>VLOOKUP(Master[[#This Row],[Province_RDC]],Client[],4,FALSE)</f>
        <v>Pro Monde</v>
      </c>
      <c r="P358" s="1">
        <f>VLOOKUP(Master[[#This Row],[Province_RDC]],Client[],5,FALSE)</f>
        <v>482</v>
      </c>
      <c r="Q358" s="1">
        <f>VLOOKUP(Master[[#This Row],[Province_RDC]],Client[],6,FALSE)</f>
        <v>55.04</v>
      </c>
      <c r="R358" s="1">
        <f>VLOOKUP(Master[[#This Row],[Province_RDC]],Client[],7,FALSE)</f>
        <v>5</v>
      </c>
      <c r="S358" s="1" t="str">
        <f>IF(Master[[#This Row],[Type_Forfait]]="Pro Monde","B2B","B2C")</f>
        <v>B2B</v>
      </c>
      <c r="T358" s="1">
        <f>Master[[#This Row],[Anciennete_Mois]]/12</f>
        <v>8.1666666666666661</v>
      </c>
      <c r="U358" s="1">
        <f>Master[[#This Row],[Duree_Cumule_Panne_Min]]/60</f>
        <v>8.0333333333333332</v>
      </c>
      <c r="V35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8" s="6">
        <f>Master[[#This Row],[Facture_Mensuelle]]*Master[[#This Row],[Remise]]</f>
        <v>24.768000000000001</v>
      </c>
    </row>
    <row r="359" spans="1:24" x14ac:dyDescent="0.25">
      <c r="A359" s="1" t="s">
        <v>1024</v>
      </c>
      <c r="B359" t="str">
        <f>IFERROR(VLOOKUP(Master[[#This Row],[Cell_ID]],Registre_Maintenance[],2,FALSE),"")</f>
        <v>Bas-Uele</v>
      </c>
      <c r="C359" s="1" t="s">
        <v>1057</v>
      </c>
      <c r="D359" s="2">
        <v>45202.412499999999</v>
      </c>
      <c r="E359" s="3">
        <v>45202.412499999999</v>
      </c>
      <c r="F359">
        <v>35</v>
      </c>
      <c r="G359">
        <f>Master[[#This Row],[Duree_Panne_Min]]/60</f>
        <v>0.58333333333333337</v>
      </c>
      <c r="H359" s="1" t="s">
        <v>732</v>
      </c>
      <c r="I359">
        <f>IFERROR(VLOOKUP(Master[[#This Row],[Cell_ID]],Registre_Maintenance[],3,FALSE),"")</f>
        <v>-6.4197189999999997</v>
      </c>
      <c r="J359">
        <f>IFERROR(VLOOKUP(Master[[#This Row],[Cell_ID]],Registre_Maintenance[],4,FALSE),"")</f>
        <v>22.287264</v>
      </c>
      <c r="K359" t="str">
        <f>IFERROR(VLOOKUP(Master[[#This Row],[Cell_ID]],Registre_Maintenance[],5,FALSE),"")</f>
        <v>3G</v>
      </c>
      <c r="L359" t="str">
        <f>IFERROR(VLOOKUP(Master[[#This Row],[Cell_ID]],Registre_Maintenance[],6,FALSE),"")</f>
        <v>Ericsson</v>
      </c>
      <c r="M359" s="1" t="str">
        <f>VLOOKUP(Master[[#This Row],[Province_RDC]],Client[],2,FALSE)</f>
        <v>CLI-01128</v>
      </c>
      <c r="N359" s="1">
        <f>VLOOKUP(Master[[#This Row],[Province_RDC]],Client[],3,FALSE)</f>
        <v>112</v>
      </c>
      <c r="O359" s="1" t="str">
        <f>VLOOKUP(Master[[#This Row],[Province_RDC]],Client[],4,FALSE)</f>
        <v>Premium 5G 150Go</v>
      </c>
      <c r="P359" s="1">
        <f>VLOOKUP(Master[[#This Row],[Province_RDC]],Client[],5,FALSE)</f>
        <v>460</v>
      </c>
      <c r="Q359" s="1">
        <f>VLOOKUP(Master[[#This Row],[Province_RDC]],Client[],6,FALSE)</f>
        <v>55.47</v>
      </c>
      <c r="R359" s="1">
        <f>VLOOKUP(Master[[#This Row],[Province_RDC]],Client[],7,FALSE)</f>
        <v>4</v>
      </c>
      <c r="S359" s="1" t="str">
        <f>IF(Master[[#This Row],[Type_Forfait]]="Pro Monde","B2B","B2C")</f>
        <v>B2C</v>
      </c>
      <c r="T359" s="1">
        <f>Master[[#This Row],[Anciennete_Mois]]/12</f>
        <v>9.3333333333333339</v>
      </c>
      <c r="U359" s="1">
        <f>Master[[#This Row],[Duree_Cumule_Panne_Min]]/60</f>
        <v>7.666666666666667</v>
      </c>
      <c r="V35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5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59" s="6">
        <f>Master[[#This Row],[Facture_Mensuelle]]*Master[[#This Row],[Remise]]</f>
        <v>24.961500000000001</v>
      </c>
    </row>
    <row r="360" spans="1:24" x14ac:dyDescent="0.25">
      <c r="A360" s="1" t="s">
        <v>999</v>
      </c>
      <c r="B360" t="str">
        <f>IFERROR(VLOOKUP(Master[[#This Row],[Cell_ID]],Registre_Maintenance[],2,FALSE),"")</f>
        <v>Sankuru</v>
      </c>
      <c r="C360" s="1" t="s">
        <v>1010</v>
      </c>
      <c r="D360" s="2">
        <v>45205.191666666673</v>
      </c>
      <c r="E360" s="3">
        <v>45205.191666666673</v>
      </c>
      <c r="F360">
        <v>34</v>
      </c>
      <c r="G360">
        <f>Master[[#This Row],[Duree_Panne_Min]]/60</f>
        <v>0.56666666666666665</v>
      </c>
      <c r="H360" s="1" t="s">
        <v>732</v>
      </c>
      <c r="I360">
        <f>IFERROR(VLOOKUP(Master[[#This Row],[Cell_ID]],Registre_Maintenance[],3,FALSE),"")</f>
        <v>-4.7886769999999999</v>
      </c>
      <c r="J360">
        <f>IFERROR(VLOOKUP(Master[[#This Row],[Cell_ID]],Registre_Maintenance[],4,FALSE),"")</f>
        <v>23.600221999999999</v>
      </c>
      <c r="K360" t="str">
        <f>IFERROR(VLOOKUP(Master[[#This Row],[Cell_ID]],Registre_Maintenance[],5,FALSE),"")</f>
        <v>3G</v>
      </c>
      <c r="L360" t="str">
        <f>IFERROR(VLOOKUP(Master[[#This Row],[Cell_ID]],Registre_Maintenance[],6,FALSE),"")</f>
        <v>ZTE</v>
      </c>
      <c r="M360" s="1" t="str">
        <f>VLOOKUP(Master[[#This Row],[Province_RDC]],Client[],2,FALSE)</f>
        <v>CLI-00530</v>
      </c>
      <c r="N360" s="1">
        <f>VLOOKUP(Master[[#This Row],[Province_RDC]],Client[],3,FALSE)</f>
        <v>35</v>
      </c>
      <c r="O360" s="1" t="str">
        <f>VLOOKUP(Master[[#This Row],[Province_RDC]],Client[],4,FALSE)</f>
        <v>Pro Monde</v>
      </c>
      <c r="P360" s="1">
        <f>VLOOKUP(Master[[#This Row],[Province_RDC]],Client[],5,FALSE)</f>
        <v>465</v>
      </c>
      <c r="Q360" s="1">
        <f>VLOOKUP(Master[[#This Row],[Province_RDC]],Client[],6,FALSE)</f>
        <v>58.59</v>
      </c>
      <c r="R360" s="1">
        <f>VLOOKUP(Master[[#This Row],[Province_RDC]],Client[],7,FALSE)</f>
        <v>5</v>
      </c>
      <c r="S360" s="1" t="str">
        <f>IF(Master[[#This Row],[Type_Forfait]]="Pro Monde","B2B","B2C")</f>
        <v>B2B</v>
      </c>
      <c r="T360" s="1">
        <f>Master[[#This Row],[Anciennete_Mois]]/12</f>
        <v>2.9166666666666665</v>
      </c>
      <c r="U360" s="1">
        <f>Master[[#This Row],[Duree_Cumule_Panne_Min]]/60</f>
        <v>7.75</v>
      </c>
      <c r="V36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0" s="6">
        <f>Master[[#This Row],[Facture_Mensuelle]]*Master[[#This Row],[Remise]]</f>
        <v>26.365500000000001</v>
      </c>
    </row>
    <row r="361" spans="1:24" x14ac:dyDescent="0.25">
      <c r="A361" s="1" t="s">
        <v>1165</v>
      </c>
      <c r="B361" t="str">
        <f>IFERROR(VLOOKUP(Master[[#This Row],[Cell_ID]],Registre_Maintenance[],2,FALSE),"")</f>
        <v>Kwilu</v>
      </c>
      <c r="C361" s="1" t="s">
        <v>1182</v>
      </c>
      <c r="D361" s="2">
        <v>45214.736805555563</v>
      </c>
      <c r="E361" s="3">
        <v>45214.736805555563</v>
      </c>
      <c r="F361">
        <v>34</v>
      </c>
      <c r="G361">
        <f>Master[[#This Row],[Duree_Panne_Min]]/60</f>
        <v>0.56666666666666665</v>
      </c>
      <c r="H361" s="1" t="s">
        <v>737</v>
      </c>
      <c r="I361">
        <f>IFERROR(VLOOKUP(Master[[#This Row],[Cell_ID]],Registre_Maintenance[],3,FALSE),"")</f>
        <v>5.3608999999999997E-2</v>
      </c>
      <c r="J361">
        <f>IFERROR(VLOOKUP(Master[[#This Row],[Cell_ID]],Registre_Maintenance[],4,FALSE),"")</f>
        <v>28.346852999999999</v>
      </c>
      <c r="K361" t="str">
        <f>IFERROR(VLOOKUP(Master[[#This Row],[Cell_ID]],Registre_Maintenance[],5,FALSE),"")</f>
        <v>3G</v>
      </c>
      <c r="L361" t="str">
        <f>IFERROR(VLOOKUP(Master[[#This Row],[Cell_ID]],Registre_Maintenance[],6,FALSE),"")</f>
        <v>ZTE</v>
      </c>
      <c r="M361" s="1" t="str">
        <f>VLOOKUP(Master[[#This Row],[Province_RDC]],Client[],2,FALSE)</f>
        <v>CLI-00996</v>
      </c>
      <c r="N361" s="1">
        <f>VLOOKUP(Master[[#This Row],[Province_RDC]],Client[],3,FALSE)</f>
        <v>119</v>
      </c>
      <c r="O361" s="1" t="str">
        <f>VLOOKUP(Master[[#This Row],[Province_RDC]],Client[],4,FALSE)</f>
        <v>Illimité 50Go</v>
      </c>
      <c r="P361" s="1">
        <f>VLOOKUP(Master[[#This Row],[Province_RDC]],Client[],5,FALSE)</f>
        <v>228</v>
      </c>
      <c r="Q361" s="1">
        <f>VLOOKUP(Master[[#This Row],[Province_RDC]],Client[],6,FALSE)</f>
        <v>94.72</v>
      </c>
      <c r="R361" s="1">
        <f>VLOOKUP(Master[[#This Row],[Province_RDC]],Client[],7,FALSE)</f>
        <v>3</v>
      </c>
      <c r="S361" s="1" t="str">
        <f>IF(Master[[#This Row],[Type_Forfait]]="Pro Monde","B2B","B2C")</f>
        <v>B2C</v>
      </c>
      <c r="T361" s="1">
        <f>Master[[#This Row],[Anciennete_Mois]]/12</f>
        <v>9.9166666666666661</v>
      </c>
      <c r="U361" s="1">
        <f>Master[[#This Row],[Duree_Cumule_Panne_Min]]/60</f>
        <v>3.8</v>
      </c>
      <c r="V36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6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61" s="6">
        <f>Master[[#This Row],[Facture_Mensuelle]]*Master[[#This Row],[Remise]]</f>
        <v>0</v>
      </c>
    </row>
    <row r="362" spans="1:24" x14ac:dyDescent="0.25">
      <c r="A362" s="1" t="s">
        <v>1024</v>
      </c>
      <c r="B362" t="str">
        <f>IFERROR(VLOOKUP(Master[[#This Row],[Cell_ID]],Registre_Maintenance[],2,FALSE),"")</f>
        <v>Kasai-Oriental</v>
      </c>
      <c r="C362" s="1" t="s">
        <v>1055</v>
      </c>
      <c r="D362" s="2">
        <v>45230.633333333331</v>
      </c>
      <c r="E362" s="3">
        <v>45230.633333333331</v>
      </c>
      <c r="F362">
        <v>34</v>
      </c>
      <c r="G362">
        <f>Master[[#This Row],[Duree_Panne_Min]]/60</f>
        <v>0.56666666666666665</v>
      </c>
      <c r="H362" s="1" t="s">
        <v>732</v>
      </c>
      <c r="I362">
        <f>IFERROR(VLOOKUP(Master[[#This Row],[Cell_ID]],Registre_Maintenance[],3,FALSE),"")</f>
        <v>2.486888</v>
      </c>
      <c r="J362">
        <f>IFERROR(VLOOKUP(Master[[#This Row],[Cell_ID]],Registre_Maintenance[],4,FALSE),"")</f>
        <v>23.798074</v>
      </c>
      <c r="K362" t="str">
        <f>IFERROR(VLOOKUP(Master[[#This Row],[Cell_ID]],Registre_Maintenance[],5,FALSE),"")</f>
        <v>5G</v>
      </c>
      <c r="L362" t="str">
        <f>IFERROR(VLOOKUP(Master[[#This Row],[Cell_ID]],Registre_Maintenance[],6,FALSE),"")</f>
        <v>ZTE</v>
      </c>
      <c r="M362" s="1" t="str">
        <f>VLOOKUP(Master[[#This Row],[Province_RDC]],Client[],2,FALSE)</f>
        <v>CLI-01837</v>
      </c>
      <c r="N362" s="1">
        <f>VLOOKUP(Master[[#This Row],[Province_RDC]],Client[],3,FALSE)</f>
        <v>97</v>
      </c>
      <c r="O362" s="1" t="str">
        <f>VLOOKUP(Master[[#This Row],[Province_RDC]],Client[],4,FALSE)</f>
        <v>Pro Monde</v>
      </c>
      <c r="P362" s="1">
        <f>VLOOKUP(Master[[#This Row],[Province_RDC]],Client[],5,FALSE)</f>
        <v>319</v>
      </c>
      <c r="Q362" s="1">
        <f>VLOOKUP(Master[[#This Row],[Province_RDC]],Client[],6,FALSE)</f>
        <v>31.25</v>
      </c>
      <c r="R362" s="1">
        <f>VLOOKUP(Master[[#This Row],[Province_RDC]],Client[],7,FALSE)</f>
        <v>1</v>
      </c>
      <c r="S362" s="1" t="str">
        <f>IF(Master[[#This Row],[Type_Forfait]]="Pro Monde","B2B","B2C")</f>
        <v>B2B</v>
      </c>
      <c r="T362" s="1">
        <f>Master[[#This Row],[Anciennete_Mois]]/12</f>
        <v>8.0833333333333339</v>
      </c>
      <c r="U362" s="1">
        <f>Master[[#This Row],[Duree_Cumule_Panne_Min]]/60</f>
        <v>5.3166666666666664</v>
      </c>
      <c r="V36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2" s="6">
        <f>Master[[#This Row],[Facture_Mensuelle]]*Master[[#This Row],[Remise]]</f>
        <v>14.0625</v>
      </c>
    </row>
    <row r="363" spans="1:24" x14ac:dyDescent="0.25">
      <c r="A363" s="1" t="s">
        <v>939</v>
      </c>
      <c r="B363" t="str">
        <f>IFERROR(VLOOKUP(Master[[#This Row],[Cell_ID]],Registre_Maintenance[],2,FALSE),"")</f>
        <v>Kasai</v>
      </c>
      <c r="C363" s="1" t="s">
        <v>970</v>
      </c>
      <c r="D363" s="2">
        <v>45221.313194444447</v>
      </c>
      <c r="E363" s="3">
        <v>45221.313194444447</v>
      </c>
      <c r="F363">
        <v>34</v>
      </c>
      <c r="G363">
        <f>Master[[#This Row],[Duree_Panne_Min]]/60</f>
        <v>0.56666666666666665</v>
      </c>
      <c r="H363" s="1" t="s">
        <v>735</v>
      </c>
      <c r="I363">
        <f>IFERROR(VLOOKUP(Master[[#This Row],[Cell_ID]],Registre_Maintenance[],3,FALSE),"")</f>
        <v>-10.165072</v>
      </c>
      <c r="J363">
        <f>IFERROR(VLOOKUP(Master[[#This Row],[Cell_ID]],Registre_Maintenance[],4,FALSE),"")</f>
        <v>29.428024000000001</v>
      </c>
      <c r="K363" t="str">
        <f>IFERROR(VLOOKUP(Master[[#This Row],[Cell_ID]],Registre_Maintenance[],5,FALSE),"")</f>
        <v>5G</v>
      </c>
      <c r="L363" t="str">
        <f>IFERROR(VLOOKUP(Master[[#This Row],[Cell_ID]],Registre_Maintenance[],6,FALSE),"")</f>
        <v>Huawei</v>
      </c>
      <c r="M363" s="1" t="str">
        <f>VLOOKUP(Master[[#This Row],[Province_RDC]],Client[],2,FALSE)</f>
        <v>CLI-00559</v>
      </c>
      <c r="N363" s="1">
        <f>VLOOKUP(Master[[#This Row],[Province_RDC]],Client[],3,FALSE)</f>
        <v>99</v>
      </c>
      <c r="O363" s="1" t="str">
        <f>VLOOKUP(Master[[#This Row],[Province_RDC]],Client[],4,FALSE)</f>
        <v>Bloqué 5Go</v>
      </c>
      <c r="P363" s="1">
        <f>VLOOKUP(Master[[#This Row],[Province_RDC]],Client[],5,FALSE)</f>
        <v>369</v>
      </c>
      <c r="Q363" s="1">
        <f>VLOOKUP(Master[[#This Row],[Province_RDC]],Client[],6,FALSE)</f>
        <v>67.209999999999994</v>
      </c>
      <c r="R363" s="1">
        <f>VLOOKUP(Master[[#This Row],[Province_RDC]],Client[],7,FALSE)</f>
        <v>3</v>
      </c>
      <c r="S363" s="1" t="str">
        <f>IF(Master[[#This Row],[Type_Forfait]]="Pro Monde","B2B","B2C")</f>
        <v>B2C</v>
      </c>
      <c r="T363" s="1">
        <f>Master[[#This Row],[Anciennete_Mois]]/12</f>
        <v>8.25</v>
      </c>
      <c r="U363" s="1">
        <f>Master[[#This Row],[Duree_Cumule_Panne_Min]]/60</f>
        <v>6.15</v>
      </c>
      <c r="V36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3" s="6">
        <f>Master[[#This Row],[Facture_Mensuelle]]*Master[[#This Row],[Remise]]</f>
        <v>30.244499999999999</v>
      </c>
    </row>
    <row r="364" spans="1:24" x14ac:dyDescent="0.25">
      <c r="A364" s="1" t="s">
        <v>1288</v>
      </c>
      <c r="B364" t="str">
        <f>IFERROR(VLOOKUP(Master[[#This Row],[Cell_ID]],Registre_Maintenance[],2,FALSE),"")</f>
        <v>Equateur</v>
      </c>
      <c r="C364" s="1" t="s">
        <v>1200</v>
      </c>
      <c r="D364" s="2">
        <v>45204.122916666667</v>
      </c>
      <c r="E364" s="3">
        <v>45204.122916666667</v>
      </c>
      <c r="F364">
        <v>34</v>
      </c>
      <c r="G364">
        <f>Master[[#This Row],[Duree_Panne_Min]]/60</f>
        <v>0.56666666666666665</v>
      </c>
      <c r="H364" s="1" t="s">
        <v>732</v>
      </c>
      <c r="I364">
        <f>IFERROR(VLOOKUP(Master[[#This Row],[Cell_ID]],Registre_Maintenance[],3,FALSE),"")</f>
        <v>-6.1490739999999997</v>
      </c>
      <c r="J364">
        <f>IFERROR(VLOOKUP(Master[[#This Row],[Cell_ID]],Registre_Maintenance[],4,FALSE),"")</f>
        <v>23.304411000000002</v>
      </c>
      <c r="K364" t="str">
        <f>IFERROR(VLOOKUP(Master[[#This Row],[Cell_ID]],Registre_Maintenance[],5,FALSE),"")</f>
        <v>5G</v>
      </c>
      <c r="L364" t="str">
        <f>IFERROR(VLOOKUP(Master[[#This Row],[Cell_ID]],Registre_Maintenance[],6,FALSE),"")</f>
        <v>ZTE</v>
      </c>
      <c r="M364" s="1" t="str">
        <f>VLOOKUP(Master[[#This Row],[Province_RDC]],Client[],2,FALSE)</f>
        <v>CLI-00643</v>
      </c>
      <c r="N364" s="1">
        <f>VLOOKUP(Master[[#This Row],[Province_RDC]],Client[],3,FALSE)</f>
        <v>14</v>
      </c>
      <c r="O364" s="1" t="str">
        <f>VLOOKUP(Master[[#This Row],[Province_RDC]],Client[],4,FALSE)</f>
        <v>Pro Monde</v>
      </c>
      <c r="P364" s="1">
        <f>VLOOKUP(Master[[#This Row],[Province_RDC]],Client[],5,FALSE)</f>
        <v>316</v>
      </c>
      <c r="Q364" s="1">
        <f>VLOOKUP(Master[[#This Row],[Province_RDC]],Client[],6,FALSE)</f>
        <v>62.34</v>
      </c>
      <c r="R364" s="1">
        <f>VLOOKUP(Master[[#This Row],[Province_RDC]],Client[],7,FALSE)</f>
        <v>4</v>
      </c>
      <c r="S364" s="1" t="str">
        <f>IF(Master[[#This Row],[Type_Forfait]]="Pro Monde","B2B","B2C")</f>
        <v>B2B</v>
      </c>
      <c r="T364" s="1">
        <f>Master[[#This Row],[Anciennete_Mois]]/12</f>
        <v>1.1666666666666667</v>
      </c>
      <c r="U364" s="1">
        <f>Master[[#This Row],[Duree_Cumule_Panne_Min]]/60</f>
        <v>5.2666666666666666</v>
      </c>
      <c r="V36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4" s="6">
        <f>Master[[#This Row],[Facture_Mensuelle]]*Master[[#This Row],[Remise]]</f>
        <v>28.053000000000001</v>
      </c>
    </row>
    <row r="365" spans="1:24" x14ac:dyDescent="0.25">
      <c r="A365" s="1" t="s">
        <v>978</v>
      </c>
      <c r="B365" t="str">
        <f>IFERROR(VLOOKUP(Master[[#This Row],[Cell_ID]],Registre_Maintenance[],2,FALSE),"")</f>
        <v>Nord-Ubangi</v>
      </c>
      <c r="C365" s="1" t="s">
        <v>990</v>
      </c>
      <c r="D365" s="2">
        <v>45226.586805555547</v>
      </c>
      <c r="E365" s="3">
        <v>45226.586805555547</v>
      </c>
      <c r="F365">
        <v>33</v>
      </c>
      <c r="G365">
        <f>Master[[#This Row],[Duree_Panne_Min]]/60</f>
        <v>0.55000000000000004</v>
      </c>
      <c r="H365" s="1" t="s">
        <v>737</v>
      </c>
      <c r="I365">
        <f>IFERROR(VLOOKUP(Master[[#This Row],[Cell_ID]],Registre_Maintenance[],3,FALSE),"")</f>
        <v>-7.7839049999999999</v>
      </c>
      <c r="J365">
        <f>IFERROR(VLOOKUP(Master[[#This Row],[Cell_ID]],Registre_Maintenance[],4,FALSE),"")</f>
        <v>14.114281999999999</v>
      </c>
      <c r="K365" t="str">
        <f>IFERROR(VLOOKUP(Master[[#This Row],[Cell_ID]],Registre_Maintenance[],5,FALSE),"")</f>
        <v>3G</v>
      </c>
      <c r="L365" t="str">
        <f>IFERROR(VLOOKUP(Master[[#This Row],[Cell_ID]],Registre_Maintenance[],6,FALSE),"")</f>
        <v>ZTE</v>
      </c>
      <c r="M365" s="1" t="str">
        <f>VLOOKUP(Master[[#This Row],[Province_RDC]],Client[],2,FALSE)</f>
        <v>CLI-01170</v>
      </c>
      <c r="N365" s="1">
        <f>VLOOKUP(Master[[#This Row],[Province_RDC]],Client[],3,FALSE)</f>
        <v>98</v>
      </c>
      <c r="O365" s="1" t="str">
        <f>VLOOKUP(Master[[#This Row],[Province_RDC]],Client[],4,FALSE)</f>
        <v>Pro Monde</v>
      </c>
      <c r="P365" s="1">
        <f>VLOOKUP(Master[[#This Row],[Province_RDC]],Client[],5,FALSE)</f>
        <v>482</v>
      </c>
      <c r="Q365" s="1">
        <f>VLOOKUP(Master[[#This Row],[Province_RDC]],Client[],6,FALSE)</f>
        <v>55.04</v>
      </c>
      <c r="R365" s="1">
        <f>VLOOKUP(Master[[#This Row],[Province_RDC]],Client[],7,FALSE)</f>
        <v>5</v>
      </c>
      <c r="S365" s="1" t="str">
        <f>IF(Master[[#This Row],[Type_Forfait]]="Pro Monde","B2B","B2C")</f>
        <v>B2B</v>
      </c>
      <c r="T365" s="1">
        <f>Master[[#This Row],[Anciennete_Mois]]/12</f>
        <v>8.1666666666666661</v>
      </c>
      <c r="U365" s="1">
        <f>Master[[#This Row],[Duree_Cumule_Panne_Min]]/60</f>
        <v>8.0333333333333332</v>
      </c>
      <c r="V36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5" s="6">
        <f>Master[[#This Row],[Facture_Mensuelle]]*Master[[#This Row],[Remise]]</f>
        <v>24.768000000000001</v>
      </c>
    </row>
    <row r="366" spans="1:24" x14ac:dyDescent="0.25">
      <c r="A366" s="1" t="s">
        <v>1219</v>
      </c>
      <c r="B366" t="str">
        <f>IFERROR(VLOOKUP(Master[[#This Row],[Cell_ID]],Registre_Maintenance[],2,FALSE),"")</f>
        <v>Mongala</v>
      </c>
      <c r="C366" s="1" t="s">
        <v>1041</v>
      </c>
      <c r="D366" s="2">
        <v>45222.188888888893</v>
      </c>
      <c r="E366" s="3">
        <v>45222.188888888893</v>
      </c>
      <c r="F366">
        <v>33</v>
      </c>
      <c r="G366">
        <f>Master[[#This Row],[Duree_Panne_Min]]/60</f>
        <v>0.55000000000000004</v>
      </c>
      <c r="H366" s="1" t="s">
        <v>732</v>
      </c>
      <c r="I366">
        <f>IFERROR(VLOOKUP(Master[[#This Row],[Cell_ID]],Registre_Maintenance[],3,FALSE),"")</f>
        <v>-5.3762689999999997</v>
      </c>
      <c r="J366">
        <f>IFERROR(VLOOKUP(Master[[#This Row],[Cell_ID]],Registre_Maintenance[],4,FALSE),"")</f>
        <v>28.189575999999999</v>
      </c>
      <c r="K366" t="str">
        <f>IFERROR(VLOOKUP(Master[[#This Row],[Cell_ID]],Registre_Maintenance[],5,FALSE),"")</f>
        <v>5G</v>
      </c>
      <c r="L366" t="str">
        <f>IFERROR(VLOOKUP(Master[[#This Row],[Cell_ID]],Registre_Maintenance[],6,FALSE),"")</f>
        <v>Huawei</v>
      </c>
      <c r="M366" s="1" t="str">
        <f>VLOOKUP(Master[[#This Row],[Province_RDC]],Client[],2,FALSE)</f>
        <v>CLI-00865</v>
      </c>
      <c r="N366" s="1">
        <f>VLOOKUP(Master[[#This Row],[Province_RDC]],Client[],3,FALSE)</f>
        <v>34</v>
      </c>
      <c r="O366" s="1" t="str">
        <f>VLOOKUP(Master[[#This Row],[Province_RDC]],Client[],4,FALSE)</f>
        <v>Pro Monde</v>
      </c>
      <c r="P366" s="1">
        <f>VLOOKUP(Master[[#This Row],[Province_RDC]],Client[],5,FALSE)</f>
        <v>453</v>
      </c>
      <c r="Q366" s="1">
        <f>VLOOKUP(Master[[#This Row],[Province_RDC]],Client[],6,FALSE)</f>
        <v>56.84</v>
      </c>
      <c r="R366" s="1">
        <f>VLOOKUP(Master[[#This Row],[Province_RDC]],Client[],7,FALSE)</f>
        <v>0</v>
      </c>
      <c r="S366" s="1" t="str">
        <f>IF(Master[[#This Row],[Type_Forfait]]="Pro Monde","B2B","B2C")</f>
        <v>B2B</v>
      </c>
      <c r="T366" s="1">
        <f>Master[[#This Row],[Anciennete_Mois]]/12</f>
        <v>2.8333333333333335</v>
      </c>
      <c r="U366" s="1">
        <f>Master[[#This Row],[Duree_Cumule_Panne_Min]]/60</f>
        <v>7.55</v>
      </c>
      <c r="V36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6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66" s="6">
        <f>Master[[#This Row],[Facture_Mensuelle]]*Master[[#This Row],[Remise]]</f>
        <v>25.578000000000003</v>
      </c>
    </row>
    <row r="367" spans="1:24" x14ac:dyDescent="0.25">
      <c r="A367" s="1" t="s">
        <v>1330</v>
      </c>
      <c r="B367" t="str">
        <f>IFERROR(VLOOKUP(Master[[#This Row],[Cell_ID]],Registre_Maintenance[],2,FALSE),"")</f>
        <v>Maniema</v>
      </c>
      <c r="C367" s="1" t="s">
        <v>1184</v>
      </c>
      <c r="D367" s="2">
        <v>45215.049305555563</v>
      </c>
      <c r="E367" s="3">
        <v>45215.049305555563</v>
      </c>
      <c r="F367">
        <v>33</v>
      </c>
      <c r="G367">
        <f>Master[[#This Row],[Duree_Panne_Min]]/60</f>
        <v>0.55000000000000004</v>
      </c>
      <c r="H367" s="1" t="s">
        <v>735</v>
      </c>
      <c r="I367">
        <f>IFERROR(VLOOKUP(Master[[#This Row],[Cell_ID]],Registre_Maintenance[],3,FALSE),"")</f>
        <v>2.5458379999999998</v>
      </c>
      <c r="J367">
        <f>IFERROR(VLOOKUP(Master[[#This Row],[Cell_ID]],Registre_Maintenance[],4,FALSE),"")</f>
        <v>13.308655</v>
      </c>
      <c r="K367" t="str">
        <f>IFERROR(VLOOKUP(Master[[#This Row],[Cell_ID]],Registre_Maintenance[],5,FALSE),"")</f>
        <v>5G</v>
      </c>
      <c r="L367" t="str">
        <f>IFERROR(VLOOKUP(Master[[#This Row],[Cell_ID]],Registre_Maintenance[],6,FALSE),"")</f>
        <v>ZTE</v>
      </c>
      <c r="M367" s="1" t="str">
        <f>VLOOKUP(Master[[#This Row],[Province_RDC]],Client[],2,FALSE)</f>
        <v>CLI-00185</v>
      </c>
      <c r="N367" s="1">
        <f>VLOOKUP(Master[[#This Row],[Province_RDC]],Client[],3,FALSE)</f>
        <v>81</v>
      </c>
      <c r="O367" s="1" t="str">
        <f>VLOOKUP(Master[[#This Row],[Province_RDC]],Client[],4,FALSE)</f>
        <v>Pro Monde</v>
      </c>
      <c r="P367" s="1">
        <f>VLOOKUP(Master[[#This Row],[Province_RDC]],Client[],5,FALSE)</f>
        <v>154</v>
      </c>
      <c r="Q367" s="1">
        <f>VLOOKUP(Master[[#This Row],[Province_RDC]],Client[],6,FALSE)</f>
        <v>19.47</v>
      </c>
      <c r="R367" s="1">
        <f>VLOOKUP(Master[[#This Row],[Province_RDC]],Client[],7,FALSE)</f>
        <v>3</v>
      </c>
      <c r="S367" s="1" t="str">
        <f>IF(Master[[#This Row],[Type_Forfait]]="Pro Monde","B2B","B2C")</f>
        <v>B2B</v>
      </c>
      <c r="T367" s="1">
        <f>Master[[#This Row],[Anciennete_Mois]]/12</f>
        <v>6.75</v>
      </c>
      <c r="U367" s="1">
        <f>Master[[#This Row],[Duree_Cumule_Panne_Min]]/60</f>
        <v>2.5666666666666669</v>
      </c>
      <c r="V36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6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67" s="6">
        <f>Master[[#This Row],[Facture_Mensuelle]]*Master[[#This Row],[Remise]]</f>
        <v>1.9470000000000001</v>
      </c>
    </row>
    <row r="368" spans="1:24" x14ac:dyDescent="0.25">
      <c r="A368" s="1" t="s">
        <v>1361</v>
      </c>
      <c r="B368" t="str">
        <f>IFERROR(VLOOKUP(Master[[#This Row],[Cell_ID]],Registre_Maintenance[],2,FALSE),"")</f>
        <v>Maniema</v>
      </c>
      <c r="C368" s="1" t="s">
        <v>1371</v>
      </c>
      <c r="D368" s="2">
        <v>45214.23541666667</v>
      </c>
      <c r="E368" s="3">
        <v>45214.23541666667</v>
      </c>
      <c r="F368">
        <v>33</v>
      </c>
      <c r="G368">
        <f>Master[[#This Row],[Duree_Panne_Min]]/60</f>
        <v>0.55000000000000004</v>
      </c>
      <c r="H368" s="1" t="s">
        <v>732</v>
      </c>
      <c r="I368">
        <f>IFERROR(VLOOKUP(Master[[#This Row],[Cell_ID]],Registre_Maintenance[],3,FALSE),"")</f>
        <v>-10.318835</v>
      </c>
      <c r="J368">
        <f>IFERROR(VLOOKUP(Master[[#This Row],[Cell_ID]],Registre_Maintenance[],4,FALSE),"")</f>
        <v>21.252382000000001</v>
      </c>
      <c r="K368" t="str">
        <f>IFERROR(VLOOKUP(Master[[#This Row],[Cell_ID]],Registre_Maintenance[],5,FALSE),"")</f>
        <v>4G</v>
      </c>
      <c r="L368" t="str">
        <f>IFERROR(VLOOKUP(Master[[#This Row],[Cell_ID]],Registre_Maintenance[],6,FALSE),"")</f>
        <v>Ericsson</v>
      </c>
      <c r="M368" s="1" t="str">
        <f>VLOOKUP(Master[[#This Row],[Province_RDC]],Client[],2,FALSE)</f>
        <v>CLI-00185</v>
      </c>
      <c r="N368" s="1">
        <f>VLOOKUP(Master[[#This Row],[Province_RDC]],Client[],3,FALSE)</f>
        <v>81</v>
      </c>
      <c r="O368" s="1" t="str">
        <f>VLOOKUP(Master[[#This Row],[Province_RDC]],Client[],4,FALSE)</f>
        <v>Pro Monde</v>
      </c>
      <c r="P368" s="1">
        <f>VLOOKUP(Master[[#This Row],[Province_RDC]],Client[],5,FALSE)</f>
        <v>154</v>
      </c>
      <c r="Q368" s="1">
        <f>VLOOKUP(Master[[#This Row],[Province_RDC]],Client[],6,FALSE)</f>
        <v>19.47</v>
      </c>
      <c r="R368" s="1">
        <f>VLOOKUP(Master[[#This Row],[Province_RDC]],Client[],7,FALSE)</f>
        <v>3</v>
      </c>
      <c r="S368" s="1" t="str">
        <f>IF(Master[[#This Row],[Type_Forfait]]="Pro Monde","B2B","B2C")</f>
        <v>B2B</v>
      </c>
      <c r="T368" s="1">
        <f>Master[[#This Row],[Anciennete_Mois]]/12</f>
        <v>6.75</v>
      </c>
      <c r="U368" s="1">
        <f>Master[[#This Row],[Duree_Cumule_Panne_Min]]/60</f>
        <v>2.5666666666666669</v>
      </c>
      <c r="V36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6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68" s="6">
        <f>Master[[#This Row],[Facture_Mensuelle]]*Master[[#This Row],[Remise]]</f>
        <v>1.9470000000000001</v>
      </c>
    </row>
    <row r="369" spans="1:24" x14ac:dyDescent="0.25">
      <c r="A369" s="1" t="s">
        <v>1330</v>
      </c>
      <c r="B369" t="str">
        <f>IFERROR(VLOOKUP(Master[[#This Row],[Cell_ID]],Registre_Maintenance[],2,FALSE),"")</f>
        <v>Lualaba</v>
      </c>
      <c r="C369" s="1" t="s">
        <v>910</v>
      </c>
      <c r="D369" s="2">
        <v>45208.52847222222</v>
      </c>
      <c r="E369" s="3">
        <v>45208.52847222222</v>
      </c>
      <c r="F369">
        <v>33</v>
      </c>
      <c r="G369">
        <f>Master[[#This Row],[Duree_Panne_Min]]/60</f>
        <v>0.55000000000000004</v>
      </c>
      <c r="H369" s="1" t="s">
        <v>735</v>
      </c>
      <c r="I369">
        <f>IFERROR(VLOOKUP(Master[[#This Row],[Cell_ID]],Registre_Maintenance[],3,FALSE),"")</f>
        <v>-10.872631999999999</v>
      </c>
      <c r="J369">
        <f>IFERROR(VLOOKUP(Master[[#This Row],[Cell_ID]],Registre_Maintenance[],4,FALSE),"")</f>
        <v>12.773279</v>
      </c>
      <c r="K369" t="str">
        <f>IFERROR(VLOOKUP(Master[[#This Row],[Cell_ID]],Registre_Maintenance[],5,FALSE),"")</f>
        <v>3G</v>
      </c>
      <c r="L369" t="str">
        <f>IFERROR(VLOOKUP(Master[[#This Row],[Cell_ID]],Registre_Maintenance[],6,FALSE),"")</f>
        <v>ZTE</v>
      </c>
      <c r="M369" s="1" t="str">
        <f>VLOOKUP(Master[[#This Row],[Province_RDC]],Client[],2,FALSE)</f>
        <v>CLI-01005</v>
      </c>
      <c r="N369" s="1">
        <f>VLOOKUP(Master[[#This Row],[Province_RDC]],Client[],3,FALSE)</f>
        <v>80</v>
      </c>
      <c r="O369" s="1" t="str">
        <f>VLOOKUP(Master[[#This Row],[Province_RDC]],Client[],4,FALSE)</f>
        <v>Illimité 50Go</v>
      </c>
      <c r="P369" s="1">
        <f>VLOOKUP(Master[[#This Row],[Province_RDC]],Client[],5,FALSE)</f>
        <v>155</v>
      </c>
      <c r="Q369" s="1">
        <f>VLOOKUP(Master[[#This Row],[Province_RDC]],Client[],6,FALSE)</f>
        <v>28.96</v>
      </c>
      <c r="R369" s="1">
        <f>VLOOKUP(Master[[#This Row],[Province_RDC]],Client[],7,FALSE)</f>
        <v>2</v>
      </c>
      <c r="S369" s="1" t="str">
        <f>IF(Master[[#This Row],[Type_Forfait]]="Pro Monde","B2B","B2C")</f>
        <v>B2C</v>
      </c>
      <c r="T369" s="1">
        <f>Master[[#This Row],[Anciennete_Mois]]/12</f>
        <v>6.666666666666667</v>
      </c>
      <c r="U369" s="1">
        <f>Master[[#This Row],[Duree_Cumule_Panne_Min]]/60</f>
        <v>2.5833333333333335</v>
      </c>
      <c r="V36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6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69" s="6">
        <f>Master[[#This Row],[Facture_Mensuelle]]*Master[[#This Row],[Remise]]</f>
        <v>0</v>
      </c>
    </row>
    <row r="370" spans="1:24" x14ac:dyDescent="0.25">
      <c r="A370" s="1" t="s">
        <v>1288</v>
      </c>
      <c r="B370" t="str">
        <f>IFERROR(VLOOKUP(Master[[#This Row],[Cell_ID]],Registre_Maintenance[],2,FALSE),"")</f>
        <v>Haut-Uele</v>
      </c>
      <c r="C370" s="1" t="s">
        <v>881</v>
      </c>
      <c r="D370" s="2">
        <v>45217.627083333333</v>
      </c>
      <c r="E370" s="3">
        <v>45217.627083333333</v>
      </c>
      <c r="F370">
        <v>33</v>
      </c>
      <c r="G370">
        <f>Master[[#This Row],[Duree_Panne_Min]]/60</f>
        <v>0.55000000000000004</v>
      </c>
      <c r="H370" s="1" t="s">
        <v>732</v>
      </c>
      <c r="I370">
        <f>IFERROR(VLOOKUP(Master[[#This Row],[Cell_ID]],Registre_Maintenance[],3,FALSE),"")</f>
        <v>-1.8045979999999999</v>
      </c>
      <c r="J370">
        <f>IFERROR(VLOOKUP(Master[[#This Row],[Cell_ID]],Registre_Maintenance[],4,FALSE),"")</f>
        <v>12.511096999999999</v>
      </c>
      <c r="K370" t="str">
        <f>IFERROR(VLOOKUP(Master[[#This Row],[Cell_ID]],Registre_Maintenance[],5,FALSE),"")</f>
        <v>3G</v>
      </c>
      <c r="L370" t="str">
        <f>IFERROR(VLOOKUP(Master[[#This Row],[Cell_ID]],Registre_Maintenance[],6,FALSE),"")</f>
        <v>Huawei</v>
      </c>
      <c r="M370" s="1" t="str">
        <f>VLOOKUP(Master[[#This Row],[Province_RDC]],Client[],2,FALSE)</f>
        <v>CLI-00439</v>
      </c>
      <c r="N370" s="1">
        <f>VLOOKUP(Master[[#This Row],[Province_RDC]],Client[],3,FALSE)</f>
        <v>40</v>
      </c>
      <c r="O370" s="1" t="str">
        <f>VLOOKUP(Master[[#This Row],[Province_RDC]],Client[],4,FALSE)</f>
        <v>Premium 5G 150Go</v>
      </c>
      <c r="P370" s="1">
        <f>VLOOKUP(Master[[#This Row],[Province_RDC]],Client[],5,FALSE)</f>
        <v>345</v>
      </c>
      <c r="Q370" s="1">
        <f>VLOOKUP(Master[[#This Row],[Province_RDC]],Client[],6,FALSE)</f>
        <v>89.55</v>
      </c>
      <c r="R370" s="1">
        <f>VLOOKUP(Master[[#This Row],[Province_RDC]],Client[],7,FALSE)</f>
        <v>3</v>
      </c>
      <c r="S370" s="1" t="str">
        <f>IF(Master[[#This Row],[Type_Forfait]]="Pro Monde","B2B","B2C")</f>
        <v>B2C</v>
      </c>
      <c r="T370" s="1">
        <f>Master[[#This Row],[Anciennete_Mois]]/12</f>
        <v>3.3333333333333335</v>
      </c>
      <c r="U370" s="1">
        <f>Master[[#This Row],[Duree_Cumule_Panne_Min]]/60</f>
        <v>5.75</v>
      </c>
      <c r="V37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0" s="6">
        <f>Master[[#This Row],[Facture_Mensuelle]]*Master[[#This Row],[Remise]]</f>
        <v>40.297499999999999</v>
      </c>
    </row>
    <row r="371" spans="1:24" x14ac:dyDescent="0.25">
      <c r="A371" s="1" t="s">
        <v>1241</v>
      </c>
      <c r="B371" t="str">
        <f>IFERROR(VLOOKUP(Master[[#This Row],[Cell_ID]],Registre_Maintenance[],2,FALSE),"")</f>
        <v>Sud-Kivu</v>
      </c>
      <c r="C371" s="1" t="s">
        <v>1246</v>
      </c>
      <c r="D371" s="2">
        <v>45206.636805555558</v>
      </c>
      <c r="E371" s="3">
        <v>45206.636805555558</v>
      </c>
      <c r="F371">
        <v>32</v>
      </c>
      <c r="G371">
        <f>Master[[#This Row],[Duree_Panne_Min]]/60</f>
        <v>0.53333333333333333</v>
      </c>
      <c r="H371" s="1" t="s">
        <v>737</v>
      </c>
      <c r="I371">
        <f>IFERROR(VLOOKUP(Master[[#This Row],[Cell_ID]],Registre_Maintenance[],3,FALSE),"")</f>
        <v>-11.514817000000001</v>
      </c>
      <c r="J371">
        <f>IFERROR(VLOOKUP(Master[[#This Row],[Cell_ID]],Registre_Maintenance[],4,FALSE),"")</f>
        <v>24.891375</v>
      </c>
      <c r="K371" t="str">
        <f>IFERROR(VLOOKUP(Master[[#This Row],[Cell_ID]],Registre_Maintenance[],5,FALSE),"")</f>
        <v>3G</v>
      </c>
      <c r="L371" t="str">
        <f>IFERROR(VLOOKUP(Master[[#This Row],[Cell_ID]],Registre_Maintenance[],6,FALSE),"")</f>
        <v>Nokia</v>
      </c>
      <c r="M371" s="1" t="str">
        <f>VLOOKUP(Master[[#This Row],[Province_RDC]],Client[],2,FALSE)</f>
        <v>CLI-01855</v>
      </c>
      <c r="N371" s="1">
        <f>VLOOKUP(Master[[#This Row],[Province_RDC]],Client[],3,FALSE)</f>
        <v>101</v>
      </c>
      <c r="O371" s="1" t="str">
        <f>VLOOKUP(Master[[#This Row],[Province_RDC]],Client[],4,FALSE)</f>
        <v>Illimité 50Go</v>
      </c>
      <c r="P371" s="1">
        <f>VLOOKUP(Master[[#This Row],[Province_RDC]],Client[],5,FALSE)</f>
        <v>358</v>
      </c>
      <c r="Q371" s="1">
        <f>VLOOKUP(Master[[#This Row],[Province_RDC]],Client[],6,FALSE)</f>
        <v>29.24</v>
      </c>
      <c r="R371" s="1">
        <f>VLOOKUP(Master[[#This Row],[Province_RDC]],Client[],7,FALSE)</f>
        <v>3</v>
      </c>
      <c r="S371" s="1" t="str">
        <f>IF(Master[[#This Row],[Type_Forfait]]="Pro Monde","B2B","B2C")</f>
        <v>B2C</v>
      </c>
      <c r="T371" s="1">
        <f>Master[[#This Row],[Anciennete_Mois]]/12</f>
        <v>8.4166666666666661</v>
      </c>
      <c r="U371" s="1">
        <f>Master[[#This Row],[Duree_Cumule_Panne_Min]]/60</f>
        <v>5.9666666666666668</v>
      </c>
      <c r="V37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1" s="6">
        <f>Master[[#This Row],[Facture_Mensuelle]]*Master[[#This Row],[Remise]]</f>
        <v>13.157999999999999</v>
      </c>
    </row>
    <row r="372" spans="1:24" x14ac:dyDescent="0.25">
      <c r="A372" s="1" t="s">
        <v>1241</v>
      </c>
      <c r="B372" t="str">
        <f>IFERROR(VLOOKUP(Master[[#This Row],[Cell_ID]],Registre_Maintenance[],2,FALSE),"")</f>
        <v>Mai-Ndombe</v>
      </c>
      <c r="C372" s="1" t="s">
        <v>917</v>
      </c>
      <c r="D372" s="2">
        <v>45206.956944444442</v>
      </c>
      <c r="E372" s="3">
        <v>45206.956944444442</v>
      </c>
      <c r="F372">
        <v>32</v>
      </c>
      <c r="G372">
        <f>Master[[#This Row],[Duree_Panne_Min]]/60</f>
        <v>0.53333333333333333</v>
      </c>
      <c r="H372" s="1" t="s">
        <v>735</v>
      </c>
      <c r="I372">
        <f>IFERROR(VLOOKUP(Master[[#This Row],[Cell_ID]],Registre_Maintenance[],3,FALSE),"")</f>
        <v>-9.3652280000000001</v>
      </c>
      <c r="J372">
        <f>IFERROR(VLOOKUP(Master[[#This Row],[Cell_ID]],Registre_Maintenance[],4,FALSE),"")</f>
        <v>18.674116000000001</v>
      </c>
      <c r="K372" t="str">
        <f>IFERROR(VLOOKUP(Master[[#This Row],[Cell_ID]],Registre_Maintenance[],5,FALSE),"")</f>
        <v>4G</v>
      </c>
      <c r="L372" t="str">
        <f>IFERROR(VLOOKUP(Master[[#This Row],[Cell_ID]],Registre_Maintenance[],6,FALSE),"")</f>
        <v>Huawei</v>
      </c>
      <c r="M372" s="1" t="str">
        <f>VLOOKUP(Master[[#This Row],[Province_RDC]],Client[],2,FALSE)</f>
        <v>CLI-00361</v>
      </c>
      <c r="N372" s="1">
        <f>VLOOKUP(Master[[#This Row],[Province_RDC]],Client[],3,FALSE)</f>
        <v>66</v>
      </c>
      <c r="O372" s="1" t="str">
        <f>VLOOKUP(Master[[#This Row],[Province_RDC]],Client[],4,FALSE)</f>
        <v>Illimité 50Go</v>
      </c>
      <c r="P372" s="1">
        <f>VLOOKUP(Master[[#This Row],[Province_RDC]],Client[],5,FALSE)</f>
        <v>270</v>
      </c>
      <c r="Q372" s="1">
        <f>VLOOKUP(Master[[#This Row],[Province_RDC]],Client[],6,FALSE)</f>
        <v>75.88</v>
      </c>
      <c r="R372" s="1">
        <f>VLOOKUP(Master[[#This Row],[Province_RDC]],Client[],7,FALSE)</f>
        <v>3</v>
      </c>
      <c r="S372" s="1" t="str">
        <f>IF(Master[[#This Row],[Type_Forfait]]="Pro Monde","B2B","B2C")</f>
        <v>B2C</v>
      </c>
      <c r="T372" s="1">
        <f>Master[[#This Row],[Anciennete_Mois]]/12</f>
        <v>5.5</v>
      </c>
      <c r="U372" s="1">
        <f>Master[[#This Row],[Duree_Cumule_Panne_Min]]/60</f>
        <v>4.5</v>
      </c>
      <c r="V37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2" s="6">
        <f>Master[[#This Row],[Facture_Mensuelle]]*Master[[#This Row],[Remise]]</f>
        <v>34.146000000000001</v>
      </c>
    </row>
    <row r="373" spans="1:24" x14ac:dyDescent="0.25">
      <c r="A373" s="1" t="s">
        <v>1138</v>
      </c>
      <c r="B373" t="str">
        <f>IFERROR(VLOOKUP(Master[[#This Row],[Cell_ID]],Registre_Maintenance[],2,FALSE),"")</f>
        <v>Kasai-Central</v>
      </c>
      <c r="C373" s="1" t="s">
        <v>1142</v>
      </c>
      <c r="D373" s="2">
        <v>45207.011111111111</v>
      </c>
      <c r="E373" s="3">
        <v>45207.011111111111</v>
      </c>
      <c r="F373">
        <v>32</v>
      </c>
      <c r="G373">
        <f>Master[[#This Row],[Duree_Panne_Min]]/60</f>
        <v>0.53333333333333333</v>
      </c>
      <c r="H373" s="1" t="s">
        <v>732</v>
      </c>
      <c r="I373">
        <f>IFERROR(VLOOKUP(Master[[#This Row],[Cell_ID]],Registre_Maintenance[],3,FALSE),"")</f>
        <v>1.897178</v>
      </c>
      <c r="J373">
        <f>IFERROR(VLOOKUP(Master[[#This Row],[Cell_ID]],Registre_Maintenance[],4,FALSE),"")</f>
        <v>23.902604</v>
      </c>
      <c r="K373" t="str">
        <f>IFERROR(VLOOKUP(Master[[#This Row],[Cell_ID]],Registre_Maintenance[],5,FALSE),"")</f>
        <v>3G</v>
      </c>
      <c r="L373" t="str">
        <f>IFERROR(VLOOKUP(Master[[#This Row],[Cell_ID]],Registre_Maintenance[],6,FALSE),"")</f>
        <v>Nokia</v>
      </c>
      <c r="M373" s="1" t="str">
        <f>VLOOKUP(Master[[#This Row],[Province_RDC]],Client[],2,FALSE)</f>
        <v>CLI-00060</v>
      </c>
      <c r="N373" s="1">
        <f>VLOOKUP(Master[[#This Row],[Province_RDC]],Client[],3,FALSE)</f>
        <v>72</v>
      </c>
      <c r="O373" s="1" t="str">
        <f>VLOOKUP(Master[[#This Row],[Province_RDC]],Client[],4,FALSE)</f>
        <v>Pro Monde</v>
      </c>
      <c r="P373" s="1">
        <f>VLOOKUP(Master[[#This Row],[Province_RDC]],Client[],5,FALSE)</f>
        <v>160</v>
      </c>
      <c r="Q373" s="1">
        <f>VLOOKUP(Master[[#This Row],[Province_RDC]],Client[],6,FALSE)</f>
        <v>90.13</v>
      </c>
      <c r="R373" s="1">
        <f>VLOOKUP(Master[[#This Row],[Province_RDC]],Client[],7,FALSE)</f>
        <v>2</v>
      </c>
      <c r="S373" s="1" t="str">
        <f>IF(Master[[#This Row],[Type_Forfait]]="Pro Monde","B2B","B2C")</f>
        <v>B2B</v>
      </c>
      <c r="T373" s="1">
        <f>Master[[#This Row],[Anciennete_Mois]]/12</f>
        <v>6</v>
      </c>
      <c r="U373" s="1">
        <f>Master[[#This Row],[Duree_Cumule_Panne_Min]]/60</f>
        <v>2.6666666666666665</v>
      </c>
      <c r="V37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7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73" s="6">
        <f>Master[[#This Row],[Facture_Mensuelle]]*Master[[#This Row],[Remise]]</f>
        <v>9.0129999999999999</v>
      </c>
    </row>
    <row r="374" spans="1:24" x14ac:dyDescent="0.25">
      <c r="A374" s="1" t="s">
        <v>1114</v>
      </c>
      <c r="B374" t="str">
        <f>IFERROR(VLOOKUP(Master[[#This Row],[Cell_ID]],Registre_Maintenance[],2,FALSE),"")</f>
        <v>Bas-Uele</v>
      </c>
      <c r="C374" s="1" t="s">
        <v>922</v>
      </c>
      <c r="D374" s="2">
        <v>45201.922222222223</v>
      </c>
      <c r="E374" s="3">
        <v>45201.922222222223</v>
      </c>
      <c r="F374">
        <v>32</v>
      </c>
      <c r="G374">
        <f>Master[[#This Row],[Duree_Panne_Min]]/60</f>
        <v>0.53333333333333333</v>
      </c>
      <c r="H374" s="1" t="s">
        <v>732</v>
      </c>
      <c r="I374">
        <f>IFERROR(VLOOKUP(Master[[#This Row],[Cell_ID]],Registre_Maintenance[],3,FALSE),"")</f>
        <v>1.5278670000000001</v>
      </c>
      <c r="J374">
        <f>IFERROR(VLOOKUP(Master[[#This Row],[Cell_ID]],Registre_Maintenance[],4,FALSE),"")</f>
        <v>13.899388999999999</v>
      </c>
      <c r="K374" t="str">
        <f>IFERROR(VLOOKUP(Master[[#This Row],[Cell_ID]],Registre_Maintenance[],5,FALSE),"")</f>
        <v>3G</v>
      </c>
      <c r="L374" t="str">
        <f>IFERROR(VLOOKUP(Master[[#This Row],[Cell_ID]],Registre_Maintenance[],6,FALSE),"")</f>
        <v>Huawei</v>
      </c>
      <c r="M374" s="1" t="str">
        <f>VLOOKUP(Master[[#This Row],[Province_RDC]],Client[],2,FALSE)</f>
        <v>CLI-01128</v>
      </c>
      <c r="N374" s="1">
        <f>VLOOKUP(Master[[#This Row],[Province_RDC]],Client[],3,FALSE)</f>
        <v>112</v>
      </c>
      <c r="O374" s="1" t="str">
        <f>VLOOKUP(Master[[#This Row],[Province_RDC]],Client[],4,FALSE)</f>
        <v>Premium 5G 150Go</v>
      </c>
      <c r="P374" s="1">
        <f>VLOOKUP(Master[[#This Row],[Province_RDC]],Client[],5,FALSE)</f>
        <v>460</v>
      </c>
      <c r="Q374" s="1">
        <f>VLOOKUP(Master[[#This Row],[Province_RDC]],Client[],6,FALSE)</f>
        <v>55.47</v>
      </c>
      <c r="R374" s="1">
        <f>VLOOKUP(Master[[#This Row],[Province_RDC]],Client[],7,FALSE)</f>
        <v>4</v>
      </c>
      <c r="S374" s="1" t="str">
        <f>IF(Master[[#This Row],[Type_Forfait]]="Pro Monde","B2B","B2C")</f>
        <v>B2C</v>
      </c>
      <c r="T374" s="1">
        <f>Master[[#This Row],[Anciennete_Mois]]/12</f>
        <v>9.3333333333333339</v>
      </c>
      <c r="U374" s="1">
        <f>Master[[#This Row],[Duree_Cumule_Panne_Min]]/60</f>
        <v>7.666666666666667</v>
      </c>
      <c r="V37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4" s="6">
        <f>Master[[#This Row],[Facture_Mensuelle]]*Master[[#This Row],[Remise]]</f>
        <v>24.961500000000001</v>
      </c>
    </row>
    <row r="375" spans="1:24" x14ac:dyDescent="0.25">
      <c r="A375" s="1" t="s">
        <v>1308</v>
      </c>
      <c r="B375" t="str">
        <f>IFERROR(VLOOKUP(Master[[#This Row],[Cell_ID]],Registre_Maintenance[],2,FALSE),"")</f>
        <v>Sankuru</v>
      </c>
      <c r="C375" s="1" t="s">
        <v>967</v>
      </c>
      <c r="D375" s="2">
        <v>45222.902777777781</v>
      </c>
      <c r="E375" s="3">
        <v>45222.902777777781</v>
      </c>
      <c r="F375">
        <v>31</v>
      </c>
      <c r="G375">
        <f>Master[[#This Row],[Duree_Panne_Min]]/60</f>
        <v>0.51666666666666672</v>
      </c>
      <c r="H375" s="1" t="s">
        <v>737</v>
      </c>
      <c r="I375">
        <f>IFERROR(VLOOKUP(Master[[#This Row],[Cell_ID]],Registre_Maintenance[],3,FALSE),"")</f>
        <v>-7.5969509999999998</v>
      </c>
      <c r="J375">
        <f>IFERROR(VLOOKUP(Master[[#This Row],[Cell_ID]],Registre_Maintenance[],4,FALSE),"")</f>
        <v>22.153986</v>
      </c>
      <c r="K375" t="str">
        <f>IFERROR(VLOOKUP(Master[[#This Row],[Cell_ID]],Registre_Maintenance[],5,FALSE),"")</f>
        <v>3G</v>
      </c>
      <c r="L375" t="str">
        <f>IFERROR(VLOOKUP(Master[[#This Row],[Cell_ID]],Registre_Maintenance[],6,FALSE),"")</f>
        <v>Ericsson</v>
      </c>
      <c r="M375" s="1" t="str">
        <f>VLOOKUP(Master[[#This Row],[Province_RDC]],Client[],2,FALSE)</f>
        <v>CLI-00530</v>
      </c>
      <c r="N375" s="1">
        <f>VLOOKUP(Master[[#This Row],[Province_RDC]],Client[],3,FALSE)</f>
        <v>35</v>
      </c>
      <c r="O375" s="1" t="str">
        <f>VLOOKUP(Master[[#This Row],[Province_RDC]],Client[],4,FALSE)</f>
        <v>Pro Monde</v>
      </c>
      <c r="P375" s="1">
        <f>VLOOKUP(Master[[#This Row],[Province_RDC]],Client[],5,FALSE)</f>
        <v>465</v>
      </c>
      <c r="Q375" s="1">
        <f>VLOOKUP(Master[[#This Row],[Province_RDC]],Client[],6,FALSE)</f>
        <v>58.59</v>
      </c>
      <c r="R375" s="1">
        <f>VLOOKUP(Master[[#This Row],[Province_RDC]],Client[],7,FALSE)</f>
        <v>5</v>
      </c>
      <c r="S375" s="1" t="str">
        <f>IF(Master[[#This Row],[Type_Forfait]]="Pro Monde","B2B","B2C")</f>
        <v>B2B</v>
      </c>
      <c r="T375" s="1">
        <f>Master[[#This Row],[Anciennete_Mois]]/12</f>
        <v>2.9166666666666665</v>
      </c>
      <c r="U375" s="1">
        <f>Master[[#This Row],[Duree_Cumule_Panne_Min]]/60</f>
        <v>7.75</v>
      </c>
      <c r="V37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5" s="6">
        <f>Master[[#This Row],[Facture_Mensuelle]]*Master[[#This Row],[Remise]]</f>
        <v>26.365500000000001</v>
      </c>
    </row>
    <row r="376" spans="1:24" x14ac:dyDescent="0.25">
      <c r="A376" s="1" t="s">
        <v>1261</v>
      </c>
      <c r="B376" t="str">
        <f>IFERROR(VLOOKUP(Master[[#This Row],[Cell_ID]],Registre_Maintenance[],2,FALSE),"")</f>
        <v>Lomami</v>
      </c>
      <c r="C376" s="1" t="s">
        <v>1287</v>
      </c>
      <c r="D376" s="2">
        <v>45200.466666666667</v>
      </c>
      <c r="E376" s="3">
        <v>45200.466666666667</v>
      </c>
      <c r="F376">
        <v>31</v>
      </c>
      <c r="G376">
        <f>Master[[#This Row],[Duree_Panne_Min]]/60</f>
        <v>0.51666666666666672</v>
      </c>
      <c r="H376" s="1" t="s">
        <v>735</v>
      </c>
      <c r="I376">
        <f>IFERROR(VLOOKUP(Master[[#This Row],[Cell_ID]],Registre_Maintenance[],3,FALSE),"")</f>
        <v>-9.5619429999999994</v>
      </c>
      <c r="J376">
        <f>IFERROR(VLOOKUP(Master[[#This Row],[Cell_ID]],Registre_Maintenance[],4,FALSE),"")</f>
        <v>21.445726000000001</v>
      </c>
      <c r="K376" t="str">
        <f>IFERROR(VLOOKUP(Master[[#This Row],[Cell_ID]],Registre_Maintenance[],5,FALSE),"")</f>
        <v>4G</v>
      </c>
      <c r="L376" t="str">
        <f>IFERROR(VLOOKUP(Master[[#This Row],[Cell_ID]],Registre_Maintenance[],6,FALSE),"")</f>
        <v>Nokia</v>
      </c>
      <c r="M376" s="1" t="str">
        <f>VLOOKUP(Master[[#This Row],[Province_RDC]],Client[],2,FALSE)</f>
        <v>CLI-00505</v>
      </c>
      <c r="N376" s="1">
        <f>VLOOKUP(Master[[#This Row],[Province_RDC]],Client[],3,FALSE)</f>
        <v>59</v>
      </c>
      <c r="O376" s="1" t="str">
        <f>VLOOKUP(Master[[#This Row],[Province_RDC]],Client[],4,FALSE)</f>
        <v>Bloqué 5Go</v>
      </c>
      <c r="P376" s="1">
        <f>VLOOKUP(Master[[#This Row],[Province_RDC]],Client[],5,FALSE)</f>
        <v>196</v>
      </c>
      <c r="Q376" s="1">
        <f>VLOOKUP(Master[[#This Row],[Province_RDC]],Client[],6,FALSE)</f>
        <v>62.53</v>
      </c>
      <c r="R376" s="1">
        <f>VLOOKUP(Master[[#This Row],[Province_RDC]],Client[],7,FALSE)</f>
        <v>0</v>
      </c>
      <c r="S376" s="1" t="str">
        <f>IF(Master[[#This Row],[Type_Forfait]]="Pro Monde","B2B","B2C")</f>
        <v>B2C</v>
      </c>
      <c r="T376" s="1">
        <f>Master[[#This Row],[Anciennete_Mois]]/12</f>
        <v>4.916666666666667</v>
      </c>
      <c r="U376" s="1">
        <f>Master[[#This Row],[Duree_Cumule_Panne_Min]]/60</f>
        <v>3.2666666666666666</v>
      </c>
      <c r="V37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7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76" s="6">
        <f>Master[[#This Row],[Facture_Mensuelle]]*Master[[#This Row],[Remise]]</f>
        <v>0</v>
      </c>
    </row>
    <row r="377" spans="1:24" x14ac:dyDescent="0.25">
      <c r="A377" s="1" t="s">
        <v>1404</v>
      </c>
      <c r="B377" t="str">
        <f>IFERROR(VLOOKUP(Master[[#This Row],[Cell_ID]],Registre_Maintenance[],2,FALSE),"")</f>
        <v>Kasai-Oriental</v>
      </c>
      <c r="C377" s="1" t="s">
        <v>1090</v>
      </c>
      <c r="D377" s="2">
        <v>45214.850694444453</v>
      </c>
      <c r="E377" s="3">
        <v>45214.850694444453</v>
      </c>
      <c r="F377">
        <v>31</v>
      </c>
      <c r="G377">
        <f>Master[[#This Row],[Duree_Panne_Min]]/60</f>
        <v>0.51666666666666672</v>
      </c>
      <c r="H377" s="1" t="s">
        <v>737</v>
      </c>
      <c r="I377">
        <f>IFERROR(VLOOKUP(Master[[#This Row],[Cell_ID]],Registre_Maintenance[],3,FALSE),"")</f>
        <v>-5.4073029999999997</v>
      </c>
      <c r="J377">
        <f>IFERROR(VLOOKUP(Master[[#This Row],[Cell_ID]],Registre_Maintenance[],4,FALSE),"")</f>
        <v>29.762294000000001</v>
      </c>
      <c r="K377" t="str">
        <f>IFERROR(VLOOKUP(Master[[#This Row],[Cell_ID]],Registre_Maintenance[],5,FALSE),"")</f>
        <v>3G</v>
      </c>
      <c r="L377" t="str">
        <f>IFERROR(VLOOKUP(Master[[#This Row],[Cell_ID]],Registre_Maintenance[],6,FALSE),"")</f>
        <v>Ericsson</v>
      </c>
      <c r="M377" s="1" t="str">
        <f>VLOOKUP(Master[[#This Row],[Province_RDC]],Client[],2,FALSE)</f>
        <v>CLI-01837</v>
      </c>
      <c r="N377" s="1">
        <f>VLOOKUP(Master[[#This Row],[Province_RDC]],Client[],3,FALSE)</f>
        <v>97</v>
      </c>
      <c r="O377" s="1" t="str">
        <f>VLOOKUP(Master[[#This Row],[Province_RDC]],Client[],4,FALSE)</f>
        <v>Pro Monde</v>
      </c>
      <c r="P377" s="1">
        <f>VLOOKUP(Master[[#This Row],[Province_RDC]],Client[],5,FALSE)</f>
        <v>319</v>
      </c>
      <c r="Q377" s="1">
        <f>VLOOKUP(Master[[#This Row],[Province_RDC]],Client[],6,FALSE)</f>
        <v>31.25</v>
      </c>
      <c r="R377" s="1">
        <f>VLOOKUP(Master[[#This Row],[Province_RDC]],Client[],7,FALSE)</f>
        <v>1</v>
      </c>
      <c r="S377" s="1" t="str">
        <f>IF(Master[[#This Row],[Type_Forfait]]="Pro Monde","B2B","B2C")</f>
        <v>B2B</v>
      </c>
      <c r="T377" s="1">
        <f>Master[[#This Row],[Anciennete_Mois]]/12</f>
        <v>8.0833333333333339</v>
      </c>
      <c r="U377" s="1">
        <f>Master[[#This Row],[Duree_Cumule_Panne_Min]]/60</f>
        <v>5.3166666666666664</v>
      </c>
      <c r="V37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7" s="6">
        <f>Master[[#This Row],[Facture_Mensuelle]]*Master[[#This Row],[Remise]]</f>
        <v>14.0625</v>
      </c>
    </row>
    <row r="378" spans="1:24" x14ac:dyDescent="0.25">
      <c r="A378" s="1" t="s">
        <v>1261</v>
      </c>
      <c r="B378" t="str">
        <f>IFERROR(VLOOKUP(Master[[#This Row],[Cell_ID]],Registre_Maintenance[],2,FALSE),"")</f>
        <v>Kwilu</v>
      </c>
      <c r="C378" s="1" t="s">
        <v>1135</v>
      </c>
      <c r="D378" s="2">
        <v>45228.15902777778</v>
      </c>
      <c r="E378" s="3">
        <v>45228.15902777778</v>
      </c>
      <c r="F378">
        <v>30</v>
      </c>
      <c r="G378">
        <f>Master[[#This Row],[Duree_Panne_Min]]/60</f>
        <v>0.5</v>
      </c>
      <c r="H378" s="1" t="s">
        <v>732</v>
      </c>
      <c r="I378">
        <f>IFERROR(VLOOKUP(Master[[#This Row],[Cell_ID]],Registre_Maintenance[],3,FALSE),"")</f>
        <v>0.62055499999999997</v>
      </c>
      <c r="J378">
        <f>IFERROR(VLOOKUP(Master[[#This Row],[Cell_ID]],Registre_Maintenance[],4,FALSE),"")</f>
        <v>21.222035000000002</v>
      </c>
      <c r="K378" t="str">
        <f>IFERROR(VLOOKUP(Master[[#This Row],[Cell_ID]],Registre_Maintenance[],5,FALSE),"")</f>
        <v>5G</v>
      </c>
      <c r="L378" t="str">
        <f>IFERROR(VLOOKUP(Master[[#This Row],[Cell_ID]],Registre_Maintenance[],6,FALSE),"")</f>
        <v>Nokia</v>
      </c>
      <c r="M378" s="1" t="str">
        <f>VLOOKUP(Master[[#This Row],[Province_RDC]],Client[],2,FALSE)</f>
        <v>CLI-00996</v>
      </c>
      <c r="N378" s="1">
        <f>VLOOKUP(Master[[#This Row],[Province_RDC]],Client[],3,FALSE)</f>
        <v>119</v>
      </c>
      <c r="O378" s="1" t="str">
        <f>VLOOKUP(Master[[#This Row],[Province_RDC]],Client[],4,FALSE)</f>
        <v>Illimité 50Go</v>
      </c>
      <c r="P378" s="1">
        <f>VLOOKUP(Master[[#This Row],[Province_RDC]],Client[],5,FALSE)</f>
        <v>228</v>
      </c>
      <c r="Q378" s="1">
        <f>VLOOKUP(Master[[#This Row],[Province_RDC]],Client[],6,FALSE)</f>
        <v>94.72</v>
      </c>
      <c r="R378" s="1">
        <f>VLOOKUP(Master[[#This Row],[Province_RDC]],Client[],7,FALSE)</f>
        <v>3</v>
      </c>
      <c r="S378" s="1" t="str">
        <f>IF(Master[[#This Row],[Type_Forfait]]="Pro Monde","B2B","B2C")</f>
        <v>B2C</v>
      </c>
      <c r="T378" s="1">
        <f>Master[[#This Row],[Anciennete_Mois]]/12</f>
        <v>9.9166666666666661</v>
      </c>
      <c r="U378" s="1">
        <f>Master[[#This Row],[Duree_Cumule_Panne_Min]]/60</f>
        <v>3.8</v>
      </c>
      <c r="V37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7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78" s="6">
        <f>Master[[#This Row],[Facture_Mensuelle]]*Master[[#This Row],[Remise]]</f>
        <v>0</v>
      </c>
    </row>
    <row r="379" spans="1:24" x14ac:dyDescent="0.25">
      <c r="A379" s="1" t="s">
        <v>1193</v>
      </c>
      <c r="B379" t="str">
        <f>IFERROR(VLOOKUP(Master[[#This Row],[Cell_ID]],Registre_Maintenance[],2,FALSE),"")</f>
        <v>Kwango</v>
      </c>
      <c r="C379" s="1" t="s">
        <v>1195</v>
      </c>
      <c r="D379" s="2">
        <v>45225.948611111111</v>
      </c>
      <c r="E379" s="3">
        <v>45225.948611111111</v>
      </c>
      <c r="F379">
        <v>30</v>
      </c>
      <c r="G379">
        <f>Master[[#This Row],[Duree_Panne_Min]]/60</f>
        <v>0.5</v>
      </c>
      <c r="H379" s="1" t="s">
        <v>732</v>
      </c>
      <c r="I379">
        <f>IFERROR(VLOOKUP(Master[[#This Row],[Cell_ID]],Registre_Maintenance[],3,FALSE),"")</f>
        <v>-10.653247</v>
      </c>
      <c r="J379">
        <f>IFERROR(VLOOKUP(Master[[#This Row],[Cell_ID]],Registre_Maintenance[],4,FALSE),"")</f>
        <v>14.685601</v>
      </c>
      <c r="K379" t="str">
        <f>IFERROR(VLOOKUP(Master[[#This Row],[Cell_ID]],Registre_Maintenance[],5,FALSE),"")</f>
        <v>4G</v>
      </c>
      <c r="L379" t="str">
        <f>IFERROR(VLOOKUP(Master[[#This Row],[Cell_ID]],Registre_Maintenance[],6,FALSE),"")</f>
        <v>Ericsson</v>
      </c>
      <c r="M379" s="1" t="str">
        <f>VLOOKUP(Master[[#This Row],[Province_RDC]],Client[],2,FALSE)</f>
        <v>CLI-00569</v>
      </c>
      <c r="N379" s="1">
        <f>VLOOKUP(Master[[#This Row],[Province_RDC]],Client[],3,FALSE)</f>
        <v>110</v>
      </c>
      <c r="O379" s="1" t="str">
        <f>VLOOKUP(Master[[#This Row],[Province_RDC]],Client[],4,FALSE)</f>
        <v>Pro Monde</v>
      </c>
      <c r="P379" s="1">
        <f>VLOOKUP(Master[[#This Row],[Province_RDC]],Client[],5,FALSE)</f>
        <v>423</v>
      </c>
      <c r="Q379" s="1">
        <f>VLOOKUP(Master[[#This Row],[Province_RDC]],Client[],6,FALSE)</f>
        <v>37.35</v>
      </c>
      <c r="R379" s="1">
        <f>VLOOKUP(Master[[#This Row],[Province_RDC]],Client[],7,FALSE)</f>
        <v>4</v>
      </c>
      <c r="S379" s="1" t="str">
        <f>IF(Master[[#This Row],[Type_Forfait]]="Pro Monde","B2B","B2C")</f>
        <v>B2B</v>
      </c>
      <c r="T379" s="1">
        <f>Master[[#This Row],[Anciennete_Mois]]/12</f>
        <v>9.1666666666666661</v>
      </c>
      <c r="U379" s="1">
        <f>Master[[#This Row],[Duree_Cumule_Panne_Min]]/60</f>
        <v>7.05</v>
      </c>
      <c r="V37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7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79" s="6">
        <f>Master[[#This Row],[Facture_Mensuelle]]*Master[[#This Row],[Remise]]</f>
        <v>16.807500000000001</v>
      </c>
    </row>
    <row r="380" spans="1:24" x14ac:dyDescent="0.25">
      <c r="A380" s="1" t="s">
        <v>1114</v>
      </c>
      <c r="B380" t="str">
        <f>IFERROR(VLOOKUP(Master[[#This Row],[Cell_ID]],Registre_Maintenance[],2,FALSE),"")</f>
        <v>Equateur</v>
      </c>
      <c r="C380" s="1" t="s">
        <v>1124</v>
      </c>
      <c r="D380" s="2">
        <v>45216.274305555547</v>
      </c>
      <c r="E380" s="3">
        <v>45216.274305555547</v>
      </c>
      <c r="F380">
        <v>30</v>
      </c>
      <c r="G380">
        <f>Master[[#This Row],[Duree_Panne_Min]]/60</f>
        <v>0.5</v>
      </c>
      <c r="H380" s="1" t="s">
        <v>735</v>
      </c>
      <c r="I380">
        <f>IFERROR(VLOOKUP(Master[[#This Row],[Cell_ID]],Registre_Maintenance[],3,FALSE),"")</f>
        <v>-5.7200150000000001</v>
      </c>
      <c r="J380">
        <f>IFERROR(VLOOKUP(Master[[#This Row],[Cell_ID]],Registre_Maintenance[],4,FALSE),"")</f>
        <v>25.022109</v>
      </c>
      <c r="K380" t="str">
        <f>IFERROR(VLOOKUP(Master[[#This Row],[Cell_ID]],Registre_Maintenance[],5,FALSE),"")</f>
        <v>5G</v>
      </c>
      <c r="L380" t="str">
        <f>IFERROR(VLOOKUP(Master[[#This Row],[Cell_ID]],Registre_Maintenance[],6,FALSE),"")</f>
        <v>ZTE</v>
      </c>
      <c r="M380" s="1" t="str">
        <f>VLOOKUP(Master[[#This Row],[Province_RDC]],Client[],2,FALSE)</f>
        <v>CLI-00643</v>
      </c>
      <c r="N380" s="1">
        <f>VLOOKUP(Master[[#This Row],[Province_RDC]],Client[],3,FALSE)</f>
        <v>14</v>
      </c>
      <c r="O380" s="1" t="str">
        <f>VLOOKUP(Master[[#This Row],[Province_RDC]],Client[],4,FALSE)</f>
        <v>Pro Monde</v>
      </c>
      <c r="P380" s="1">
        <f>VLOOKUP(Master[[#This Row],[Province_RDC]],Client[],5,FALSE)</f>
        <v>316</v>
      </c>
      <c r="Q380" s="1">
        <f>VLOOKUP(Master[[#This Row],[Province_RDC]],Client[],6,FALSE)</f>
        <v>62.34</v>
      </c>
      <c r="R380" s="1">
        <f>VLOOKUP(Master[[#This Row],[Province_RDC]],Client[],7,FALSE)</f>
        <v>4</v>
      </c>
      <c r="S380" s="1" t="str">
        <f>IF(Master[[#This Row],[Type_Forfait]]="Pro Monde","B2B","B2C")</f>
        <v>B2B</v>
      </c>
      <c r="T380" s="1">
        <f>Master[[#This Row],[Anciennete_Mois]]/12</f>
        <v>1.1666666666666667</v>
      </c>
      <c r="U380" s="1">
        <f>Master[[#This Row],[Duree_Cumule_Panne_Min]]/60</f>
        <v>5.2666666666666666</v>
      </c>
      <c r="V38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80" s="6">
        <f>Master[[#This Row],[Facture_Mensuelle]]*Master[[#This Row],[Remise]]</f>
        <v>28.053000000000001</v>
      </c>
    </row>
    <row r="381" spans="1:24" x14ac:dyDescent="0.25">
      <c r="A381" s="1" t="s">
        <v>939</v>
      </c>
      <c r="B381" t="str">
        <f>IFERROR(VLOOKUP(Master[[#This Row],[Cell_ID]],Registre_Maintenance[],2,FALSE),"")</f>
        <v>Lualaba</v>
      </c>
      <c r="C381" s="1" t="s">
        <v>910</v>
      </c>
      <c r="D381" s="2">
        <v>45209.898611111108</v>
      </c>
      <c r="E381" s="3">
        <v>45209.898611111108</v>
      </c>
      <c r="F381">
        <v>29</v>
      </c>
      <c r="G381">
        <f>Master[[#This Row],[Duree_Panne_Min]]/60</f>
        <v>0.48333333333333334</v>
      </c>
      <c r="H381" s="1" t="s">
        <v>735</v>
      </c>
      <c r="I381">
        <f>IFERROR(VLOOKUP(Master[[#This Row],[Cell_ID]],Registre_Maintenance[],3,FALSE),"")</f>
        <v>-10.872631999999999</v>
      </c>
      <c r="J381">
        <f>IFERROR(VLOOKUP(Master[[#This Row],[Cell_ID]],Registre_Maintenance[],4,FALSE),"")</f>
        <v>12.773279</v>
      </c>
      <c r="K381" t="str">
        <f>IFERROR(VLOOKUP(Master[[#This Row],[Cell_ID]],Registre_Maintenance[],5,FALSE),"")</f>
        <v>3G</v>
      </c>
      <c r="L381" t="str">
        <f>IFERROR(VLOOKUP(Master[[#This Row],[Cell_ID]],Registre_Maintenance[],6,FALSE),"")</f>
        <v>ZTE</v>
      </c>
      <c r="M381" s="1" t="str">
        <f>VLOOKUP(Master[[#This Row],[Province_RDC]],Client[],2,FALSE)</f>
        <v>CLI-01005</v>
      </c>
      <c r="N381" s="1">
        <f>VLOOKUP(Master[[#This Row],[Province_RDC]],Client[],3,FALSE)</f>
        <v>80</v>
      </c>
      <c r="O381" s="1" t="str">
        <f>VLOOKUP(Master[[#This Row],[Province_RDC]],Client[],4,FALSE)</f>
        <v>Illimité 50Go</v>
      </c>
      <c r="P381" s="1">
        <f>VLOOKUP(Master[[#This Row],[Province_RDC]],Client[],5,FALSE)</f>
        <v>155</v>
      </c>
      <c r="Q381" s="1">
        <f>VLOOKUP(Master[[#This Row],[Province_RDC]],Client[],6,FALSE)</f>
        <v>28.96</v>
      </c>
      <c r="R381" s="1">
        <f>VLOOKUP(Master[[#This Row],[Province_RDC]],Client[],7,FALSE)</f>
        <v>2</v>
      </c>
      <c r="S381" s="1" t="str">
        <f>IF(Master[[#This Row],[Type_Forfait]]="Pro Monde","B2B","B2C")</f>
        <v>B2C</v>
      </c>
      <c r="T381" s="1">
        <f>Master[[#This Row],[Anciennete_Mois]]/12</f>
        <v>6.666666666666667</v>
      </c>
      <c r="U381" s="1">
        <f>Master[[#This Row],[Duree_Cumule_Panne_Min]]/60</f>
        <v>2.5833333333333335</v>
      </c>
      <c r="V38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8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81" s="6">
        <f>Master[[#This Row],[Facture_Mensuelle]]*Master[[#This Row],[Remise]]</f>
        <v>0</v>
      </c>
    </row>
    <row r="382" spans="1:24" x14ac:dyDescent="0.25">
      <c r="A382" s="1" t="s">
        <v>1219</v>
      </c>
      <c r="B382" t="str">
        <f>IFERROR(VLOOKUP(Master[[#This Row],[Cell_ID]],Registre_Maintenance[],2,FALSE),"")</f>
        <v>Bas-Uele</v>
      </c>
      <c r="C382" s="1" t="s">
        <v>922</v>
      </c>
      <c r="D382" s="2">
        <v>45200.98541666667</v>
      </c>
      <c r="E382" s="3">
        <v>45200.98541666667</v>
      </c>
      <c r="F382">
        <v>29</v>
      </c>
      <c r="G382">
        <f>Master[[#This Row],[Duree_Panne_Min]]/60</f>
        <v>0.48333333333333334</v>
      </c>
      <c r="H382" s="1" t="s">
        <v>737</v>
      </c>
      <c r="I382">
        <f>IFERROR(VLOOKUP(Master[[#This Row],[Cell_ID]],Registre_Maintenance[],3,FALSE),"")</f>
        <v>1.5278670000000001</v>
      </c>
      <c r="J382">
        <f>IFERROR(VLOOKUP(Master[[#This Row],[Cell_ID]],Registre_Maintenance[],4,FALSE),"")</f>
        <v>13.899388999999999</v>
      </c>
      <c r="K382" t="str">
        <f>IFERROR(VLOOKUP(Master[[#This Row],[Cell_ID]],Registre_Maintenance[],5,FALSE),"")</f>
        <v>3G</v>
      </c>
      <c r="L382" t="str">
        <f>IFERROR(VLOOKUP(Master[[#This Row],[Cell_ID]],Registre_Maintenance[],6,FALSE),"")</f>
        <v>Huawei</v>
      </c>
      <c r="M382" s="1" t="str">
        <f>VLOOKUP(Master[[#This Row],[Province_RDC]],Client[],2,FALSE)</f>
        <v>CLI-01128</v>
      </c>
      <c r="N382" s="1">
        <f>VLOOKUP(Master[[#This Row],[Province_RDC]],Client[],3,FALSE)</f>
        <v>112</v>
      </c>
      <c r="O382" s="1" t="str">
        <f>VLOOKUP(Master[[#This Row],[Province_RDC]],Client[],4,FALSE)</f>
        <v>Premium 5G 150Go</v>
      </c>
      <c r="P382" s="1">
        <f>VLOOKUP(Master[[#This Row],[Province_RDC]],Client[],5,FALSE)</f>
        <v>460</v>
      </c>
      <c r="Q382" s="1">
        <f>VLOOKUP(Master[[#This Row],[Province_RDC]],Client[],6,FALSE)</f>
        <v>55.47</v>
      </c>
      <c r="R382" s="1">
        <f>VLOOKUP(Master[[#This Row],[Province_RDC]],Client[],7,FALSE)</f>
        <v>4</v>
      </c>
      <c r="S382" s="1" t="str">
        <f>IF(Master[[#This Row],[Type_Forfait]]="Pro Monde","B2B","B2C")</f>
        <v>B2C</v>
      </c>
      <c r="T382" s="1">
        <f>Master[[#This Row],[Anciennete_Mois]]/12</f>
        <v>9.3333333333333339</v>
      </c>
      <c r="U382" s="1">
        <f>Master[[#This Row],[Duree_Cumule_Panne_Min]]/60</f>
        <v>7.666666666666667</v>
      </c>
      <c r="V38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82" s="6">
        <f>Master[[#This Row],[Facture_Mensuelle]]*Master[[#This Row],[Remise]]</f>
        <v>24.961500000000001</v>
      </c>
    </row>
    <row r="383" spans="1:24" x14ac:dyDescent="0.25">
      <c r="A383" s="1" t="s">
        <v>1382</v>
      </c>
      <c r="B383" t="str">
        <f>IFERROR(VLOOKUP(Master[[#This Row],[Cell_ID]],Registre_Maintenance[],2,FALSE),"")</f>
        <v>Tanganyika</v>
      </c>
      <c r="C383" s="1" t="s">
        <v>852</v>
      </c>
      <c r="D383" s="2">
        <v>45220.724999999999</v>
      </c>
      <c r="E383" s="3">
        <v>45220.724999999999</v>
      </c>
      <c r="F383">
        <v>28</v>
      </c>
      <c r="G383">
        <f>Master[[#This Row],[Duree_Panne_Min]]/60</f>
        <v>0.46666666666666667</v>
      </c>
      <c r="H383" s="1" t="s">
        <v>737</v>
      </c>
      <c r="I383">
        <f>IFERROR(VLOOKUP(Master[[#This Row],[Cell_ID]],Registre_Maintenance[],3,FALSE),"")</f>
        <v>-9.002459</v>
      </c>
      <c r="J383">
        <f>IFERROR(VLOOKUP(Master[[#This Row],[Cell_ID]],Registre_Maintenance[],4,FALSE),"")</f>
        <v>25.182109000000001</v>
      </c>
      <c r="K383" t="str">
        <f>IFERROR(VLOOKUP(Master[[#This Row],[Cell_ID]],Registre_Maintenance[],5,FALSE),"")</f>
        <v>5G</v>
      </c>
      <c r="L383" t="str">
        <f>IFERROR(VLOOKUP(Master[[#This Row],[Cell_ID]],Registre_Maintenance[],6,FALSE),"")</f>
        <v>Huawei</v>
      </c>
      <c r="M383" s="1" t="str">
        <f>VLOOKUP(Master[[#This Row],[Province_RDC]],Client[],2,FALSE)</f>
        <v>CLI-01618</v>
      </c>
      <c r="N383" s="1">
        <f>VLOOKUP(Master[[#This Row],[Province_RDC]],Client[],3,FALSE)</f>
        <v>115</v>
      </c>
      <c r="O383" s="1" t="str">
        <f>VLOOKUP(Master[[#This Row],[Province_RDC]],Client[],4,FALSE)</f>
        <v>Bloqué 5Go</v>
      </c>
      <c r="P383" s="1">
        <f>VLOOKUP(Master[[#This Row],[Province_RDC]],Client[],5,FALSE)</f>
        <v>176</v>
      </c>
      <c r="Q383" s="1">
        <f>VLOOKUP(Master[[#This Row],[Province_RDC]],Client[],6,FALSE)</f>
        <v>33.28</v>
      </c>
      <c r="R383" s="1">
        <f>VLOOKUP(Master[[#This Row],[Province_RDC]],Client[],7,FALSE)</f>
        <v>4</v>
      </c>
      <c r="S383" s="1" t="str">
        <f>IF(Master[[#This Row],[Type_Forfait]]="Pro Monde","B2B","B2C")</f>
        <v>B2C</v>
      </c>
      <c r="T383" s="1">
        <f>Master[[#This Row],[Anciennete_Mois]]/12</f>
        <v>9.5833333333333339</v>
      </c>
      <c r="U383" s="1">
        <f>Master[[#This Row],[Duree_Cumule_Panne_Min]]/60</f>
        <v>2.9333333333333331</v>
      </c>
      <c r="V38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8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83" s="6">
        <f>Master[[#This Row],[Facture_Mensuelle]]*Master[[#This Row],[Remise]]</f>
        <v>0</v>
      </c>
    </row>
    <row r="384" spans="1:24" x14ac:dyDescent="0.25">
      <c r="A384" s="1" t="s">
        <v>902</v>
      </c>
      <c r="B384" t="str">
        <f>IFERROR(VLOOKUP(Master[[#This Row],[Cell_ID]],Registre_Maintenance[],2,FALSE),"")</f>
        <v>Mai-Ndombe</v>
      </c>
      <c r="C384" s="1" t="s">
        <v>917</v>
      </c>
      <c r="D384" s="2">
        <v>45201.824305555558</v>
      </c>
      <c r="E384" s="3">
        <v>45201.824305555558</v>
      </c>
      <c r="F384">
        <v>28</v>
      </c>
      <c r="G384">
        <f>Master[[#This Row],[Duree_Panne_Min]]/60</f>
        <v>0.46666666666666667</v>
      </c>
      <c r="H384" s="1" t="s">
        <v>735</v>
      </c>
      <c r="I384">
        <f>IFERROR(VLOOKUP(Master[[#This Row],[Cell_ID]],Registre_Maintenance[],3,FALSE),"")</f>
        <v>-9.3652280000000001</v>
      </c>
      <c r="J384">
        <f>IFERROR(VLOOKUP(Master[[#This Row],[Cell_ID]],Registre_Maintenance[],4,FALSE),"")</f>
        <v>18.674116000000001</v>
      </c>
      <c r="K384" t="str">
        <f>IFERROR(VLOOKUP(Master[[#This Row],[Cell_ID]],Registre_Maintenance[],5,FALSE),"")</f>
        <v>4G</v>
      </c>
      <c r="L384" t="str">
        <f>IFERROR(VLOOKUP(Master[[#This Row],[Cell_ID]],Registre_Maintenance[],6,FALSE),"")</f>
        <v>Huawei</v>
      </c>
      <c r="M384" s="1" t="str">
        <f>VLOOKUP(Master[[#This Row],[Province_RDC]],Client[],2,FALSE)</f>
        <v>CLI-00361</v>
      </c>
      <c r="N384" s="1">
        <f>VLOOKUP(Master[[#This Row],[Province_RDC]],Client[],3,FALSE)</f>
        <v>66</v>
      </c>
      <c r="O384" s="1" t="str">
        <f>VLOOKUP(Master[[#This Row],[Province_RDC]],Client[],4,FALSE)</f>
        <v>Illimité 50Go</v>
      </c>
      <c r="P384" s="1">
        <f>VLOOKUP(Master[[#This Row],[Province_RDC]],Client[],5,FALSE)</f>
        <v>270</v>
      </c>
      <c r="Q384" s="1">
        <f>VLOOKUP(Master[[#This Row],[Province_RDC]],Client[],6,FALSE)</f>
        <v>75.88</v>
      </c>
      <c r="R384" s="1">
        <f>VLOOKUP(Master[[#This Row],[Province_RDC]],Client[],7,FALSE)</f>
        <v>3</v>
      </c>
      <c r="S384" s="1" t="str">
        <f>IF(Master[[#This Row],[Type_Forfait]]="Pro Monde","B2B","B2C")</f>
        <v>B2C</v>
      </c>
      <c r="T384" s="1">
        <f>Master[[#This Row],[Anciennete_Mois]]/12</f>
        <v>5.5</v>
      </c>
      <c r="U384" s="1">
        <f>Master[[#This Row],[Duree_Cumule_Panne_Min]]/60</f>
        <v>4.5</v>
      </c>
      <c r="V38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84" s="6">
        <f>Master[[#This Row],[Facture_Mensuelle]]*Master[[#This Row],[Remise]]</f>
        <v>34.146000000000001</v>
      </c>
    </row>
    <row r="385" spans="1:24" x14ac:dyDescent="0.25">
      <c r="A385" s="1" t="s">
        <v>1024</v>
      </c>
      <c r="B385" t="str">
        <f>IFERROR(VLOOKUP(Master[[#This Row],[Cell_ID]],Registre_Maintenance[],2,FALSE),"")</f>
        <v>Lualaba</v>
      </c>
      <c r="C385" s="1" t="s">
        <v>1038</v>
      </c>
      <c r="D385" s="2">
        <v>45229.39166666667</v>
      </c>
      <c r="E385" s="3">
        <v>45229.39166666667</v>
      </c>
      <c r="F385">
        <v>28</v>
      </c>
      <c r="G385">
        <f>Master[[#This Row],[Duree_Panne_Min]]/60</f>
        <v>0.46666666666666667</v>
      </c>
      <c r="H385" s="1" t="s">
        <v>737</v>
      </c>
      <c r="I385">
        <f>IFERROR(VLOOKUP(Master[[#This Row],[Cell_ID]],Registre_Maintenance[],3,FALSE),"")</f>
        <v>-10.967288</v>
      </c>
      <c r="J385">
        <f>IFERROR(VLOOKUP(Master[[#This Row],[Cell_ID]],Registre_Maintenance[],4,FALSE),"")</f>
        <v>17.617781000000001</v>
      </c>
      <c r="K385" t="str">
        <f>IFERROR(VLOOKUP(Master[[#This Row],[Cell_ID]],Registre_Maintenance[],5,FALSE),"")</f>
        <v>4G</v>
      </c>
      <c r="L385" t="str">
        <f>IFERROR(VLOOKUP(Master[[#This Row],[Cell_ID]],Registre_Maintenance[],6,FALSE),"")</f>
        <v>Ericsson</v>
      </c>
      <c r="M385" s="1" t="str">
        <f>VLOOKUP(Master[[#This Row],[Province_RDC]],Client[],2,FALSE)</f>
        <v>CLI-01005</v>
      </c>
      <c r="N385" s="1">
        <f>VLOOKUP(Master[[#This Row],[Province_RDC]],Client[],3,FALSE)</f>
        <v>80</v>
      </c>
      <c r="O385" s="1" t="str">
        <f>VLOOKUP(Master[[#This Row],[Province_RDC]],Client[],4,FALSE)</f>
        <v>Illimité 50Go</v>
      </c>
      <c r="P385" s="1">
        <f>VLOOKUP(Master[[#This Row],[Province_RDC]],Client[],5,FALSE)</f>
        <v>155</v>
      </c>
      <c r="Q385" s="1">
        <f>VLOOKUP(Master[[#This Row],[Province_RDC]],Client[],6,FALSE)</f>
        <v>28.96</v>
      </c>
      <c r="R385" s="1">
        <f>VLOOKUP(Master[[#This Row],[Province_RDC]],Client[],7,FALSE)</f>
        <v>2</v>
      </c>
      <c r="S385" s="1" t="str">
        <f>IF(Master[[#This Row],[Type_Forfait]]="Pro Monde","B2B","B2C")</f>
        <v>B2C</v>
      </c>
      <c r="T385" s="1">
        <f>Master[[#This Row],[Anciennete_Mois]]/12</f>
        <v>6.666666666666667</v>
      </c>
      <c r="U385" s="1">
        <f>Master[[#This Row],[Duree_Cumule_Panne_Min]]/60</f>
        <v>2.5833333333333335</v>
      </c>
      <c r="V38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8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85" s="6">
        <f>Master[[#This Row],[Facture_Mensuelle]]*Master[[#This Row],[Remise]]</f>
        <v>0</v>
      </c>
    </row>
    <row r="386" spans="1:24" x14ac:dyDescent="0.25">
      <c r="A386" s="1" t="s">
        <v>1219</v>
      </c>
      <c r="B386" t="str">
        <f>IFERROR(VLOOKUP(Master[[#This Row],[Cell_ID]],Registre_Maintenance[],2,FALSE),"")</f>
        <v>Kwilu</v>
      </c>
      <c r="C386" s="1" t="s">
        <v>1226</v>
      </c>
      <c r="D386" s="2">
        <v>45202.376388888893</v>
      </c>
      <c r="E386" s="3">
        <v>45202.376388888893</v>
      </c>
      <c r="F386">
        <v>28</v>
      </c>
      <c r="G386">
        <f>Master[[#This Row],[Duree_Panne_Min]]/60</f>
        <v>0.46666666666666667</v>
      </c>
      <c r="H386" s="1" t="s">
        <v>732</v>
      </c>
      <c r="I386">
        <f>IFERROR(VLOOKUP(Master[[#This Row],[Cell_ID]],Registre_Maintenance[],3,FALSE),"")</f>
        <v>-7.402336</v>
      </c>
      <c r="J386">
        <f>IFERROR(VLOOKUP(Master[[#This Row],[Cell_ID]],Registre_Maintenance[],4,FALSE),"")</f>
        <v>27.376697</v>
      </c>
      <c r="K386" t="str">
        <f>IFERROR(VLOOKUP(Master[[#This Row],[Cell_ID]],Registre_Maintenance[],5,FALSE),"")</f>
        <v>4G</v>
      </c>
      <c r="L386" t="str">
        <f>IFERROR(VLOOKUP(Master[[#This Row],[Cell_ID]],Registre_Maintenance[],6,FALSE),"")</f>
        <v>Huawei</v>
      </c>
      <c r="M386" s="1" t="str">
        <f>VLOOKUP(Master[[#This Row],[Province_RDC]],Client[],2,FALSE)</f>
        <v>CLI-00996</v>
      </c>
      <c r="N386" s="1">
        <f>VLOOKUP(Master[[#This Row],[Province_RDC]],Client[],3,FALSE)</f>
        <v>119</v>
      </c>
      <c r="O386" s="1" t="str">
        <f>VLOOKUP(Master[[#This Row],[Province_RDC]],Client[],4,FALSE)</f>
        <v>Illimité 50Go</v>
      </c>
      <c r="P386" s="1">
        <f>VLOOKUP(Master[[#This Row],[Province_RDC]],Client[],5,FALSE)</f>
        <v>228</v>
      </c>
      <c r="Q386" s="1">
        <f>VLOOKUP(Master[[#This Row],[Province_RDC]],Client[],6,FALSE)</f>
        <v>94.72</v>
      </c>
      <c r="R386" s="1">
        <f>VLOOKUP(Master[[#This Row],[Province_RDC]],Client[],7,FALSE)</f>
        <v>3</v>
      </c>
      <c r="S386" s="1" t="str">
        <f>IF(Master[[#This Row],[Type_Forfait]]="Pro Monde","B2B","B2C")</f>
        <v>B2C</v>
      </c>
      <c r="T386" s="1">
        <f>Master[[#This Row],[Anciennete_Mois]]/12</f>
        <v>9.9166666666666661</v>
      </c>
      <c r="U386" s="1">
        <f>Master[[#This Row],[Duree_Cumule_Panne_Min]]/60</f>
        <v>3.8</v>
      </c>
      <c r="V38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8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86" s="6">
        <f>Master[[#This Row],[Facture_Mensuelle]]*Master[[#This Row],[Remise]]</f>
        <v>0</v>
      </c>
    </row>
    <row r="387" spans="1:24" x14ac:dyDescent="0.25">
      <c r="A387" s="1" t="s">
        <v>1059</v>
      </c>
      <c r="B387" t="str">
        <f>IFERROR(VLOOKUP(Master[[#This Row],[Cell_ID]],Registre_Maintenance[],2,FALSE),"")</f>
        <v>Kinshasa</v>
      </c>
      <c r="C387" s="1" t="s">
        <v>1064</v>
      </c>
      <c r="D387" s="2">
        <v>45222.179166666669</v>
      </c>
      <c r="E387" s="3">
        <v>45222.179166666669</v>
      </c>
      <c r="F387">
        <v>28</v>
      </c>
      <c r="G387">
        <f>Master[[#This Row],[Duree_Panne_Min]]/60</f>
        <v>0.46666666666666667</v>
      </c>
      <c r="H387" s="1" t="s">
        <v>735</v>
      </c>
      <c r="I387">
        <f>IFERROR(VLOOKUP(Master[[#This Row],[Cell_ID]],Registre_Maintenance[],3,FALSE),"")</f>
        <v>-0.90854400000000002</v>
      </c>
      <c r="J387">
        <f>IFERROR(VLOOKUP(Master[[#This Row],[Cell_ID]],Registre_Maintenance[],4,FALSE),"")</f>
        <v>17.154896999999998</v>
      </c>
      <c r="K387" t="str">
        <f>IFERROR(VLOOKUP(Master[[#This Row],[Cell_ID]],Registre_Maintenance[],5,FALSE),"")</f>
        <v>3G</v>
      </c>
      <c r="L387" t="str">
        <f>IFERROR(VLOOKUP(Master[[#This Row],[Cell_ID]],Registre_Maintenance[],6,FALSE),"")</f>
        <v>Huawei</v>
      </c>
      <c r="M387" s="1" t="str">
        <f>VLOOKUP(Master[[#This Row],[Province_RDC]],Client[],2,FALSE)</f>
        <v>CLI-00611</v>
      </c>
      <c r="N387" s="1">
        <f>VLOOKUP(Master[[#This Row],[Province_RDC]],Client[],3,FALSE)</f>
        <v>79</v>
      </c>
      <c r="O387" s="1" t="str">
        <f>VLOOKUP(Master[[#This Row],[Province_RDC]],Client[],4,FALSE)</f>
        <v>Premium 5G 150Go</v>
      </c>
      <c r="P387" s="1">
        <f>VLOOKUP(Master[[#This Row],[Province_RDC]],Client[],5,FALSE)</f>
        <v>226</v>
      </c>
      <c r="Q387" s="1">
        <f>VLOOKUP(Master[[#This Row],[Province_RDC]],Client[],6,FALSE)</f>
        <v>94.38</v>
      </c>
      <c r="R387" s="1">
        <f>VLOOKUP(Master[[#This Row],[Province_RDC]],Client[],7,FALSE)</f>
        <v>3</v>
      </c>
      <c r="S387" s="1" t="str">
        <f>IF(Master[[#This Row],[Type_Forfait]]="Pro Monde","B2B","B2C")</f>
        <v>B2C</v>
      </c>
      <c r="T387" s="1">
        <f>Master[[#This Row],[Anciennete_Mois]]/12</f>
        <v>6.583333333333333</v>
      </c>
      <c r="U387" s="1">
        <f>Master[[#This Row],[Duree_Cumule_Panne_Min]]/60</f>
        <v>3.7666666666666666</v>
      </c>
      <c r="V38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87" s="6">
        <f>Master[[#This Row],[Facture_Mensuelle]]*Master[[#This Row],[Remise]]</f>
        <v>0</v>
      </c>
    </row>
    <row r="388" spans="1:24" x14ac:dyDescent="0.25">
      <c r="A388" s="1" t="s">
        <v>1308</v>
      </c>
      <c r="B388" t="str">
        <f>IFERROR(VLOOKUP(Master[[#This Row],[Cell_ID]],Registre_Maintenance[],2,FALSE),"")</f>
        <v>Kasai-Central</v>
      </c>
      <c r="C388" s="1" t="s">
        <v>878</v>
      </c>
      <c r="D388" s="2">
        <v>45202.747916666667</v>
      </c>
      <c r="E388" s="3">
        <v>45202.747916666667</v>
      </c>
      <c r="F388">
        <v>28</v>
      </c>
      <c r="G388">
        <f>Master[[#This Row],[Duree_Panne_Min]]/60</f>
        <v>0.46666666666666667</v>
      </c>
      <c r="H388" s="1" t="s">
        <v>735</v>
      </c>
      <c r="I388">
        <f>IFERROR(VLOOKUP(Master[[#This Row],[Cell_ID]],Registre_Maintenance[],3,FALSE),"")</f>
        <v>-3.111418</v>
      </c>
      <c r="J388">
        <f>IFERROR(VLOOKUP(Master[[#This Row],[Cell_ID]],Registre_Maintenance[],4,FALSE),"")</f>
        <v>14.144854</v>
      </c>
      <c r="K388" t="str">
        <f>IFERROR(VLOOKUP(Master[[#This Row],[Cell_ID]],Registre_Maintenance[],5,FALSE),"")</f>
        <v>4G</v>
      </c>
      <c r="L388" t="str">
        <f>IFERROR(VLOOKUP(Master[[#This Row],[Cell_ID]],Registre_Maintenance[],6,FALSE),"")</f>
        <v>ZTE</v>
      </c>
      <c r="M388" s="1" t="str">
        <f>VLOOKUP(Master[[#This Row],[Province_RDC]],Client[],2,FALSE)</f>
        <v>CLI-00060</v>
      </c>
      <c r="N388" s="1">
        <f>VLOOKUP(Master[[#This Row],[Province_RDC]],Client[],3,FALSE)</f>
        <v>72</v>
      </c>
      <c r="O388" s="1" t="str">
        <f>VLOOKUP(Master[[#This Row],[Province_RDC]],Client[],4,FALSE)</f>
        <v>Pro Monde</v>
      </c>
      <c r="P388" s="1">
        <f>VLOOKUP(Master[[#This Row],[Province_RDC]],Client[],5,FALSE)</f>
        <v>160</v>
      </c>
      <c r="Q388" s="1">
        <f>VLOOKUP(Master[[#This Row],[Province_RDC]],Client[],6,FALSE)</f>
        <v>90.13</v>
      </c>
      <c r="R388" s="1">
        <f>VLOOKUP(Master[[#This Row],[Province_RDC]],Client[],7,FALSE)</f>
        <v>2</v>
      </c>
      <c r="S388" s="1" t="str">
        <f>IF(Master[[#This Row],[Type_Forfait]]="Pro Monde","B2B","B2C")</f>
        <v>B2B</v>
      </c>
      <c r="T388" s="1">
        <f>Master[[#This Row],[Anciennete_Mois]]/12</f>
        <v>6</v>
      </c>
      <c r="U388" s="1">
        <f>Master[[#This Row],[Duree_Cumule_Panne_Min]]/60</f>
        <v>2.6666666666666665</v>
      </c>
      <c r="V38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38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388" s="6">
        <f>Master[[#This Row],[Facture_Mensuelle]]*Master[[#This Row],[Remise]]</f>
        <v>9.0129999999999999</v>
      </c>
    </row>
    <row r="389" spans="1:24" x14ac:dyDescent="0.25">
      <c r="A389" s="1" t="s">
        <v>1059</v>
      </c>
      <c r="B389" t="str">
        <f>IFERROR(VLOOKUP(Master[[#This Row],[Cell_ID]],Registre_Maintenance[],2,FALSE),"")</f>
        <v>Haut-Uele</v>
      </c>
      <c r="C389" s="1" t="s">
        <v>1075</v>
      </c>
      <c r="D389" s="2">
        <v>45211.722916666673</v>
      </c>
      <c r="E389" s="3">
        <v>45211.722916666673</v>
      </c>
      <c r="F389">
        <v>28</v>
      </c>
      <c r="G389">
        <f>Master[[#This Row],[Duree_Panne_Min]]/60</f>
        <v>0.46666666666666667</v>
      </c>
      <c r="H389" s="1" t="s">
        <v>732</v>
      </c>
      <c r="I389">
        <f>IFERROR(VLOOKUP(Master[[#This Row],[Cell_ID]],Registre_Maintenance[],3,FALSE),"")</f>
        <v>-6.9624990000000002</v>
      </c>
      <c r="J389">
        <f>IFERROR(VLOOKUP(Master[[#This Row],[Cell_ID]],Registre_Maintenance[],4,FALSE),"")</f>
        <v>20.759834999999999</v>
      </c>
      <c r="K389" t="str">
        <f>IFERROR(VLOOKUP(Master[[#This Row],[Cell_ID]],Registre_Maintenance[],5,FALSE),"")</f>
        <v>4G</v>
      </c>
      <c r="L389" t="str">
        <f>IFERROR(VLOOKUP(Master[[#This Row],[Cell_ID]],Registre_Maintenance[],6,FALSE),"")</f>
        <v>Huawei</v>
      </c>
      <c r="M389" s="1" t="str">
        <f>VLOOKUP(Master[[#This Row],[Province_RDC]],Client[],2,FALSE)</f>
        <v>CLI-00439</v>
      </c>
      <c r="N389" s="1">
        <f>VLOOKUP(Master[[#This Row],[Province_RDC]],Client[],3,FALSE)</f>
        <v>40</v>
      </c>
      <c r="O389" s="1" t="str">
        <f>VLOOKUP(Master[[#This Row],[Province_RDC]],Client[],4,FALSE)</f>
        <v>Premium 5G 150Go</v>
      </c>
      <c r="P389" s="1">
        <f>VLOOKUP(Master[[#This Row],[Province_RDC]],Client[],5,FALSE)</f>
        <v>345</v>
      </c>
      <c r="Q389" s="1">
        <f>VLOOKUP(Master[[#This Row],[Province_RDC]],Client[],6,FALSE)</f>
        <v>89.55</v>
      </c>
      <c r="R389" s="1">
        <f>VLOOKUP(Master[[#This Row],[Province_RDC]],Client[],7,FALSE)</f>
        <v>3</v>
      </c>
      <c r="S389" s="1" t="str">
        <f>IF(Master[[#This Row],[Type_Forfait]]="Pro Monde","B2B","B2C")</f>
        <v>B2C</v>
      </c>
      <c r="T389" s="1">
        <f>Master[[#This Row],[Anciennete_Mois]]/12</f>
        <v>3.3333333333333335</v>
      </c>
      <c r="U389" s="1">
        <f>Master[[#This Row],[Duree_Cumule_Panne_Min]]/60</f>
        <v>5.75</v>
      </c>
      <c r="V38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8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89" s="6">
        <f>Master[[#This Row],[Facture_Mensuelle]]*Master[[#This Row],[Remise]]</f>
        <v>40.297499999999999</v>
      </c>
    </row>
    <row r="390" spans="1:24" x14ac:dyDescent="0.25">
      <c r="A390" s="1" t="s">
        <v>1308</v>
      </c>
      <c r="B390" t="str">
        <f>IFERROR(VLOOKUP(Master[[#This Row],[Cell_ID]],Registre_Maintenance[],2,FALSE),"")</f>
        <v>Haut-Lomami</v>
      </c>
      <c r="C390" s="1" t="s">
        <v>1325</v>
      </c>
      <c r="D390" s="2">
        <v>45213.210416666669</v>
      </c>
      <c r="E390" s="3">
        <v>45213.210416666669</v>
      </c>
      <c r="F390">
        <v>28</v>
      </c>
      <c r="G390">
        <f>Master[[#This Row],[Duree_Panne_Min]]/60</f>
        <v>0.46666666666666667</v>
      </c>
      <c r="H390" s="1" t="s">
        <v>737</v>
      </c>
      <c r="I390">
        <f>IFERROR(VLOOKUP(Master[[#This Row],[Cell_ID]],Registre_Maintenance[],3,FALSE),"")</f>
        <v>-3.1608390000000002</v>
      </c>
      <c r="J390">
        <f>IFERROR(VLOOKUP(Master[[#This Row],[Cell_ID]],Registre_Maintenance[],4,FALSE),"")</f>
        <v>13.244503999999999</v>
      </c>
      <c r="K390" t="str">
        <f>IFERROR(VLOOKUP(Master[[#This Row],[Cell_ID]],Registre_Maintenance[],5,FALSE),"")</f>
        <v>3G</v>
      </c>
      <c r="L390" t="str">
        <f>IFERROR(VLOOKUP(Master[[#This Row],[Cell_ID]],Registre_Maintenance[],6,FALSE),"")</f>
        <v>Huawei</v>
      </c>
      <c r="M390" s="1" t="str">
        <f>VLOOKUP(Master[[#This Row],[Province_RDC]],Client[],2,FALSE)</f>
        <v>CLI-01325</v>
      </c>
      <c r="N390" s="1">
        <f>VLOOKUP(Master[[#This Row],[Province_RDC]],Client[],3,FALSE)</f>
        <v>44</v>
      </c>
      <c r="O390" s="1" t="str">
        <f>VLOOKUP(Master[[#This Row],[Province_RDC]],Client[],4,FALSE)</f>
        <v>Bloqué 5Go</v>
      </c>
      <c r="P390" s="1">
        <f>VLOOKUP(Master[[#This Row],[Province_RDC]],Client[],5,FALSE)</f>
        <v>348</v>
      </c>
      <c r="Q390" s="1">
        <f>VLOOKUP(Master[[#This Row],[Province_RDC]],Client[],6,FALSE)</f>
        <v>58.67</v>
      </c>
      <c r="R390" s="1">
        <f>VLOOKUP(Master[[#This Row],[Province_RDC]],Client[],7,FALSE)</f>
        <v>0</v>
      </c>
      <c r="S390" s="1" t="str">
        <f>IF(Master[[#This Row],[Type_Forfait]]="Pro Monde","B2B","B2C")</f>
        <v>B2C</v>
      </c>
      <c r="T390" s="1">
        <f>Master[[#This Row],[Anciennete_Mois]]/12</f>
        <v>3.6666666666666665</v>
      </c>
      <c r="U390" s="1">
        <f>Master[[#This Row],[Duree_Cumule_Panne_Min]]/60</f>
        <v>5.8</v>
      </c>
      <c r="V39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0" s="6">
        <f>Master[[#This Row],[Facture_Mensuelle]]*Master[[#This Row],[Remise]]</f>
        <v>26.401500000000002</v>
      </c>
    </row>
    <row r="391" spans="1:24" x14ac:dyDescent="0.25">
      <c r="A391" s="1" t="s">
        <v>1138</v>
      </c>
      <c r="B391" t="str">
        <f>IFERROR(VLOOKUP(Master[[#This Row],[Cell_ID]],Registre_Maintenance[],2,FALSE),"")</f>
        <v>Haut-Katanga</v>
      </c>
      <c r="C391" s="1" t="s">
        <v>1149</v>
      </c>
      <c r="D391" s="2">
        <v>45222.748611111107</v>
      </c>
      <c r="E391" s="3">
        <v>45222.748611111107</v>
      </c>
      <c r="F391">
        <v>28</v>
      </c>
      <c r="G391">
        <f>Master[[#This Row],[Duree_Panne_Min]]/60</f>
        <v>0.46666666666666667</v>
      </c>
      <c r="H391" s="1" t="s">
        <v>735</v>
      </c>
      <c r="I391">
        <f>IFERROR(VLOOKUP(Master[[#This Row],[Cell_ID]],Registre_Maintenance[],3,FALSE),"")</f>
        <v>-11.468578000000001</v>
      </c>
      <c r="J391">
        <f>IFERROR(VLOOKUP(Master[[#This Row],[Cell_ID]],Registre_Maintenance[],4,FALSE),"")</f>
        <v>16.914501999999999</v>
      </c>
      <c r="K391" t="str">
        <f>IFERROR(VLOOKUP(Master[[#This Row],[Cell_ID]],Registre_Maintenance[],5,FALSE),"")</f>
        <v>4G</v>
      </c>
      <c r="L391" t="str">
        <f>IFERROR(VLOOKUP(Master[[#This Row],[Cell_ID]],Registre_Maintenance[],6,FALSE),"")</f>
        <v>Ericsson</v>
      </c>
      <c r="M391" s="1" t="str">
        <f>VLOOKUP(Master[[#This Row],[Province_RDC]],Client[],2,FALSE)</f>
        <v>CLI-00076</v>
      </c>
      <c r="N391" s="1">
        <f>VLOOKUP(Master[[#This Row],[Province_RDC]],Client[],3,FALSE)</f>
        <v>46</v>
      </c>
      <c r="O391" s="1" t="str">
        <f>VLOOKUP(Master[[#This Row],[Province_RDC]],Client[],4,FALSE)</f>
        <v>Premium 5G 150Go</v>
      </c>
      <c r="P391" s="1">
        <f>VLOOKUP(Master[[#This Row],[Province_RDC]],Client[],5,FALSE)</f>
        <v>283</v>
      </c>
      <c r="Q391" s="1">
        <f>VLOOKUP(Master[[#This Row],[Province_RDC]],Client[],6,FALSE)</f>
        <v>56.05</v>
      </c>
      <c r="R391" s="1">
        <f>VLOOKUP(Master[[#This Row],[Province_RDC]],Client[],7,FALSE)</f>
        <v>1</v>
      </c>
      <c r="S391" s="1" t="str">
        <f>IF(Master[[#This Row],[Type_Forfait]]="Pro Monde","B2B","B2C")</f>
        <v>B2C</v>
      </c>
      <c r="T391" s="1">
        <f>Master[[#This Row],[Anciennete_Mois]]/12</f>
        <v>3.8333333333333335</v>
      </c>
      <c r="U391" s="1">
        <f>Master[[#This Row],[Duree_Cumule_Panne_Min]]/60</f>
        <v>4.7166666666666668</v>
      </c>
      <c r="V39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1" s="6">
        <f>Master[[#This Row],[Facture_Mensuelle]]*Master[[#This Row],[Remise]]</f>
        <v>25.2225</v>
      </c>
    </row>
    <row r="392" spans="1:24" x14ac:dyDescent="0.25">
      <c r="A392" s="1" t="s">
        <v>1165</v>
      </c>
      <c r="B392" t="str">
        <f>IFERROR(VLOOKUP(Master[[#This Row],[Cell_ID]],Registre_Maintenance[],2,FALSE),"")</f>
        <v>Bas-Uele</v>
      </c>
      <c r="C392" s="1" t="s">
        <v>1172</v>
      </c>
      <c r="D392" s="2">
        <v>45207.342361111107</v>
      </c>
      <c r="E392" s="3">
        <v>45207.342361111107</v>
      </c>
      <c r="F392">
        <v>28</v>
      </c>
      <c r="G392">
        <f>Master[[#This Row],[Duree_Panne_Min]]/60</f>
        <v>0.46666666666666667</v>
      </c>
      <c r="H392" s="1" t="s">
        <v>732</v>
      </c>
      <c r="I392">
        <f>IFERROR(VLOOKUP(Master[[#This Row],[Cell_ID]],Registre_Maintenance[],3,FALSE),"")</f>
        <v>0.40267799999999998</v>
      </c>
      <c r="J392">
        <f>IFERROR(VLOOKUP(Master[[#This Row],[Cell_ID]],Registre_Maintenance[],4,FALSE),"")</f>
        <v>16.000858000000001</v>
      </c>
      <c r="K392" t="str">
        <f>IFERROR(VLOOKUP(Master[[#This Row],[Cell_ID]],Registre_Maintenance[],5,FALSE),"")</f>
        <v>3G</v>
      </c>
      <c r="L392" t="str">
        <f>IFERROR(VLOOKUP(Master[[#This Row],[Cell_ID]],Registre_Maintenance[],6,FALSE),"")</f>
        <v>Nokia</v>
      </c>
      <c r="M392" s="1" t="str">
        <f>VLOOKUP(Master[[#This Row],[Province_RDC]],Client[],2,FALSE)</f>
        <v>CLI-01128</v>
      </c>
      <c r="N392" s="1">
        <f>VLOOKUP(Master[[#This Row],[Province_RDC]],Client[],3,FALSE)</f>
        <v>112</v>
      </c>
      <c r="O392" s="1" t="str">
        <f>VLOOKUP(Master[[#This Row],[Province_RDC]],Client[],4,FALSE)</f>
        <v>Premium 5G 150Go</v>
      </c>
      <c r="P392" s="1">
        <f>VLOOKUP(Master[[#This Row],[Province_RDC]],Client[],5,FALSE)</f>
        <v>460</v>
      </c>
      <c r="Q392" s="1">
        <f>VLOOKUP(Master[[#This Row],[Province_RDC]],Client[],6,FALSE)</f>
        <v>55.47</v>
      </c>
      <c r="R392" s="1">
        <f>VLOOKUP(Master[[#This Row],[Province_RDC]],Client[],7,FALSE)</f>
        <v>4</v>
      </c>
      <c r="S392" s="1" t="str">
        <f>IF(Master[[#This Row],[Type_Forfait]]="Pro Monde","B2B","B2C")</f>
        <v>B2C</v>
      </c>
      <c r="T392" s="1">
        <f>Master[[#This Row],[Anciennete_Mois]]/12</f>
        <v>9.3333333333333339</v>
      </c>
      <c r="U392" s="1">
        <f>Master[[#This Row],[Duree_Cumule_Panne_Min]]/60</f>
        <v>7.666666666666667</v>
      </c>
      <c r="V39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2" s="6">
        <f>Master[[#This Row],[Facture_Mensuelle]]*Master[[#This Row],[Remise]]</f>
        <v>24.961500000000001</v>
      </c>
    </row>
    <row r="393" spans="1:24" x14ac:dyDescent="0.25">
      <c r="A393" s="1" t="s">
        <v>999</v>
      </c>
      <c r="B393" t="str">
        <f>IFERROR(VLOOKUP(Master[[#This Row],[Cell_ID]],Registre_Maintenance[],2,FALSE),"")</f>
        <v>Sud-Kivu</v>
      </c>
      <c r="C393" s="1" t="s">
        <v>1007</v>
      </c>
      <c r="D393" s="2">
        <v>45200.832638888889</v>
      </c>
      <c r="E393" s="3">
        <v>45200.832638888889</v>
      </c>
      <c r="F393">
        <v>27</v>
      </c>
      <c r="G393">
        <f>Master[[#This Row],[Duree_Panne_Min]]/60</f>
        <v>0.45</v>
      </c>
      <c r="H393" s="1" t="s">
        <v>732</v>
      </c>
      <c r="I393">
        <f>IFERROR(VLOOKUP(Master[[#This Row],[Cell_ID]],Registre_Maintenance[],3,FALSE),"")</f>
        <v>1.2419519999999999</v>
      </c>
      <c r="J393">
        <f>IFERROR(VLOOKUP(Master[[#This Row],[Cell_ID]],Registre_Maintenance[],4,FALSE),"")</f>
        <v>25.261382999999999</v>
      </c>
      <c r="K393" t="str">
        <f>IFERROR(VLOOKUP(Master[[#This Row],[Cell_ID]],Registre_Maintenance[],5,FALSE),"")</f>
        <v>4G</v>
      </c>
      <c r="L393" t="str">
        <f>IFERROR(VLOOKUP(Master[[#This Row],[Cell_ID]],Registre_Maintenance[],6,FALSE),"")</f>
        <v>Huawei</v>
      </c>
      <c r="M393" s="1" t="str">
        <f>VLOOKUP(Master[[#This Row],[Province_RDC]],Client[],2,FALSE)</f>
        <v>CLI-01855</v>
      </c>
      <c r="N393" s="1">
        <f>VLOOKUP(Master[[#This Row],[Province_RDC]],Client[],3,FALSE)</f>
        <v>101</v>
      </c>
      <c r="O393" s="1" t="str">
        <f>VLOOKUP(Master[[#This Row],[Province_RDC]],Client[],4,FALSE)</f>
        <v>Illimité 50Go</v>
      </c>
      <c r="P393" s="1">
        <f>VLOOKUP(Master[[#This Row],[Province_RDC]],Client[],5,FALSE)</f>
        <v>358</v>
      </c>
      <c r="Q393" s="1">
        <f>VLOOKUP(Master[[#This Row],[Province_RDC]],Client[],6,FALSE)</f>
        <v>29.24</v>
      </c>
      <c r="R393" s="1">
        <f>VLOOKUP(Master[[#This Row],[Province_RDC]],Client[],7,FALSE)</f>
        <v>3</v>
      </c>
      <c r="S393" s="1" t="str">
        <f>IF(Master[[#This Row],[Type_Forfait]]="Pro Monde","B2B","B2C")</f>
        <v>B2C</v>
      </c>
      <c r="T393" s="1">
        <f>Master[[#This Row],[Anciennete_Mois]]/12</f>
        <v>8.4166666666666661</v>
      </c>
      <c r="U393" s="1">
        <f>Master[[#This Row],[Duree_Cumule_Panne_Min]]/60</f>
        <v>5.9666666666666668</v>
      </c>
      <c r="V39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3" s="6">
        <f>Master[[#This Row],[Facture_Mensuelle]]*Master[[#This Row],[Remise]]</f>
        <v>13.157999999999999</v>
      </c>
    </row>
    <row r="394" spans="1:24" x14ac:dyDescent="0.25">
      <c r="A394" s="1" t="s">
        <v>1382</v>
      </c>
      <c r="B394" t="str">
        <f>IFERROR(VLOOKUP(Master[[#This Row],[Cell_ID]],Registre_Maintenance[],2,FALSE),"")</f>
        <v>Sankuru</v>
      </c>
      <c r="C394" s="1" t="s">
        <v>1403</v>
      </c>
      <c r="D394" s="2">
        <v>45207.701388888891</v>
      </c>
      <c r="E394" s="3">
        <v>45207.701388888891</v>
      </c>
      <c r="F394">
        <v>27</v>
      </c>
      <c r="G394">
        <f>Master[[#This Row],[Duree_Panne_Min]]/60</f>
        <v>0.45</v>
      </c>
      <c r="H394" s="1" t="s">
        <v>737</v>
      </c>
      <c r="I394">
        <f>IFERROR(VLOOKUP(Master[[#This Row],[Cell_ID]],Registre_Maintenance[],3,FALSE),"")</f>
        <v>-10.764815</v>
      </c>
      <c r="J394">
        <f>IFERROR(VLOOKUP(Master[[#This Row],[Cell_ID]],Registre_Maintenance[],4,FALSE),"")</f>
        <v>14.602039</v>
      </c>
      <c r="K394" t="str">
        <f>IFERROR(VLOOKUP(Master[[#This Row],[Cell_ID]],Registre_Maintenance[],5,FALSE),"")</f>
        <v>4G</v>
      </c>
      <c r="L394" t="str">
        <f>IFERROR(VLOOKUP(Master[[#This Row],[Cell_ID]],Registre_Maintenance[],6,FALSE),"")</f>
        <v>Nokia</v>
      </c>
      <c r="M394" s="1" t="str">
        <f>VLOOKUP(Master[[#This Row],[Province_RDC]],Client[],2,FALSE)</f>
        <v>CLI-00530</v>
      </c>
      <c r="N394" s="1">
        <f>VLOOKUP(Master[[#This Row],[Province_RDC]],Client[],3,FALSE)</f>
        <v>35</v>
      </c>
      <c r="O394" s="1" t="str">
        <f>VLOOKUP(Master[[#This Row],[Province_RDC]],Client[],4,FALSE)</f>
        <v>Pro Monde</v>
      </c>
      <c r="P394" s="1">
        <f>VLOOKUP(Master[[#This Row],[Province_RDC]],Client[],5,FALSE)</f>
        <v>465</v>
      </c>
      <c r="Q394" s="1">
        <f>VLOOKUP(Master[[#This Row],[Province_RDC]],Client[],6,FALSE)</f>
        <v>58.59</v>
      </c>
      <c r="R394" s="1">
        <f>VLOOKUP(Master[[#This Row],[Province_RDC]],Client[],7,FALSE)</f>
        <v>5</v>
      </c>
      <c r="S394" s="1" t="str">
        <f>IF(Master[[#This Row],[Type_Forfait]]="Pro Monde","B2B","B2C")</f>
        <v>B2B</v>
      </c>
      <c r="T394" s="1">
        <f>Master[[#This Row],[Anciennete_Mois]]/12</f>
        <v>2.9166666666666665</v>
      </c>
      <c r="U394" s="1">
        <f>Master[[#This Row],[Duree_Cumule_Panne_Min]]/60</f>
        <v>7.75</v>
      </c>
      <c r="V39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4" s="6">
        <f>Master[[#This Row],[Facture_Mensuelle]]*Master[[#This Row],[Remise]]</f>
        <v>26.365500000000001</v>
      </c>
    </row>
    <row r="395" spans="1:24" x14ac:dyDescent="0.25">
      <c r="A395" s="1" t="s">
        <v>902</v>
      </c>
      <c r="B395" t="str">
        <f>IFERROR(VLOOKUP(Master[[#This Row],[Cell_ID]],Registre_Maintenance[],2,FALSE),"")</f>
        <v>Mai-Ndombe</v>
      </c>
      <c r="C395" s="1" t="s">
        <v>911</v>
      </c>
      <c r="D395" s="2">
        <v>45224.568055555559</v>
      </c>
      <c r="E395" s="3">
        <v>45224.568055555559</v>
      </c>
      <c r="F395">
        <v>27</v>
      </c>
      <c r="G395">
        <f>Master[[#This Row],[Duree_Panne_Min]]/60</f>
        <v>0.45</v>
      </c>
      <c r="H395" s="1" t="s">
        <v>732</v>
      </c>
      <c r="I395">
        <f>IFERROR(VLOOKUP(Master[[#This Row],[Cell_ID]],Registre_Maintenance[],3,FALSE),"")</f>
        <v>-10.442425</v>
      </c>
      <c r="J395">
        <f>IFERROR(VLOOKUP(Master[[#This Row],[Cell_ID]],Registre_Maintenance[],4,FALSE),"")</f>
        <v>23.243632000000002</v>
      </c>
      <c r="K395" t="str">
        <f>IFERROR(VLOOKUP(Master[[#This Row],[Cell_ID]],Registre_Maintenance[],5,FALSE),"")</f>
        <v>4G</v>
      </c>
      <c r="L395" t="str">
        <f>IFERROR(VLOOKUP(Master[[#This Row],[Cell_ID]],Registre_Maintenance[],6,FALSE),"")</f>
        <v>Nokia</v>
      </c>
      <c r="M395" s="1" t="str">
        <f>VLOOKUP(Master[[#This Row],[Province_RDC]],Client[],2,FALSE)</f>
        <v>CLI-00361</v>
      </c>
      <c r="N395" s="1">
        <f>VLOOKUP(Master[[#This Row],[Province_RDC]],Client[],3,FALSE)</f>
        <v>66</v>
      </c>
      <c r="O395" s="1" t="str">
        <f>VLOOKUP(Master[[#This Row],[Province_RDC]],Client[],4,FALSE)</f>
        <v>Illimité 50Go</v>
      </c>
      <c r="P395" s="1">
        <f>VLOOKUP(Master[[#This Row],[Province_RDC]],Client[],5,FALSE)</f>
        <v>270</v>
      </c>
      <c r="Q395" s="1">
        <f>VLOOKUP(Master[[#This Row],[Province_RDC]],Client[],6,FALSE)</f>
        <v>75.88</v>
      </c>
      <c r="R395" s="1">
        <f>VLOOKUP(Master[[#This Row],[Province_RDC]],Client[],7,FALSE)</f>
        <v>3</v>
      </c>
      <c r="S395" s="1" t="str">
        <f>IF(Master[[#This Row],[Type_Forfait]]="Pro Monde","B2B","B2C")</f>
        <v>B2C</v>
      </c>
      <c r="T395" s="1">
        <f>Master[[#This Row],[Anciennete_Mois]]/12</f>
        <v>5.5</v>
      </c>
      <c r="U395" s="1">
        <f>Master[[#This Row],[Duree_Cumule_Panne_Min]]/60</f>
        <v>4.5</v>
      </c>
      <c r="V39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5" s="6">
        <f>Master[[#This Row],[Facture_Mensuelle]]*Master[[#This Row],[Remise]]</f>
        <v>34.146000000000001</v>
      </c>
    </row>
    <row r="396" spans="1:24" x14ac:dyDescent="0.25">
      <c r="A396" s="1" t="s">
        <v>1193</v>
      </c>
      <c r="B396" t="str">
        <f>IFERROR(VLOOKUP(Master[[#This Row],[Cell_ID]],Registre_Maintenance[],2,FALSE),"")</f>
        <v>Lualaba</v>
      </c>
      <c r="C396" s="1" t="s">
        <v>1192</v>
      </c>
      <c r="D396" s="2">
        <v>45228.747916666667</v>
      </c>
      <c r="E396" s="3">
        <v>45228.747916666667</v>
      </c>
      <c r="F396">
        <v>27</v>
      </c>
      <c r="G396">
        <f>Master[[#This Row],[Duree_Panne_Min]]/60</f>
        <v>0.45</v>
      </c>
      <c r="H396" s="1" t="s">
        <v>732</v>
      </c>
      <c r="I396">
        <f>IFERROR(VLOOKUP(Master[[#This Row],[Cell_ID]],Registre_Maintenance[],3,FALSE),"")</f>
        <v>-8.0301989999999996</v>
      </c>
      <c r="J396">
        <f>IFERROR(VLOOKUP(Master[[#This Row],[Cell_ID]],Registre_Maintenance[],4,FALSE),"")</f>
        <v>24.122495000000001</v>
      </c>
      <c r="K396" t="str">
        <f>IFERROR(VLOOKUP(Master[[#This Row],[Cell_ID]],Registre_Maintenance[],5,FALSE),"")</f>
        <v>5G</v>
      </c>
      <c r="L396" t="str">
        <f>IFERROR(VLOOKUP(Master[[#This Row],[Cell_ID]],Registre_Maintenance[],6,FALSE),"")</f>
        <v>ZTE</v>
      </c>
      <c r="M396" s="1" t="str">
        <f>VLOOKUP(Master[[#This Row],[Province_RDC]],Client[],2,FALSE)</f>
        <v>CLI-01005</v>
      </c>
      <c r="N396" s="1">
        <f>VLOOKUP(Master[[#This Row],[Province_RDC]],Client[],3,FALSE)</f>
        <v>80</v>
      </c>
      <c r="O396" s="1" t="str">
        <f>VLOOKUP(Master[[#This Row],[Province_RDC]],Client[],4,FALSE)</f>
        <v>Illimité 50Go</v>
      </c>
      <c r="P396" s="1">
        <f>VLOOKUP(Master[[#This Row],[Province_RDC]],Client[],5,FALSE)</f>
        <v>155</v>
      </c>
      <c r="Q396" s="1">
        <f>VLOOKUP(Master[[#This Row],[Province_RDC]],Client[],6,FALSE)</f>
        <v>28.96</v>
      </c>
      <c r="R396" s="1">
        <f>VLOOKUP(Master[[#This Row],[Province_RDC]],Client[],7,FALSE)</f>
        <v>2</v>
      </c>
      <c r="S396" s="1" t="str">
        <f>IF(Master[[#This Row],[Type_Forfait]]="Pro Monde","B2B","B2C")</f>
        <v>B2C</v>
      </c>
      <c r="T396" s="1">
        <f>Master[[#This Row],[Anciennete_Mois]]/12</f>
        <v>6.666666666666667</v>
      </c>
      <c r="U396" s="1">
        <f>Master[[#This Row],[Duree_Cumule_Panne_Min]]/60</f>
        <v>2.5833333333333335</v>
      </c>
      <c r="V39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9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96" s="6">
        <f>Master[[#This Row],[Facture_Mensuelle]]*Master[[#This Row],[Remise]]</f>
        <v>0</v>
      </c>
    </row>
    <row r="397" spans="1:24" x14ac:dyDescent="0.25">
      <c r="A397" s="1" t="s">
        <v>1219</v>
      </c>
      <c r="B397" t="str">
        <f>IFERROR(VLOOKUP(Master[[#This Row],[Cell_ID]],Registre_Maintenance[],2,FALSE),"")</f>
        <v>Lualaba</v>
      </c>
      <c r="C397" s="1" t="s">
        <v>1223</v>
      </c>
      <c r="D397" s="2">
        <v>45226.964583333327</v>
      </c>
      <c r="E397" s="3">
        <v>45226.964583333327</v>
      </c>
      <c r="F397">
        <v>27</v>
      </c>
      <c r="G397">
        <f>Master[[#This Row],[Duree_Panne_Min]]/60</f>
        <v>0.45</v>
      </c>
      <c r="H397" s="1" t="s">
        <v>735</v>
      </c>
      <c r="I397">
        <f>IFERROR(VLOOKUP(Master[[#This Row],[Cell_ID]],Registre_Maintenance[],3,FALSE),"")</f>
        <v>-11.354772000000001</v>
      </c>
      <c r="J397">
        <f>IFERROR(VLOOKUP(Master[[#This Row],[Cell_ID]],Registre_Maintenance[],4,FALSE),"")</f>
        <v>21.957325999999998</v>
      </c>
      <c r="K397" t="str">
        <f>IFERROR(VLOOKUP(Master[[#This Row],[Cell_ID]],Registre_Maintenance[],5,FALSE),"")</f>
        <v>3G</v>
      </c>
      <c r="L397" t="str">
        <f>IFERROR(VLOOKUP(Master[[#This Row],[Cell_ID]],Registre_Maintenance[],6,FALSE),"")</f>
        <v>Nokia</v>
      </c>
      <c r="M397" s="1" t="str">
        <f>VLOOKUP(Master[[#This Row],[Province_RDC]],Client[],2,FALSE)</f>
        <v>CLI-01005</v>
      </c>
      <c r="N397" s="1">
        <f>VLOOKUP(Master[[#This Row],[Province_RDC]],Client[],3,FALSE)</f>
        <v>80</v>
      </c>
      <c r="O397" s="1" t="str">
        <f>VLOOKUP(Master[[#This Row],[Province_RDC]],Client[],4,FALSE)</f>
        <v>Illimité 50Go</v>
      </c>
      <c r="P397" s="1">
        <f>VLOOKUP(Master[[#This Row],[Province_RDC]],Client[],5,FALSE)</f>
        <v>155</v>
      </c>
      <c r="Q397" s="1">
        <f>VLOOKUP(Master[[#This Row],[Province_RDC]],Client[],6,FALSE)</f>
        <v>28.96</v>
      </c>
      <c r="R397" s="1">
        <f>VLOOKUP(Master[[#This Row],[Province_RDC]],Client[],7,FALSE)</f>
        <v>2</v>
      </c>
      <c r="S397" s="1" t="str">
        <f>IF(Master[[#This Row],[Type_Forfait]]="Pro Monde","B2B","B2C")</f>
        <v>B2C</v>
      </c>
      <c r="T397" s="1">
        <f>Master[[#This Row],[Anciennete_Mois]]/12</f>
        <v>6.666666666666667</v>
      </c>
      <c r="U397" s="1">
        <f>Master[[#This Row],[Duree_Cumule_Panne_Min]]/60</f>
        <v>2.5833333333333335</v>
      </c>
      <c r="V39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9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97" s="6">
        <f>Master[[#This Row],[Facture_Mensuelle]]*Master[[#This Row],[Remise]]</f>
        <v>0</v>
      </c>
    </row>
    <row r="398" spans="1:24" x14ac:dyDescent="0.25">
      <c r="A398" s="1" t="s">
        <v>823</v>
      </c>
      <c r="B398" t="str">
        <f>IFERROR(VLOOKUP(Master[[#This Row],[Cell_ID]],Registre_Maintenance[],2,FALSE),"")</f>
        <v>Kwilu</v>
      </c>
      <c r="C398" s="1" t="s">
        <v>847</v>
      </c>
      <c r="D398" s="2">
        <v>45209.524305555547</v>
      </c>
      <c r="E398" s="3">
        <v>45209.524305555547</v>
      </c>
      <c r="F398">
        <v>27</v>
      </c>
      <c r="G398">
        <f>Master[[#This Row],[Duree_Panne_Min]]/60</f>
        <v>0.45</v>
      </c>
      <c r="H398" s="1" t="s">
        <v>737</v>
      </c>
      <c r="I398">
        <f>IFERROR(VLOOKUP(Master[[#This Row],[Cell_ID]],Registre_Maintenance[],3,FALSE),"")</f>
        <v>2.4741019999999998</v>
      </c>
      <c r="J398">
        <f>IFERROR(VLOOKUP(Master[[#This Row],[Cell_ID]],Registre_Maintenance[],4,FALSE),"")</f>
        <v>29.297391000000001</v>
      </c>
      <c r="K398" t="str">
        <f>IFERROR(VLOOKUP(Master[[#This Row],[Cell_ID]],Registre_Maintenance[],5,FALSE),"")</f>
        <v>4G</v>
      </c>
      <c r="L398" t="str">
        <f>IFERROR(VLOOKUP(Master[[#This Row],[Cell_ID]],Registre_Maintenance[],6,FALSE),"")</f>
        <v>Ericsson</v>
      </c>
      <c r="M398" s="1" t="str">
        <f>VLOOKUP(Master[[#This Row],[Province_RDC]],Client[],2,FALSE)</f>
        <v>CLI-00996</v>
      </c>
      <c r="N398" s="1">
        <f>VLOOKUP(Master[[#This Row],[Province_RDC]],Client[],3,FALSE)</f>
        <v>119</v>
      </c>
      <c r="O398" s="1" t="str">
        <f>VLOOKUP(Master[[#This Row],[Province_RDC]],Client[],4,FALSE)</f>
        <v>Illimité 50Go</v>
      </c>
      <c r="P398" s="1">
        <f>VLOOKUP(Master[[#This Row],[Province_RDC]],Client[],5,FALSE)</f>
        <v>228</v>
      </c>
      <c r="Q398" s="1">
        <f>VLOOKUP(Master[[#This Row],[Province_RDC]],Client[],6,FALSE)</f>
        <v>94.72</v>
      </c>
      <c r="R398" s="1">
        <f>VLOOKUP(Master[[#This Row],[Province_RDC]],Client[],7,FALSE)</f>
        <v>3</v>
      </c>
      <c r="S398" s="1" t="str">
        <f>IF(Master[[#This Row],[Type_Forfait]]="Pro Monde","B2B","B2C")</f>
        <v>B2C</v>
      </c>
      <c r="T398" s="1">
        <f>Master[[#This Row],[Anciennete_Mois]]/12</f>
        <v>9.9166666666666661</v>
      </c>
      <c r="U398" s="1">
        <f>Master[[#This Row],[Duree_Cumule_Panne_Min]]/60</f>
        <v>3.8</v>
      </c>
      <c r="V39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39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398" s="6">
        <f>Master[[#This Row],[Facture_Mensuelle]]*Master[[#This Row],[Remise]]</f>
        <v>0</v>
      </c>
    </row>
    <row r="399" spans="1:24" x14ac:dyDescent="0.25">
      <c r="A399" s="1" t="s">
        <v>861</v>
      </c>
      <c r="B399" t="str">
        <f>IFERROR(VLOOKUP(Master[[#This Row],[Cell_ID]],Registre_Maintenance[],2,FALSE),"")</f>
        <v>Kongo-Central</v>
      </c>
      <c r="C399" s="1" t="s">
        <v>864</v>
      </c>
      <c r="D399" s="2">
        <v>45212.965277777781</v>
      </c>
      <c r="E399" s="3">
        <v>45212.965277777781</v>
      </c>
      <c r="F399">
        <v>27</v>
      </c>
      <c r="G399">
        <f>Master[[#This Row],[Duree_Panne_Min]]/60</f>
        <v>0.45</v>
      </c>
      <c r="H399" s="1" t="s">
        <v>737</v>
      </c>
      <c r="I399">
        <f>IFERROR(VLOOKUP(Master[[#This Row],[Cell_ID]],Registre_Maintenance[],3,FALSE),"")</f>
        <v>0.79124300000000003</v>
      </c>
      <c r="J399">
        <f>IFERROR(VLOOKUP(Master[[#This Row],[Cell_ID]],Registre_Maintenance[],4,FALSE),"")</f>
        <v>25.273389000000002</v>
      </c>
      <c r="K399" t="str">
        <f>IFERROR(VLOOKUP(Master[[#This Row],[Cell_ID]],Registre_Maintenance[],5,FALSE),"")</f>
        <v>4G</v>
      </c>
      <c r="L399" t="str">
        <f>IFERROR(VLOOKUP(Master[[#This Row],[Cell_ID]],Registre_Maintenance[],6,FALSE),"")</f>
        <v>Nokia</v>
      </c>
      <c r="M399" s="1" t="str">
        <f>VLOOKUP(Master[[#This Row],[Province_RDC]],Client[],2,FALSE)</f>
        <v>CLI-01233</v>
      </c>
      <c r="N399" s="1">
        <f>VLOOKUP(Master[[#This Row],[Province_RDC]],Client[],3,FALSE)</f>
        <v>101</v>
      </c>
      <c r="O399" s="1" t="str">
        <f>VLOOKUP(Master[[#This Row],[Province_RDC]],Client[],4,FALSE)</f>
        <v>Pro Monde</v>
      </c>
      <c r="P399" s="1">
        <f>VLOOKUP(Master[[#This Row],[Province_RDC]],Client[],5,FALSE)</f>
        <v>333</v>
      </c>
      <c r="Q399" s="1">
        <f>VLOOKUP(Master[[#This Row],[Province_RDC]],Client[],6,FALSE)</f>
        <v>74.319999999999993</v>
      </c>
      <c r="R399" s="1">
        <f>VLOOKUP(Master[[#This Row],[Province_RDC]],Client[],7,FALSE)</f>
        <v>1</v>
      </c>
      <c r="S399" s="1" t="str">
        <f>IF(Master[[#This Row],[Type_Forfait]]="Pro Monde","B2B","B2C")</f>
        <v>B2B</v>
      </c>
      <c r="T399" s="1">
        <f>Master[[#This Row],[Anciennete_Mois]]/12</f>
        <v>8.4166666666666661</v>
      </c>
      <c r="U399" s="1">
        <f>Master[[#This Row],[Duree_Cumule_Panne_Min]]/60</f>
        <v>5.55</v>
      </c>
      <c r="V39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39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399" s="6">
        <f>Master[[#This Row],[Facture_Mensuelle]]*Master[[#This Row],[Remise]]</f>
        <v>33.443999999999996</v>
      </c>
    </row>
    <row r="400" spans="1:24" x14ac:dyDescent="0.25">
      <c r="A400" s="1" t="s">
        <v>1330</v>
      </c>
      <c r="B400" t="str">
        <f>IFERROR(VLOOKUP(Master[[#This Row],[Cell_ID]],Registre_Maintenance[],2,FALSE),"")</f>
        <v>Equateur</v>
      </c>
      <c r="C400" s="1" t="s">
        <v>1190</v>
      </c>
      <c r="D400" s="2">
        <v>45214.290277777778</v>
      </c>
      <c r="E400" s="3">
        <v>45214.290277777778</v>
      </c>
      <c r="F400">
        <v>27</v>
      </c>
      <c r="G400">
        <f>Master[[#This Row],[Duree_Panne_Min]]/60</f>
        <v>0.45</v>
      </c>
      <c r="H400" s="1" t="s">
        <v>735</v>
      </c>
      <c r="I400">
        <f>IFERROR(VLOOKUP(Master[[#This Row],[Cell_ID]],Registre_Maintenance[],3,FALSE),"")</f>
        <v>-12.839263000000001</v>
      </c>
      <c r="J400">
        <f>IFERROR(VLOOKUP(Master[[#This Row],[Cell_ID]],Registre_Maintenance[],4,FALSE),"")</f>
        <v>12.355677</v>
      </c>
      <c r="K400" t="str">
        <f>IFERROR(VLOOKUP(Master[[#This Row],[Cell_ID]],Registre_Maintenance[],5,FALSE),"")</f>
        <v>3G</v>
      </c>
      <c r="L400" t="str">
        <f>IFERROR(VLOOKUP(Master[[#This Row],[Cell_ID]],Registre_Maintenance[],6,FALSE),"")</f>
        <v>Huawei</v>
      </c>
      <c r="M400" s="1" t="str">
        <f>VLOOKUP(Master[[#This Row],[Province_RDC]],Client[],2,FALSE)</f>
        <v>CLI-00643</v>
      </c>
      <c r="N400" s="1">
        <f>VLOOKUP(Master[[#This Row],[Province_RDC]],Client[],3,FALSE)</f>
        <v>14</v>
      </c>
      <c r="O400" s="1" t="str">
        <f>VLOOKUP(Master[[#This Row],[Province_RDC]],Client[],4,FALSE)</f>
        <v>Pro Monde</v>
      </c>
      <c r="P400" s="1">
        <f>VLOOKUP(Master[[#This Row],[Province_RDC]],Client[],5,FALSE)</f>
        <v>316</v>
      </c>
      <c r="Q400" s="1">
        <f>VLOOKUP(Master[[#This Row],[Province_RDC]],Client[],6,FALSE)</f>
        <v>62.34</v>
      </c>
      <c r="R400" s="1">
        <f>VLOOKUP(Master[[#This Row],[Province_RDC]],Client[],7,FALSE)</f>
        <v>4</v>
      </c>
      <c r="S400" s="1" t="str">
        <f>IF(Master[[#This Row],[Type_Forfait]]="Pro Monde","B2B","B2C")</f>
        <v>B2B</v>
      </c>
      <c r="T400" s="1">
        <f>Master[[#This Row],[Anciennete_Mois]]/12</f>
        <v>1.1666666666666667</v>
      </c>
      <c r="U400" s="1">
        <f>Master[[#This Row],[Duree_Cumule_Panne_Min]]/60</f>
        <v>5.2666666666666666</v>
      </c>
      <c r="V40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0" s="6">
        <f>Master[[#This Row],[Facture_Mensuelle]]*Master[[#This Row],[Remise]]</f>
        <v>28.053000000000001</v>
      </c>
    </row>
    <row r="401" spans="1:24" x14ac:dyDescent="0.25">
      <c r="A401" s="1" t="s">
        <v>1382</v>
      </c>
      <c r="B401" t="str">
        <f>IFERROR(VLOOKUP(Master[[#This Row],[Cell_ID]],Registre_Maintenance[],2,FALSE),"")</f>
        <v>Equateur</v>
      </c>
      <c r="C401" s="1" t="s">
        <v>1400</v>
      </c>
      <c r="D401" s="2">
        <v>45211.587500000001</v>
      </c>
      <c r="E401" s="3">
        <v>45211.587500000001</v>
      </c>
      <c r="F401">
        <v>27</v>
      </c>
      <c r="G401">
        <f>Master[[#This Row],[Duree_Panne_Min]]/60</f>
        <v>0.45</v>
      </c>
      <c r="H401" s="1" t="s">
        <v>737</v>
      </c>
      <c r="I401">
        <f>IFERROR(VLOOKUP(Master[[#This Row],[Cell_ID]],Registre_Maintenance[],3,FALSE),"")</f>
        <v>-7.8215969999999997</v>
      </c>
      <c r="J401">
        <f>IFERROR(VLOOKUP(Master[[#This Row],[Cell_ID]],Registre_Maintenance[],4,FALSE),"")</f>
        <v>26.797349000000001</v>
      </c>
      <c r="K401" t="str">
        <f>IFERROR(VLOOKUP(Master[[#This Row],[Cell_ID]],Registre_Maintenance[],5,FALSE),"")</f>
        <v>3G</v>
      </c>
      <c r="L401" t="str">
        <f>IFERROR(VLOOKUP(Master[[#This Row],[Cell_ID]],Registre_Maintenance[],6,FALSE),"")</f>
        <v>Ericsson</v>
      </c>
      <c r="M401" s="1" t="str">
        <f>VLOOKUP(Master[[#This Row],[Province_RDC]],Client[],2,FALSE)</f>
        <v>CLI-00643</v>
      </c>
      <c r="N401" s="1">
        <f>VLOOKUP(Master[[#This Row],[Province_RDC]],Client[],3,FALSE)</f>
        <v>14</v>
      </c>
      <c r="O401" s="1" t="str">
        <f>VLOOKUP(Master[[#This Row],[Province_RDC]],Client[],4,FALSE)</f>
        <v>Pro Monde</v>
      </c>
      <c r="P401" s="1">
        <f>VLOOKUP(Master[[#This Row],[Province_RDC]],Client[],5,FALSE)</f>
        <v>316</v>
      </c>
      <c r="Q401" s="1">
        <f>VLOOKUP(Master[[#This Row],[Province_RDC]],Client[],6,FALSE)</f>
        <v>62.34</v>
      </c>
      <c r="R401" s="1">
        <f>VLOOKUP(Master[[#This Row],[Province_RDC]],Client[],7,FALSE)</f>
        <v>4</v>
      </c>
      <c r="S401" s="1" t="str">
        <f>IF(Master[[#This Row],[Type_Forfait]]="Pro Monde","B2B","B2C")</f>
        <v>B2B</v>
      </c>
      <c r="T401" s="1">
        <f>Master[[#This Row],[Anciennete_Mois]]/12</f>
        <v>1.1666666666666667</v>
      </c>
      <c r="U401" s="1">
        <f>Master[[#This Row],[Duree_Cumule_Panne_Min]]/60</f>
        <v>5.2666666666666666</v>
      </c>
      <c r="V40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1" s="6">
        <f>Master[[#This Row],[Facture_Mensuelle]]*Master[[#This Row],[Remise]]</f>
        <v>28.053000000000001</v>
      </c>
    </row>
    <row r="402" spans="1:24" x14ac:dyDescent="0.25">
      <c r="A402" s="1" t="s">
        <v>1361</v>
      </c>
      <c r="B402" t="str">
        <f>IFERROR(VLOOKUP(Master[[#This Row],[Cell_ID]],Registre_Maintenance[],2,FALSE),"")</f>
        <v>Nord-Ubangi</v>
      </c>
      <c r="C402" s="1" t="s">
        <v>763</v>
      </c>
      <c r="D402" s="2">
        <v>45203.517361111109</v>
      </c>
      <c r="E402" s="3">
        <v>45203.517361111109</v>
      </c>
      <c r="F402">
        <v>26</v>
      </c>
      <c r="G402">
        <f>Master[[#This Row],[Duree_Panne_Min]]/60</f>
        <v>0.43333333333333335</v>
      </c>
      <c r="H402" s="1" t="s">
        <v>732</v>
      </c>
      <c r="I402">
        <f>IFERROR(VLOOKUP(Master[[#This Row],[Cell_ID]],Registre_Maintenance[],3,FALSE),"")</f>
        <v>-8.1437910000000002</v>
      </c>
      <c r="J402">
        <f>IFERROR(VLOOKUP(Master[[#This Row],[Cell_ID]],Registre_Maintenance[],4,FALSE),"")</f>
        <v>28.946161</v>
      </c>
      <c r="K402" t="str">
        <f>IFERROR(VLOOKUP(Master[[#This Row],[Cell_ID]],Registre_Maintenance[],5,FALSE),"")</f>
        <v>4G</v>
      </c>
      <c r="L402" t="str">
        <f>IFERROR(VLOOKUP(Master[[#This Row],[Cell_ID]],Registre_Maintenance[],6,FALSE),"")</f>
        <v>ZTE</v>
      </c>
      <c r="M402" s="1" t="str">
        <f>VLOOKUP(Master[[#This Row],[Province_RDC]],Client[],2,FALSE)</f>
        <v>CLI-01170</v>
      </c>
      <c r="N402" s="1">
        <f>VLOOKUP(Master[[#This Row],[Province_RDC]],Client[],3,FALSE)</f>
        <v>98</v>
      </c>
      <c r="O402" s="1" t="str">
        <f>VLOOKUP(Master[[#This Row],[Province_RDC]],Client[],4,FALSE)</f>
        <v>Pro Monde</v>
      </c>
      <c r="P402" s="1">
        <f>VLOOKUP(Master[[#This Row],[Province_RDC]],Client[],5,FALSE)</f>
        <v>482</v>
      </c>
      <c r="Q402" s="1">
        <f>VLOOKUP(Master[[#This Row],[Province_RDC]],Client[],6,FALSE)</f>
        <v>55.04</v>
      </c>
      <c r="R402" s="1">
        <f>VLOOKUP(Master[[#This Row],[Province_RDC]],Client[],7,FALSE)</f>
        <v>5</v>
      </c>
      <c r="S402" s="1" t="str">
        <f>IF(Master[[#This Row],[Type_Forfait]]="Pro Monde","B2B","B2C")</f>
        <v>B2B</v>
      </c>
      <c r="T402" s="1">
        <f>Master[[#This Row],[Anciennete_Mois]]/12</f>
        <v>8.1666666666666661</v>
      </c>
      <c r="U402" s="1">
        <f>Master[[#This Row],[Duree_Cumule_Panne_Min]]/60</f>
        <v>8.0333333333333332</v>
      </c>
      <c r="V40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2" s="6">
        <f>Master[[#This Row],[Facture_Mensuelle]]*Master[[#This Row],[Remise]]</f>
        <v>24.768000000000001</v>
      </c>
    </row>
    <row r="403" spans="1:24" x14ac:dyDescent="0.25">
      <c r="A403" s="1" t="s">
        <v>1345</v>
      </c>
      <c r="B403" t="str">
        <f>IFERROR(VLOOKUP(Master[[#This Row],[Cell_ID]],Registre_Maintenance[],2,FALSE),"")</f>
        <v>Mai-Ndombe</v>
      </c>
      <c r="C403" s="1" t="s">
        <v>1354</v>
      </c>
      <c r="D403" s="2">
        <v>45206.23333333333</v>
      </c>
      <c r="E403" s="3">
        <v>45206.23333333333</v>
      </c>
      <c r="F403">
        <v>26</v>
      </c>
      <c r="G403">
        <f>Master[[#This Row],[Duree_Panne_Min]]/60</f>
        <v>0.43333333333333335</v>
      </c>
      <c r="H403" s="1" t="s">
        <v>737</v>
      </c>
      <c r="I403">
        <f>IFERROR(VLOOKUP(Master[[#This Row],[Cell_ID]],Registre_Maintenance[],3,FALSE),"")</f>
        <v>-4.6311460000000002</v>
      </c>
      <c r="J403">
        <f>IFERROR(VLOOKUP(Master[[#This Row],[Cell_ID]],Registre_Maintenance[],4,FALSE),"")</f>
        <v>25.314723000000001</v>
      </c>
      <c r="K403" t="str">
        <f>IFERROR(VLOOKUP(Master[[#This Row],[Cell_ID]],Registre_Maintenance[],5,FALSE),"")</f>
        <v>4G</v>
      </c>
      <c r="L403" t="str">
        <f>IFERROR(VLOOKUP(Master[[#This Row],[Cell_ID]],Registre_Maintenance[],6,FALSE),"")</f>
        <v>Huawei</v>
      </c>
      <c r="M403" s="1" t="str">
        <f>VLOOKUP(Master[[#This Row],[Province_RDC]],Client[],2,FALSE)</f>
        <v>CLI-00361</v>
      </c>
      <c r="N403" s="1">
        <f>VLOOKUP(Master[[#This Row],[Province_RDC]],Client[],3,FALSE)</f>
        <v>66</v>
      </c>
      <c r="O403" s="1" t="str">
        <f>VLOOKUP(Master[[#This Row],[Province_RDC]],Client[],4,FALSE)</f>
        <v>Illimité 50Go</v>
      </c>
      <c r="P403" s="1">
        <f>VLOOKUP(Master[[#This Row],[Province_RDC]],Client[],5,FALSE)</f>
        <v>270</v>
      </c>
      <c r="Q403" s="1">
        <f>VLOOKUP(Master[[#This Row],[Province_RDC]],Client[],6,FALSE)</f>
        <v>75.88</v>
      </c>
      <c r="R403" s="1">
        <f>VLOOKUP(Master[[#This Row],[Province_RDC]],Client[],7,FALSE)</f>
        <v>3</v>
      </c>
      <c r="S403" s="1" t="str">
        <f>IF(Master[[#This Row],[Type_Forfait]]="Pro Monde","B2B","B2C")</f>
        <v>B2C</v>
      </c>
      <c r="T403" s="1">
        <f>Master[[#This Row],[Anciennete_Mois]]/12</f>
        <v>5.5</v>
      </c>
      <c r="U403" s="1">
        <f>Master[[#This Row],[Duree_Cumule_Panne_Min]]/60</f>
        <v>4.5</v>
      </c>
      <c r="V40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3" s="6">
        <f>Master[[#This Row],[Facture_Mensuelle]]*Master[[#This Row],[Remise]]</f>
        <v>34.146000000000001</v>
      </c>
    </row>
    <row r="404" spans="1:24" x14ac:dyDescent="0.25">
      <c r="A404" s="1" t="s">
        <v>1024</v>
      </c>
      <c r="B404" t="str">
        <f>IFERROR(VLOOKUP(Master[[#This Row],[Cell_ID]],Registre_Maintenance[],2,FALSE),"")</f>
        <v>Ituri</v>
      </c>
      <c r="C404" s="1" t="s">
        <v>1005</v>
      </c>
      <c r="D404" s="2">
        <v>45227.915277777778</v>
      </c>
      <c r="E404" s="3">
        <v>45227.915277777778</v>
      </c>
      <c r="F404">
        <v>26</v>
      </c>
      <c r="G404">
        <f>Master[[#This Row],[Duree_Panne_Min]]/60</f>
        <v>0.43333333333333335</v>
      </c>
      <c r="H404" s="1" t="s">
        <v>735</v>
      </c>
      <c r="I404">
        <f>IFERROR(VLOOKUP(Master[[#This Row],[Cell_ID]],Registre_Maintenance[],3,FALSE),"")</f>
        <v>-3.7720639999999999</v>
      </c>
      <c r="J404">
        <f>IFERROR(VLOOKUP(Master[[#This Row],[Cell_ID]],Registre_Maintenance[],4,FALSE),"")</f>
        <v>16.006277999999998</v>
      </c>
      <c r="K404" t="str">
        <f>IFERROR(VLOOKUP(Master[[#This Row],[Cell_ID]],Registre_Maintenance[],5,FALSE),"")</f>
        <v>5G</v>
      </c>
      <c r="L404" t="str">
        <f>IFERROR(VLOOKUP(Master[[#This Row],[Cell_ID]],Registre_Maintenance[],6,FALSE),"")</f>
        <v>ZTE</v>
      </c>
      <c r="M404" s="1" t="str">
        <f>VLOOKUP(Master[[#This Row],[Province_RDC]],Client[],2,FALSE)</f>
        <v>CLI-00041</v>
      </c>
      <c r="N404" s="1">
        <f>VLOOKUP(Master[[#This Row],[Province_RDC]],Client[],3,FALSE)</f>
        <v>103</v>
      </c>
      <c r="O404" s="1" t="str">
        <f>VLOOKUP(Master[[#This Row],[Province_RDC]],Client[],4,FALSE)</f>
        <v>Pro Monde</v>
      </c>
      <c r="P404" s="1">
        <f>VLOOKUP(Master[[#This Row],[Province_RDC]],Client[],5,FALSE)</f>
        <v>105</v>
      </c>
      <c r="Q404" s="1">
        <f>VLOOKUP(Master[[#This Row],[Province_RDC]],Client[],6,FALSE)</f>
        <v>61.52</v>
      </c>
      <c r="R404" s="1">
        <f>VLOOKUP(Master[[#This Row],[Province_RDC]],Client[],7,FALSE)</f>
        <v>3</v>
      </c>
      <c r="S404" s="1" t="str">
        <f>IF(Master[[#This Row],[Type_Forfait]]="Pro Monde","B2B","B2C")</f>
        <v>B2B</v>
      </c>
      <c r="T404" s="1">
        <f>Master[[#This Row],[Anciennete_Mois]]/12</f>
        <v>8.5833333333333339</v>
      </c>
      <c r="U404" s="1">
        <f>Master[[#This Row],[Duree_Cumule_Panne_Min]]/60</f>
        <v>1.75</v>
      </c>
      <c r="V40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0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04" s="6">
        <f>Master[[#This Row],[Facture_Mensuelle]]*Master[[#This Row],[Remise]]</f>
        <v>6.152000000000001</v>
      </c>
    </row>
    <row r="405" spans="1:24" x14ac:dyDescent="0.25">
      <c r="A405" s="1" t="s">
        <v>1308</v>
      </c>
      <c r="B405" t="str">
        <f>IFERROR(VLOOKUP(Master[[#This Row],[Cell_ID]],Registre_Maintenance[],2,FALSE),"")</f>
        <v>Bas-Uele</v>
      </c>
      <c r="C405" s="1" t="s">
        <v>922</v>
      </c>
      <c r="D405" s="2">
        <v>45223.436111111107</v>
      </c>
      <c r="E405" s="3">
        <v>45223.436111111107</v>
      </c>
      <c r="F405">
        <v>26</v>
      </c>
      <c r="G405">
        <f>Master[[#This Row],[Duree_Panne_Min]]/60</f>
        <v>0.43333333333333335</v>
      </c>
      <c r="H405" s="1" t="s">
        <v>732</v>
      </c>
      <c r="I405">
        <f>IFERROR(VLOOKUP(Master[[#This Row],[Cell_ID]],Registre_Maintenance[],3,FALSE),"")</f>
        <v>1.5278670000000001</v>
      </c>
      <c r="J405">
        <f>IFERROR(VLOOKUP(Master[[#This Row],[Cell_ID]],Registre_Maintenance[],4,FALSE),"")</f>
        <v>13.899388999999999</v>
      </c>
      <c r="K405" t="str">
        <f>IFERROR(VLOOKUP(Master[[#This Row],[Cell_ID]],Registre_Maintenance[],5,FALSE),"")</f>
        <v>3G</v>
      </c>
      <c r="L405" t="str">
        <f>IFERROR(VLOOKUP(Master[[#This Row],[Cell_ID]],Registre_Maintenance[],6,FALSE),"")</f>
        <v>Huawei</v>
      </c>
      <c r="M405" s="1" t="str">
        <f>VLOOKUP(Master[[#This Row],[Province_RDC]],Client[],2,FALSE)</f>
        <v>CLI-01128</v>
      </c>
      <c r="N405" s="1">
        <f>VLOOKUP(Master[[#This Row],[Province_RDC]],Client[],3,FALSE)</f>
        <v>112</v>
      </c>
      <c r="O405" s="1" t="str">
        <f>VLOOKUP(Master[[#This Row],[Province_RDC]],Client[],4,FALSE)</f>
        <v>Premium 5G 150Go</v>
      </c>
      <c r="P405" s="1">
        <f>VLOOKUP(Master[[#This Row],[Province_RDC]],Client[],5,FALSE)</f>
        <v>460</v>
      </c>
      <c r="Q405" s="1">
        <f>VLOOKUP(Master[[#This Row],[Province_RDC]],Client[],6,FALSE)</f>
        <v>55.47</v>
      </c>
      <c r="R405" s="1">
        <f>VLOOKUP(Master[[#This Row],[Province_RDC]],Client[],7,FALSE)</f>
        <v>4</v>
      </c>
      <c r="S405" s="1" t="str">
        <f>IF(Master[[#This Row],[Type_Forfait]]="Pro Monde","B2B","B2C")</f>
        <v>B2C</v>
      </c>
      <c r="T405" s="1">
        <f>Master[[#This Row],[Anciennete_Mois]]/12</f>
        <v>9.3333333333333339</v>
      </c>
      <c r="U405" s="1">
        <f>Master[[#This Row],[Duree_Cumule_Panne_Min]]/60</f>
        <v>7.666666666666667</v>
      </c>
      <c r="V40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5" s="6">
        <f>Master[[#This Row],[Facture_Mensuelle]]*Master[[#This Row],[Remise]]</f>
        <v>24.961500000000001</v>
      </c>
    </row>
    <row r="406" spans="1:24" x14ac:dyDescent="0.25">
      <c r="A406" s="1" t="s">
        <v>730</v>
      </c>
      <c r="B406" t="str">
        <f>IFERROR(VLOOKUP(Master[[#This Row],[Cell_ID]],Registre_Maintenance[],2,FALSE),"")</f>
        <v>Nord-Kivu</v>
      </c>
      <c r="C406" s="1" t="s">
        <v>778</v>
      </c>
      <c r="D406" s="2">
        <v>45207.982638888891</v>
      </c>
      <c r="E406" s="3">
        <v>45207.982638888891</v>
      </c>
      <c r="F406">
        <v>25</v>
      </c>
      <c r="G406">
        <f>Master[[#This Row],[Duree_Panne_Min]]/60</f>
        <v>0.41666666666666669</v>
      </c>
      <c r="H406" s="1" t="s">
        <v>737</v>
      </c>
      <c r="I406">
        <f>IFERROR(VLOOKUP(Master[[#This Row],[Cell_ID]],Registre_Maintenance[],3,FALSE),"")</f>
        <v>-11.866133</v>
      </c>
      <c r="J406">
        <f>IFERROR(VLOOKUP(Master[[#This Row],[Cell_ID]],Registre_Maintenance[],4,FALSE),"")</f>
        <v>27.068932</v>
      </c>
      <c r="K406" t="str">
        <f>IFERROR(VLOOKUP(Master[[#This Row],[Cell_ID]],Registre_Maintenance[],5,FALSE),"")</f>
        <v>3G</v>
      </c>
      <c r="L406" t="str">
        <f>IFERROR(VLOOKUP(Master[[#This Row],[Cell_ID]],Registre_Maintenance[],6,FALSE),"")</f>
        <v>Huawei</v>
      </c>
      <c r="M406" s="1" t="str">
        <f>VLOOKUP(Master[[#This Row],[Province_RDC]],Client[],2,FALSE)</f>
        <v>CLI-00837</v>
      </c>
      <c r="N406" s="1">
        <f>VLOOKUP(Master[[#This Row],[Province_RDC]],Client[],3,FALSE)</f>
        <v>16</v>
      </c>
      <c r="O406" s="1" t="str">
        <f>VLOOKUP(Master[[#This Row],[Province_RDC]],Client[],4,FALSE)</f>
        <v>Bloqué 5Go</v>
      </c>
      <c r="P406" s="1">
        <f>VLOOKUP(Master[[#This Row],[Province_RDC]],Client[],5,FALSE)</f>
        <v>390</v>
      </c>
      <c r="Q406" s="1">
        <f>VLOOKUP(Master[[#This Row],[Province_RDC]],Client[],6,FALSE)</f>
        <v>98.17</v>
      </c>
      <c r="R406" s="1">
        <f>VLOOKUP(Master[[#This Row],[Province_RDC]],Client[],7,FALSE)</f>
        <v>5</v>
      </c>
      <c r="S406" s="1" t="str">
        <f>IF(Master[[#This Row],[Type_Forfait]]="Pro Monde","B2B","B2C")</f>
        <v>B2C</v>
      </c>
      <c r="T406" s="1">
        <f>Master[[#This Row],[Anciennete_Mois]]/12</f>
        <v>1.3333333333333333</v>
      </c>
      <c r="U406" s="1">
        <f>Master[[#This Row],[Duree_Cumule_Panne_Min]]/60</f>
        <v>6.5</v>
      </c>
      <c r="V40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6" s="6">
        <f>Master[[#This Row],[Facture_Mensuelle]]*Master[[#This Row],[Remise]]</f>
        <v>44.176500000000004</v>
      </c>
    </row>
    <row r="407" spans="1:24" x14ac:dyDescent="0.25">
      <c r="A407" s="1" t="s">
        <v>1024</v>
      </c>
      <c r="B407" t="str">
        <f>IFERROR(VLOOKUP(Master[[#This Row],[Cell_ID]],Registre_Maintenance[],2,FALSE),"")</f>
        <v>Haut-Uele</v>
      </c>
      <c r="C407" s="1" t="s">
        <v>1037</v>
      </c>
      <c r="D407" s="2">
        <v>45205.474305555559</v>
      </c>
      <c r="E407" s="3">
        <v>45205.474305555559</v>
      </c>
      <c r="F407">
        <v>25</v>
      </c>
      <c r="G407">
        <f>Master[[#This Row],[Duree_Panne_Min]]/60</f>
        <v>0.41666666666666669</v>
      </c>
      <c r="H407" s="1" t="s">
        <v>732</v>
      </c>
      <c r="I407">
        <f>IFERROR(VLOOKUP(Master[[#This Row],[Cell_ID]],Registre_Maintenance[],3,FALSE),"")</f>
        <v>-1.013558</v>
      </c>
      <c r="J407">
        <f>IFERROR(VLOOKUP(Master[[#This Row],[Cell_ID]],Registre_Maintenance[],4,FALSE),"")</f>
        <v>17.346937</v>
      </c>
      <c r="K407" t="str">
        <f>IFERROR(VLOOKUP(Master[[#This Row],[Cell_ID]],Registre_Maintenance[],5,FALSE),"")</f>
        <v>5G</v>
      </c>
      <c r="L407" t="str">
        <f>IFERROR(VLOOKUP(Master[[#This Row],[Cell_ID]],Registre_Maintenance[],6,FALSE),"")</f>
        <v>Huawei</v>
      </c>
      <c r="M407" s="1" t="str">
        <f>VLOOKUP(Master[[#This Row],[Province_RDC]],Client[],2,FALSE)</f>
        <v>CLI-00439</v>
      </c>
      <c r="N407" s="1">
        <f>VLOOKUP(Master[[#This Row],[Province_RDC]],Client[],3,FALSE)</f>
        <v>40</v>
      </c>
      <c r="O407" s="1" t="str">
        <f>VLOOKUP(Master[[#This Row],[Province_RDC]],Client[],4,FALSE)</f>
        <v>Premium 5G 150Go</v>
      </c>
      <c r="P407" s="1">
        <f>VLOOKUP(Master[[#This Row],[Province_RDC]],Client[],5,FALSE)</f>
        <v>345</v>
      </c>
      <c r="Q407" s="1">
        <f>VLOOKUP(Master[[#This Row],[Province_RDC]],Client[],6,FALSE)</f>
        <v>89.55</v>
      </c>
      <c r="R407" s="1">
        <f>VLOOKUP(Master[[#This Row],[Province_RDC]],Client[],7,FALSE)</f>
        <v>3</v>
      </c>
      <c r="S407" s="1" t="str">
        <f>IF(Master[[#This Row],[Type_Forfait]]="Pro Monde","B2B","B2C")</f>
        <v>B2C</v>
      </c>
      <c r="T407" s="1">
        <f>Master[[#This Row],[Anciennete_Mois]]/12</f>
        <v>3.3333333333333335</v>
      </c>
      <c r="U407" s="1">
        <f>Master[[#This Row],[Duree_Cumule_Panne_Min]]/60</f>
        <v>5.75</v>
      </c>
      <c r="V40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7" s="6">
        <f>Master[[#This Row],[Facture_Mensuelle]]*Master[[#This Row],[Remise]]</f>
        <v>40.297499999999999</v>
      </c>
    </row>
    <row r="408" spans="1:24" x14ac:dyDescent="0.25">
      <c r="A408" s="1" t="s">
        <v>779</v>
      </c>
      <c r="B408" t="str">
        <f>IFERROR(VLOOKUP(Master[[#This Row],[Cell_ID]],Registre_Maintenance[],2,FALSE),"")</f>
        <v>Haut-Katanga</v>
      </c>
      <c r="C408" s="1" t="s">
        <v>792</v>
      </c>
      <c r="D408" s="2">
        <v>45225.712500000001</v>
      </c>
      <c r="E408" s="3">
        <v>45225.712500000001</v>
      </c>
      <c r="F408">
        <v>25</v>
      </c>
      <c r="G408">
        <f>Master[[#This Row],[Duree_Panne_Min]]/60</f>
        <v>0.41666666666666669</v>
      </c>
      <c r="H408" s="1" t="s">
        <v>732</v>
      </c>
      <c r="I408">
        <f>IFERROR(VLOOKUP(Master[[#This Row],[Cell_ID]],Registre_Maintenance[],3,FALSE),"")</f>
        <v>-5.5445120000000001</v>
      </c>
      <c r="J408">
        <f>IFERROR(VLOOKUP(Master[[#This Row],[Cell_ID]],Registre_Maintenance[],4,FALSE),"")</f>
        <v>27.547335</v>
      </c>
      <c r="K408" t="str">
        <f>IFERROR(VLOOKUP(Master[[#This Row],[Cell_ID]],Registre_Maintenance[],5,FALSE),"")</f>
        <v>4G</v>
      </c>
      <c r="L408" t="str">
        <f>IFERROR(VLOOKUP(Master[[#This Row],[Cell_ID]],Registre_Maintenance[],6,FALSE),"")</f>
        <v>Ericsson</v>
      </c>
      <c r="M408" s="1" t="str">
        <f>VLOOKUP(Master[[#This Row],[Province_RDC]],Client[],2,FALSE)</f>
        <v>CLI-00076</v>
      </c>
      <c r="N408" s="1">
        <f>VLOOKUP(Master[[#This Row],[Province_RDC]],Client[],3,FALSE)</f>
        <v>46</v>
      </c>
      <c r="O408" s="1" t="str">
        <f>VLOOKUP(Master[[#This Row],[Province_RDC]],Client[],4,FALSE)</f>
        <v>Premium 5G 150Go</v>
      </c>
      <c r="P408" s="1">
        <f>VLOOKUP(Master[[#This Row],[Province_RDC]],Client[],5,FALSE)</f>
        <v>283</v>
      </c>
      <c r="Q408" s="1">
        <f>VLOOKUP(Master[[#This Row],[Province_RDC]],Client[],6,FALSE)</f>
        <v>56.05</v>
      </c>
      <c r="R408" s="1">
        <f>VLOOKUP(Master[[#This Row],[Province_RDC]],Client[],7,FALSE)</f>
        <v>1</v>
      </c>
      <c r="S408" s="1" t="str">
        <f>IF(Master[[#This Row],[Type_Forfait]]="Pro Monde","B2B","B2C")</f>
        <v>B2C</v>
      </c>
      <c r="T408" s="1">
        <f>Master[[#This Row],[Anciennete_Mois]]/12</f>
        <v>3.8333333333333335</v>
      </c>
      <c r="U408" s="1">
        <f>Master[[#This Row],[Duree_Cumule_Panne_Min]]/60</f>
        <v>4.7166666666666668</v>
      </c>
      <c r="V40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8" s="6">
        <f>Master[[#This Row],[Facture_Mensuelle]]*Master[[#This Row],[Remise]]</f>
        <v>25.2225</v>
      </c>
    </row>
    <row r="409" spans="1:24" x14ac:dyDescent="0.25">
      <c r="A409" s="1" t="s">
        <v>730</v>
      </c>
      <c r="B409" t="str">
        <f>IFERROR(VLOOKUP(Master[[#This Row],[Cell_ID]],Registre_Maintenance[],2,FALSE),"")</f>
        <v>Haut-Katanga</v>
      </c>
      <c r="C409" s="1" t="s">
        <v>753</v>
      </c>
      <c r="D409" s="2">
        <v>45214.713194444441</v>
      </c>
      <c r="E409" s="3">
        <v>45214.713194444441</v>
      </c>
      <c r="F409">
        <v>25</v>
      </c>
      <c r="G409">
        <f>Master[[#This Row],[Duree_Panne_Min]]/60</f>
        <v>0.41666666666666669</v>
      </c>
      <c r="H409" s="1" t="s">
        <v>732</v>
      </c>
      <c r="I409">
        <f>IFERROR(VLOOKUP(Master[[#This Row],[Cell_ID]],Registre_Maintenance[],3,FALSE),"")</f>
        <v>0.172153</v>
      </c>
      <c r="J409">
        <f>IFERROR(VLOOKUP(Master[[#This Row],[Cell_ID]],Registre_Maintenance[],4,FALSE),"")</f>
        <v>21.091376</v>
      </c>
      <c r="K409" t="str">
        <f>IFERROR(VLOOKUP(Master[[#This Row],[Cell_ID]],Registre_Maintenance[],5,FALSE),"")</f>
        <v>3G</v>
      </c>
      <c r="L409" t="str">
        <f>IFERROR(VLOOKUP(Master[[#This Row],[Cell_ID]],Registre_Maintenance[],6,FALSE),"")</f>
        <v>Ericsson</v>
      </c>
      <c r="M409" s="1" t="str">
        <f>VLOOKUP(Master[[#This Row],[Province_RDC]],Client[],2,FALSE)</f>
        <v>CLI-00076</v>
      </c>
      <c r="N409" s="1">
        <f>VLOOKUP(Master[[#This Row],[Province_RDC]],Client[],3,FALSE)</f>
        <v>46</v>
      </c>
      <c r="O409" s="1" t="str">
        <f>VLOOKUP(Master[[#This Row],[Province_RDC]],Client[],4,FALSE)</f>
        <v>Premium 5G 150Go</v>
      </c>
      <c r="P409" s="1">
        <f>VLOOKUP(Master[[#This Row],[Province_RDC]],Client[],5,FALSE)</f>
        <v>283</v>
      </c>
      <c r="Q409" s="1">
        <f>VLOOKUP(Master[[#This Row],[Province_RDC]],Client[],6,FALSE)</f>
        <v>56.05</v>
      </c>
      <c r="R409" s="1">
        <f>VLOOKUP(Master[[#This Row],[Province_RDC]],Client[],7,FALSE)</f>
        <v>1</v>
      </c>
      <c r="S409" s="1" t="str">
        <f>IF(Master[[#This Row],[Type_Forfait]]="Pro Monde","B2B","B2C")</f>
        <v>B2C</v>
      </c>
      <c r="T409" s="1">
        <f>Master[[#This Row],[Anciennete_Mois]]/12</f>
        <v>3.8333333333333335</v>
      </c>
      <c r="U409" s="1">
        <f>Master[[#This Row],[Duree_Cumule_Panne_Min]]/60</f>
        <v>4.7166666666666668</v>
      </c>
      <c r="V40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0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09" s="6">
        <f>Master[[#This Row],[Facture_Mensuelle]]*Master[[#This Row],[Remise]]</f>
        <v>25.2225</v>
      </c>
    </row>
    <row r="410" spans="1:24" x14ac:dyDescent="0.25">
      <c r="A410" s="1" t="s">
        <v>902</v>
      </c>
      <c r="B410" t="str">
        <f>IFERROR(VLOOKUP(Master[[#This Row],[Cell_ID]],Registre_Maintenance[],2,FALSE),"")</f>
        <v>Equateur</v>
      </c>
      <c r="C410" s="1" t="s">
        <v>929</v>
      </c>
      <c r="D410" s="2">
        <v>45220.206944444442</v>
      </c>
      <c r="E410" s="3">
        <v>45220.206944444442</v>
      </c>
      <c r="F410">
        <v>25</v>
      </c>
      <c r="G410">
        <f>Master[[#This Row],[Duree_Panne_Min]]/60</f>
        <v>0.41666666666666669</v>
      </c>
      <c r="H410" s="1" t="s">
        <v>732</v>
      </c>
      <c r="I410">
        <f>IFERROR(VLOOKUP(Master[[#This Row],[Cell_ID]],Registre_Maintenance[],3,FALSE),"")</f>
        <v>3.3289240000000002</v>
      </c>
      <c r="J410">
        <f>IFERROR(VLOOKUP(Master[[#This Row],[Cell_ID]],Registre_Maintenance[],4,FALSE),"")</f>
        <v>24.412261000000001</v>
      </c>
      <c r="K410" t="str">
        <f>IFERROR(VLOOKUP(Master[[#This Row],[Cell_ID]],Registre_Maintenance[],5,FALSE),"")</f>
        <v>5G</v>
      </c>
      <c r="L410" t="str">
        <f>IFERROR(VLOOKUP(Master[[#This Row],[Cell_ID]],Registre_Maintenance[],6,FALSE),"")</f>
        <v>Nokia</v>
      </c>
      <c r="M410" s="1" t="str">
        <f>VLOOKUP(Master[[#This Row],[Province_RDC]],Client[],2,FALSE)</f>
        <v>CLI-00643</v>
      </c>
      <c r="N410" s="1">
        <f>VLOOKUP(Master[[#This Row],[Province_RDC]],Client[],3,FALSE)</f>
        <v>14</v>
      </c>
      <c r="O410" s="1" t="str">
        <f>VLOOKUP(Master[[#This Row],[Province_RDC]],Client[],4,FALSE)</f>
        <v>Pro Monde</v>
      </c>
      <c r="P410" s="1">
        <f>VLOOKUP(Master[[#This Row],[Province_RDC]],Client[],5,FALSE)</f>
        <v>316</v>
      </c>
      <c r="Q410" s="1">
        <f>VLOOKUP(Master[[#This Row],[Province_RDC]],Client[],6,FALSE)</f>
        <v>62.34</v>
      </c>
      <c r="R410" s="1">
        <f>VLOOKUP(Master[[#This Row],[Province_RDC]],Client[],7,FALSE)</f>
        <v>4</v>
      </c>
      <c r="S410" s="1" t="str">
        <f>IF(Master[[#This Row],[Type_Forfait]]="Pro Monde","B2B","B2C")</f>
        <v>B2B</v>
      </c>
      <c r="T410" s="1">
        <f>Master[[#This Row],[Anciennete_Mois]]/12</f>
        <v>1.1666666666666667</v>
      </c>
      <c r="U410" s="1">
        <f>Master[[#This Row],[Duree_Cumule_Panne_Min]]/60</f>
        <v>5.2666666666666666</v>
      </c>
      <c r="V41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0" s="6">
        <f>Master[[#This Row],[Facture_Mensuelle]]*Master[[#This Row],[Remise]]</f>
        <v>28.053000000000001</v>
      </c>
    </row>
    <row r="411" spans="1:24" x14ac:dyDescent="0.25">
      <c r="A411" s="1" t="s">
        <v>861</v>
      </c>
      <c r="B411" t="str">
        <f>IFERROR(VLOOKUP(Master[[#This Row],[Cell_ID]],Registre_Maintenance[],2,FALSE),"")</f>
        <v>Tshuapa</v>
      </c>
      <c r="C411" s="1" t="s">
        <v>862</v>
      </c>
      <c r="D411" s="2">
        <v>45200.51458333333</v>
      </c>
      <c r="E411" s="3">
        <v>45200.51458333333</v>
      </c>
      <c r="F411">
        <v>24</v>
      </c>
      <c r="G411">
        <f>Master[[#This Row],[Duree_Panne_Min]]/60</f>
        <v>0.4</v>
      </c>
      <c r="H411" s="1" t="s">
        <v>737</v>
      </c>
      <c r="I411">
        <f>IFERROR(VLOOKUP(Master[[#This Row],[Cell_ID]],Registre_Maintenance[],3,FALSE),"")</f>
        <v>-11.622688999999999</v>
      </c>
      <c r="J411">
        <f>IFERROR(VLOOKUP(Master[[#This Row],[Cell_ID]],Registre_Maintenance[],4,FALSE),"")</f>
        <v>18.483874</v>
      </c>
      <c r="K411" t="str">
        <f>IFERROR(VLOOKUP(Master[[#This Row],[Cell_ID]],Registre_Maintenance[],5,FALSE),"")</f>
        <v>5G</v>
      </c>
      <c r="L411" t="str">
        <f>IFERROR(VLOOKUP(Master[[#This Row],[Cell_ID]],Registre_Maintenance[],6,FALSE),"")</f>
        <v>ZTE</v>
      </c>
      <c r="M411" s="1" t="str">
        <f>VLOOKUP(Master[[#This Row],[Province_RDC]],Client[],2,FALSE)</f>
        <v>CLI-00894</v>
      </c>
      <c r="N411" s="1">
        <f>VLOOKUP(Master[[#This Row],[Province_RDC]],Client[],3,FALSE)</f>
        <v>63</v>
      </c>
      <c r="O411" s="1" t="str">
        <f>VLOOKUP(Master[[#This Row],[Province_RDC]],Client[],4,FALSE)</f>
        <v>Pro Monde</v>
      </c>
      <c r="P411" s="1">
        <f>VLOOKUP(Master[[#This Row],[Province_RDC]],Client[],5,FALSE)</f>
        <v>205</v>
      </c>
      <c r="Q411" s="1">
        <f>VLOOKUP(Master[[#This Row],[Province_RDC]],Client[],6,FALSE)</f>
        <v>89.19</v>
      </c>
      <c r="R411" s="1">
        <f>VLOOKUP(Master[[#This Row],[Province_RDC]],Client[],7,FALSE)</f>
        <v>0</v>
      </c>
      <c r="S411" s="1" t="str">
        <f>IF(Master[[#This Row],[Type_Forfait]]="Pro Monde","B2B","B2C")</f>
        <v>B2B</v>
      </c>
      <c r="T411" s="1">
        <f>Master[[#This Row],[Anciennete_Mois]]/12</f>
        <v>5.25</v>
      </c>
      <c r="U411" s="1">
        <f>Master[[#This Row],[Duree_Cumule_Panne_Min]]/60</f>
        <v>3.4166666666666665</v>
      </c>
      <c r="V41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1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11" s="6">
        <f>Master[[#This Row],[Facture_Mensuelle]]*Master[[#This Row],[Remise]]</f>
        <v>8.9190000000000005</v>
      </c>
    </row>
    <row r="412" spans="1:24" x14ac:dyDescent="0.25">
      <c r="A412" s="1" t="s">
        <v>779</v>
      </c>
      <c r="B412" t="str">
        <f>IFERROR(VLOOKUP(Master[[#This Row],[Cell_ID]],Registre_Maintenance[],2,FALSE),"")</f>
        <v>Mongala</v>
      </c>
      <c r="C412" s="1" t="s">
        <v>814</v>
      </c>
      <c r="D412" s="2">
        <v>45221.775000000001</v>
      </c>
      <c r="E412" s="3">
        <v>45221.775000000001</v>
      </c>
      <c r="F412">
        <v>24</v>
      </c>
      <c r="G412">
        <f>Master[[#This Row],[Duree_Panne_Min]]/60</f>
        <v>0.4</v>
      </c>
      <c r="H412" s="1" t="s">
        <v>732</v>
      </c>
      <c r="I412">
        <f>IFERROR(VLOOKUP(Master[[#This Row],[Cell_ID]],Registre_Maintenance[],3,FALSE),"")</f>
        <v>-11.514188000000001</v>
      </c>
      <c r="J412">
        <f>IFERROR(VLOOKUP(Master[[#This Row],[Cell_ID]],Registre_Maintenance[],4,FALSE),"")</f>
        <v>15.971181</v>
      </c>
      <c r="K412" t="str">
        <f>IFERROR(VLOOKUP(Master[[#This Row],[Cell_ID]],Registre_Maintenance[],5,FALSE),"")</f>
        <v>5G</v>
      </c>
      <c r="L412" t="str">
        <f>IFERROR(VLOOKUP(Master[[#This Row],[Cell_ID]],Registre_Maintenance[],6,FALSE),"")</f>
        <v>Ericsson</v>
      </c>
      <c r="M412" s="1" t="str">
        <f>VLOOKUP(Master[[#This Row],[Province_RDC]],Client[],2,FALSE)</f>
        <v>CLI-00865</v>
      </c>
      <c r="N412" s="1">
        <f>VLOOKUP(Master[[#This Row],[Province_RDC]],Client[],3,FALSE)</f>
        <v>34</v>
      </c>
      <c r="O412" s="1" t="str">
        <f>VLOOKUP(Master[[#This Row],[Province_RDC]],Client[],4,FALSE)</f>
        <v>Pro Monde</v>
      </c>
      <c r="P412" s="1">
        <f>VLOOKUP(Master[[#This Row],[Province_RDC]],Client[],5,FALSE)</f>
        <v>453</v>
      </c>
      <c r="Q412" s="1">
        <f>VLOOKUP(Master[[#This Row],[Province_RDC]],Client[],6,FALSE)</f>
        <v>56.84</v>
      </c>
      <c r="R412" s="1">
        <f>VLOOKUP(Master[[#This Row],[Province_RDC]],Client[],7,FALSE)</f>
        <v>0</v>
      </c>
      <c r="S412" s="1" t="str">
        <f>IF(Master[[#This Row],[Type_Forfait]]="Pro Monde","B2B","B2C")</f>
        <v>B2B</v>
      </c>
      <c r="T412" s="1">
        <f>Master[[#This Row],[Anciennete_Mois]]/12</f>
        <v>2.8333333333333335</v>
      </c>
      <c r="U412" s="1">
        <f>Master[[#This Row],[Duree_Cumule_Panne_Min]]/60</f>
        <v>7.55</v>
      </c>
      <c r="V41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2" s="6">
        <f>Master[[#This Row],[Facture_Mensuelle]]*Master[[#This Row],[Remise]]</f>
        <v>25.578000000000003</v>
      </c>
    </row>
    <row r="413" spans="1:24" x14ac:dyDescent="0.25">
      <c r="A413" s="1" t="s">
        <v>1165</v>
      </c>
      <c r="B413" t="str">
        <f>IFERROR(VLOOKUP(Master[[#This Row],[Cell_ID]],Registre_Maintenance[],2,FALSE),"")</f>
        <v>Maniema</v>
      </c>
      <c r="C413" s="1" t="s">
        <v>1184</v>
      </c>
      <c r="D413" s="2">
        <v>45215.587500000001</v>
      </c>
      <c r="E413" s="3">
        <v>45215.587500000001</v>
      </c>
      <c r="F413">
        <v>24</v>
      </c>
      <c r="G413">
        <f>Master[[#This Row],[Duree_Panne_Min]]/60</f>
        <v>0.4</v>
      </c>
      <c r="H413" s="1" t="s">
        <v>735</v>
      </c>
      <c r="I413">
        <f>IFERROR(VLOOKUP(Master[[#This Row],[Cell_ID]],Registre_Maintenance[],3,FALSE),"")</f>
        <v>2.5458379999999998</v>
      </c>
      <c r="J413">
        <f>IFERROR(VLOOKUP(Master[[#This Row],[Cell_ID]],Registre_Maintenance[],4,FALSE),"")</f>
        <v>13.308655</v>
      </c>
      <c r="K413" t="str">
        <f>IFERROR(VLOOKUP(Master[[#This Row],[Cell_ID]],Registre_Maintenance[],5,FALSE),"")</f>
        <v>5G</v>
      </c>
      <c r="L413" t="str">
        <f>IFERROR(VLOOKUP(Master[[#This Row],[Cell_ID]],Registre_Maintenance[],6,FALSE),"")</f>
        <v>ZTE</v>
      </c>
      <c r="M413" s="1" t="str">
        <f>VLOOKUP(Master[[#This Row],[Province_RDC]],Client[],2,FALSE)</f>
        <v>CLI-00185</v>
      </c>
      <c r="N413" s="1">
        <f>VLOOKUP(Master[[#This Row],[Province_RDC]],Client[],3,FALSE)</f>
        <v>81</v>
      </c>
      <c r="O413" s="1" t="str">
        <f>VLOOKUP(Master[[#This Row],[Province_RDC]],Client[],4,FALSE)</f>
        <v>Pro Monde</v>
      </c>
      <c r="P413" s="1">
        <f>VLOOKUP(Master[[#This Row],[Province_RDC]],Client[],5,FALSE)</f>
        <v>154</v>
      </c>
      <c r="Q413" s="1">
        <f>VLOOKUP(Master[[#This Row],[Province_RDC]],Client[],6,FALSE)</f>
        <v>19.47</v>
      </c>
      <c r="R413" s="1">
        <f>VLOOKUP(Master[[#This Row],[Province_RDC]],Client[],7,FALSE)</f>
        <v>3</v>
      </c>
      <c r="S413" s="1" t="str">
        <f>IF(Master[[#This Row],[Type_Forfait]]="Pro Monde","B2B","B2C")</f>
        <v>B2B</v>
      </c>
      <c r="T413" s="1">
        <f>Master[[#This Row],[Anciennete_Mois]]/12</f>
        <v>6.75</v>
      </c>
      <c r="U413" s="1">
        <f>Master[[#This Row],[Duree_Cumule_Panne_Min]]/60</f>
        <v>2.5666666666666669</v>
      </c>
      <c r="V41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1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13" s="6">
        <f>Master[[#This Row],[Facture_Mensuelle]]*Master[[#This Row],[Remise]]</f>
        <v>1.9470000000000001</v>
      </c>
    </row>
    <row r="414" spans="1:24" x14ac:dyDescent="0.25">
      <c r="A414" s="1" t="s">
        <v>823</v>
      </c>
      <c r="B414" t="str">
        <f>IFERROR(VLOOKUP(Master[[#This Row],[Cell_ID]],Registre_Maintenance[],2,FALSE),"")</f>
        <v>Sankuru</v>
      </c>
      <c r="C414" s="1" t="s">
        <v>834</v>
      </c>
      <c r="D414" s="2">
        <v>45223.990972222222</v>
      </c>
      <c r="E414" s="3">
        <v>45223.990972222222</v>
      </c>
      <c r="F414">
        <v>23</v>
      </c>
      <c r="G414">
        <f>Master[[#This Row],[Duree_Panne_Min]]/60</f>
        <v>0.38333333333333336</v>
      </c>
      <c r="H414" s="1" t="s">
        <v>732</v>
      </c>
      <c r="I414">
        <f>IFERROR(VLOOKUP(Master[[#This Row],[Cell_ID]],Registre_Maintenance[],3,FALSE),"")</f>
        <v>-8.0922239999999999</v>
      </c>
      <c r="J414">
        <f>IFERROR(VLOOKUP(Master[[#This Row],[Cell_ID]],Registre_Maintenance[],4,FALSE),"")</f>
        <v>15.483708</v>
      </c>
      <c r="K414" t="str">
        <f>IFERROR(VLOOKUP(Master[[#This Row],[Cell_ID]],Registre_Maintenance[],5,FALSE),"")</f>
        <v>5G</v>
      </c>
      <c r="L414" t="str">
        <f>IFERROR(VLOOKUP(Master[[#This Row],[Cell_ID]],Registre_Maintenance[],6,FALSE),"")</f>
        <v>Nokia</v>
      </c>
      <c r="M414" s="1" t="str">
        <f>VLOOKUP(Master[[#This Row],[Province_RDC]],Client[],2,FALSE)</f>
        <v>CLI-00530</v>
      </c>
      <c r="N414" s="1">
        <f>VLOOKUP(Master[[#This Row],[Province_RDC]],Client[],3,FALSE)</f>
        <v>35</v>
      </c>
      <c r="O414" s="1" t="str">
        <f>VLOOKUP(Master[[#This Row],[Province_RDC]],Client[],4,FALSE)</f>
        <v>Pro Monde</v>
      </c>
      <c r="P414" s="1">
        <f>VLOOKUP(Master[[#This Row],[Province_RDC]],Client[],5,FALSE)</f>
        <v>465</v>
      </c>
      <c r="Q414" s="1">
        <f>VLOOKUP(Master[[#This Row],[Province_RDC]],Client[],6,FALSE)</f>
        <v>58.59</v>
      </c>
      <c r="R414" s="1">
        <f>VLOOKUP(Master[[#This Row],[Province_RDC]],Client[],7,FALSE)</f>
        <v>5</v>
      </c>
      <c r="S414" s="1" t="str">
        <f>IF(Master[[#This Row],[Type_Forfait]]="Pro Monde","B2B","B2C")</f>
        <v>B2B</v>
      </c>
      <c r="T414" s="1">
        <f>Master[[#This Row],[Anciennete_Mois]]/12</f>
        <v>2.9166666666666665</v>
      </c>
      <c r="U414" s="1">
        <f>Master[[#This Row],[Duree_Cumule_Panne_Min]]/60</f>
        <v>7.75</v>
      </c>
      <c r="V41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4" s="6">
        <f>Master[[#This Row],[Facture_Mensuelle]]*Master[[#This Row],[Remise]]</f>
        <v>26.365500000000001</v>
      </c>
    </row>
    <row r="415" spans="1:24" x14ac:dyDescent="0.25">
      <c r="A415" s="1" t="s">
        <v>1114</v>
      </c>
      <c r="B415" t="str">
        <f>IFERROR(VLOOKUP(Master[[#This Row],[Cell_ID]],Registre_Maintenance[],2,FALSE),"")</f>
        <v>Nord-Kivu</v>
      </c>
      <c r="C415" s="1" t="s">
        <v>900</v>
      </c>
      <c r="D415" s="2">
        <v>45207.960416666669</v>
      </c>
      <c r="E415" s="3">
        <v>45207.960416666669</v>
      </c>
      <c r="F415">
        <v>23</v>
      </c>
      <c r="G415">
        <f>Master[[#This Row],[Duree_Panne_Min]]/60</f>
        <v>0.38333333333333336</v>
      </c>
      <c r="H415" s="1" t="s">
        <v>737</v>
      </c>
      <c r="I415">
        <f>IFERROR(VLOOKUP(Master[[#This Row],[Cell_ID]],Registre_Maintenance[],3,FALSE),"")</f>
        <v>-12.336202</v>
      </c>
      <c r="J415">
        <f>IFERROR(VLOOKUP(Master[[#This Row],[Cell_ID]],Registre_Maintenance[],4,FALSE),"")</f>
        <v>13.693683999999999</v>
      </c>
      <c r="K415" t="str">
        <f>IFERROR(VLOOKUP(Master[[#This Row],[Cell_ID]],Registre_Maintenance[],5,FALSE),"")</f>
        <v>5G</v>
      </c>
      <c r="L415" t="str">
        <f>IFERROR(VLOOKUP(Master[[#This Row],[Cell_ID]],Registre_Maintenance[],6,FALSE),"")</f>
        <v>Huawei</v>
      </c>
      <c r="M415" s="1" t="str">
        <f>VLOOKUP(Master[[#This Row],[Province_RDC]],Client[],2,FALSE)</f>
        <v>CLI-00837</v>
      </c>
      <c r="N415" s="1">
        <f>VLOOKUP(Master[[#This Row],[Province_RDC]],Client[],3,FALSE)</f>
        <v>16</v>
      </c>
      <c r="O415" s="1" t="str">
        <f>VLOOKUP(Master[[#This Row],[Province_RDC]],Client[],4,FALSE)</f>
        <v>Bloqué 5Go</v>
      </c>
      <c r="P415" s="1">
        <f>VLOOKUP(Master[[#This Row],[Province_RDC]],Client[],5,FALSE)</f>
        <v>390</v>
      </c>
      <c r="Q415" s="1">
        <f>VLOOKUP(Master[[#This Row],[Province_RDC]],Client[],6,FALSE)</f>
        <v>98.17</v>
      </c>
      <c r="R415" s="1">
        <f>VLOOKUP(Master[[#This Row],[Province_RDC]],Client[],7,FALSE)</f>
        <v>5</v>
      </c>
      <c r="S415" s="1" t="str">
        <f>IF(Master[[#This Row],[Type_Forfait]]="Pro Monde","B2B","B2C")</f>
        <v>B2C</v>
      </c>
      <c r="T415" s="1">
        <f>Master[[#This Row],[Anciennete_Mois]]/12</f>
        <v>1.3333333333333333</v>
      </c>
      <c r="U415" s="1">
        <f>Master[[#This Row],[Duree_Cumule_Panne_Min]]/60</f>
        <v>6.5</v>
      </c>
      <c r="V41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5" s="6">
        <f>Master[[#This Row],[Facture_Mensuelle]]*Master[[#This Row],[Remise]]</f>
        <v>44.176500000000004</v>
      </c>
    </row>
    <row r="416" spans="1:24" x14ac:dyDescent="0.25">
      <c r="A416" s="1" t="s">
        <v>1404</v>
      </c>
      <c r="B416" t="str">
        <f>IFERROR(VLOOKUP(Master[[#This Row],[Cell_ID]],Registre_Maintenance[],2,FALSE),"")</f>
        <v>Kwilu</v>
      </c>
      <c r="C416" s="1" t="s">
        <v>1413</v>
      </c>
      <c r="D416" s="2">
        <v>45212.875694444447</v>
      </c>
      <c r="E416" s="3">
        <v>45212.875694444447</v>
      </c>
      <c r="F416">
        <v>23</v>
      </c>
      <c r="G416">
        <f>Master[[#This Row],[Duree_Panne_Min]]/60</f>
        <v>0.38333333333333336</v>
      </c>
      <c r="H416" s="1" t="s">
        <v>732</v>
      </c>
      <c r="I416">
        <f>IFERROR(VLOOKUP(Master[[#This Row],[Cell_ID]],Registre_Maintenance[],3,FALSE),"")</f>
        <v>1.2691650000000001</v>
      </c>
      <c r="J416">
        <f>IFERROR(VLOOKUP(Master[[#This Row],[Cell_ID]],Registre_Maintenance[],4,FALSE),"")</f>
        <v>18.789956</v>
      </c>
      <c r="K416" t="str">
        <f>IFERROR(VLOOKUP(Master[[#This Row],[Cell_ID]],Registre_Maintenance[],5,FALSE),"")</f>
        <v>3G</v>
      </c>
      <c r="L416" t="str">
        <f>IFERROR(VLOOKUP(Master[[#This Row],[Cell_ID]],Registre_Maintenance[],6,FALSE),"")</f>
        <v>Nokia</v>
      </c>
      <c r="M416" s="1" t="str">
        <f>VLOOKUP(Master[[#This Row],[Province_RDC]],Client[],2,FALSE)</f>
        <v>CLI-00996</v>
      </c>
      <c r="N416" s="1">
        <f>VLOOKUP(Master[[#This Row],[Province_RDC]],Client[],3,FALSE)</f>
        <v>119</v>
      </c>
      <c r="O416" s="1" t="str">
        <f>VLOOKUP(Master[[#This Row],[Province_RDC]],Client[],4,FALSE)</f>
        <v>Illimité 50Go</v>
      </c>
      <c r="P416" s="1">
        <f>VLOOKUP(Master[[#This Row],[Province_RDC]],Client[],5,FALSE)</f>
        <v>228</v>
      </c>
      <c r="Q416" s="1">
        <f>VLOOKUP(Master[[#This Row],[Province_RDC]],Client[],6,FALSE)</f>
        <v>94.72</v>
      </c>
      <c r="R416" s="1">
        <f>VLOOKUP(Master[[#This Row],[Province_RDC]],Client[],7,FALSE)</f>
        <v>3</v>
      </c>
      <c r="S416" s="1" t="str">
        <f>IF(Master[[#This Row],[Type_Forfait]]="Pro Monde","B2B","B2C")</f>
        <v>B2C</v>
      </c>
      <c r="T416" s="1">
        <f>Master[[#This Row],[Anciennete_Mois]]/12</f>
        <v>9.9166666666666661</v>
      </c>
      <c r="U416" s="1">
        <f>Master[[#This Row],[Duree_Cumule_Panne_Min]]/60</f>
        <v>3.8</v>
      </c>
      <c r="V41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1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16" s="6">
        <f>Master[[#This Row],[Facture_Mensuelle]]*Master[[#This Row],[Remise]]</f>
        <v>0</v>
      </c>
    </row>
    <row r="417" spans="1:24" x14ac:dyDescent="0.25">
      <c r="A417" s="1" t="s">
        <v>1086</v>
      </c>
      <c r="B417" t="str">
        <f>IFERROR(VLOOKUP(Master[[#This Row],[Cell_ID]],Registre_Maintenance[],2,FALSE),"")</f>
        <v>Kinshasa</v>
      </c>
      <c r="C417" s="1" t="s">
        <v>1076</v>
      </c>
      <c r="D417" s="2">
        <v>45209.215277777781</v>
      </c>
      <c r="E417" s="3">
        <v>45209.215277777781</v>
      </c>
      <c r="F417">
        <v>23</v>
      </c>
      <c r="G417">
        <f>Master[[#This Row],[Duree_Panne_Min]]/60</f>
        <v>0.38333333333333336</v>
      </c>
      <c r="H417" s="1" t="s">
        <v>737</v>
      </c>
      <c r="I417">
        <f>IFERROR(VLOOKUP(Master[[#This Row],[Cell_ID]],Registre_Maintenance[],3,FALSE),"")</f>
        <v>-11.389362</v>
      </c>
      <c r="J417">
        <f>IFERROR(VLOOKUP(Master[[#This Row],[Cell_ID]],Registre_Maintenance[],4,FALSE),"")</f>
        <v>22.240174</v>
      </c>
      <c r="K417" t="str">
        <f>IFERROR(VLOOKUP(Master[[#This Row],[Cell_ID]],Registre_Maintenance[],5,FALSE),"")</f>
        <v>5G</v>
      </c>
      <c r="L417" t="str">
        <f>IFERROR(VLOOKUP(Master[[#This Row],[Cell_ID]],Registre_Maintenance[],6,FALSE),"")</f>
        <v>ZTE</v>
      </c>
      <c r="M417" s="1" t="str">
        <f>VLOOKUP(Master[[#This Row],[Province_RDC]],Client[],2,FALSE)</f>
        <v>CLI-00611</v>
      </c>
      <c r="N417" s="1">
        <f>VLOOKUP(Master[[#This Row],[Province_RDC]],Client[],3,FALSE)</f>
        <v>79</v>
      </c>
      <c r="O417" s="1" t="str">
        <f>VLOOKUP(Master[[#This Row],[Province_RDC]],Client[],4,FALSE)</f>
        <v>Premium 5G 150Go</v>
      </c>
      <c r="P417" s="1">
        <f>VLOOKUP(Master[[#This Row],[Province_RDC]],Client[],5,FALSE)</f>
        <v>226</v>
      </c>
      <c r="Q417" s="1">
        <f>VLOOKUP(Master[[#This Row],[Province_RDC]],Client[],6,FALSE)</f>
        <v>94.38</v>
      </c>
      <c r="R417" s="1">
        <f>VLOOKUP(Master[[#This Row],[Province_RDC]],Client[],7,FALSE)</f>
        <v>3</v>
      </c>
      <c r="S417" s="1" t="str">
        <f>IF(Master[[#This Row],[Type_Forfait]]="Pro Monde","B2B","B2C")</f>
        <v>B2C</v>
      </c>
      <c r="T417" s="1">
        <f>Master[[#This Row],[Anciennete_Mois]]/12</f>
        <v>6.583333333333333</v>
      </c>
      <c r="U417" s="1">
        <f>Master[[#This Row],[Duree_Cumule_Panne_Min]]/60</f>
        <v>3.7666666666666666</v>
      </c>
      <c r="V41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17" s="6">
        <f>Master[[#This Row],[Facture_Mensuelle]]*Master[[#This Row],[Remise]]</f>
        <v>0</v>
      </c>
    </row>
    <row r="418" spans="1:24" x14ac:dyDescent="0.25">
      <c r="A418" s="1" t="s">
        <v>1219</v>
      </c>
      <c r="B418" t="str">
        <f>IFERROR(VLOOKUP(Master[[#This Row],[Cell_ID]],Registre_Maintenance[],2,FALSE),"")</f>
        <v>Nord-Kivu</v>
      </c>
      <c r="C418" s="1" t="s">
        <v>927</v>
      </c>
      <c r="D418" s="2">
        <v>45222.597222222219</v>
      </c>
      <c r="E418" s="3">
        <v>45222.597222222219</v>
      </c>
      <c r="F418">
        <v>22</v>
      </c>
      <c r="G418">
        <f>Master[[#This Row],[Duree_Panne_Min]]/60</f>
        <v>0.36666666666666664</v>
      </c>
      <c r="H418" s="1" t="s">
        <v>735</v>
      </c>
      <c r="I418">
        <f>IFERROR(VLOOKUP(Master[[#This Row],[Cell_ID]],Registre_Maintenance[],3,FALSE),"")</f>
        <v>-1.8555980000000001</v>
      </c>
      <c r="J418">
        <f>IFERROR(VLOOKUP(Master[[#This Row],[Cell_ID]],Registre_Maintenance[],4,FALSE),"")</f>
        <v>30.421918000000002</v>
      </c>
      <c r="K418" t="str">
        <f>IFERROR(VLOOKUP(Master[[#This Row],[Cell_ID]],Registre_Maintenance[],5,FALSE),"")</f>
        <v>3G</v>
      </c>
      <c r="L418" t="str">
        <f>IFERROR(VLOOKUP(Master[[#This Row],[Cell_ID]],Registre_Maintenance[],6,FALSE),"")</f>
        <v>ZTE</v>
      </c>
      <c r="M418" s="1" t="str">
        <f>VLOOKUP(Master[[#This Row],[Province_RDC]],Client[],2,FALSE)</f>
        <v>CLI-00837</v>
      </c>
      <c r="N418" s="1">
        <f>VLOOKUP(Master[[#This Row],[Province_RDC]],Client[],3,FALSE)</f>
        <v>16</v>
      </c>
      <c r="O418" s="1" t="str">
        <f>VLOOKUP(Master[[#This Row],[Province_RDC]],Client[],4,FALSE)</f>
        <v>Bloqué 5Go</v>
      </c>
      <c r="P418" s="1">
        <f>VLOOKUP(Master[[#This Row],[Province_RDC]],Client[],5,FALSE)</f>
        <v>390</v>
      </c>
      <c r="Q418" s="1">
        <f>VLOOKUP(Master[[#This Row],[Province_RDC]],Client[],6,FALSE)</f>
        <v>98.17</v>
      </c>
      <c r="R418" s="1">
        <f>VLOOKUP(Master[[#This Row],[Province_RDC]],Client[],7,FALSE)</f>
        <v>5</v>
      </c>
      <c r="S418" s="1" t="str">
        <f>IF(Master[[#This Row],[Type_Forfait]]="Pro Monde","B2B","B2C")</f>
        <v>B2C</v>
      </c>
      <c r="T418" s="1">
        <f>Master[[#This Row],[Anciennete_Mois]]/12</f>
        <v>1.3333333333333333</v>
      </c>
      <c r="U418" s="1">
        <f>Master[[#This Row],[Duree_Cumule_Panne_Min]]/60</f>
        <v>6.5</v>
      </c>
      <c r="V41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8" s="6">
        <f>Master[[#This Row],[Facture_Mensuelle]]*Master[[#This Row],[Remise]]</f>
        <v>44.176500000000004</v>
      </c>
    </row>
    <row r="419" spans="1:24" x14ac:dyDescent="0.25">
      <c r="A419" s="1" t="s">
        <v>1165</v>
      </c>
      <c r="B419" t="str">
        <f>IFERROR(VLOOKUP(Master[[#This Row],[Cell_ID]],Registre_Maintenance[],2,FALSE),"")</f>
        <v>Mai-Ndombe</v>
      </c>
      <c r="C419" s="1" t="s">
        <v>1170</v>
      </c>
      <c r="D419" s="2">
        <v>45225.623611111107</v>
      </c>
      <c r="E419" s="3">
        <v>45225.623611111107</v>
      </c>
      <c r="F419">
        <v>22</v>
      </c>
      <c r="G419">
        <f>Master[[#This Row],[Duree_Panne_Min]]/60</f>
        <v>0.36666666666666664</v>
      </c>
      <c r="H419" s="1" t="s">
        <v>732</v>
      </c>
      <c r="I419">
        <f>IFERROR(VLOOKUP(Master[[#This Row],[Cell_ID]],Registre_Maintenance[],3,FALSE),"")</f>
        <v>-0.47411900000000001</v>
      </c>
      <c r="J419">
        <f>IFERROR(VLOOKUP(Master[[#This Row],[Cell_ID]],Registre_Maintenance[],4,FALSE),"")</f>
        <v>27.184329000000002</v>
      </c>
      <c r="K419" t="str">
        <f>IFERROR(VLOOKUP(Master[[#This Row],[Cell_ID]],Registre_Maintenance[],5,FALSE),"")</f>
        <v>5G</v>
      </c>
      <c r="L419" t="str">
        <f>IFERROR(VLOOKUP(Master[[#This Row],[Cell_ID]],Registre_Maintenance[],6,FALSE),"")</f>
        <v>ZTE</v>
      </c>
      <c r="M419" s="1" t="str">
        <f>VLOOKUP(Master[[#This Row],[Province_RDC]],Client[],2,FALSE)</f>
        <v>CLI-00361</v>
      </c>
      <c r="N419" s="1">
        <f>VLOOKUP(Master[[#This Row],[Province_RDC]],Client[],3,FALSE)</f>
        <v>66</v>
      </c>
      <c r="O419" s="1" t="str">
        <f>VLOOKUP(Master[[#This Row],[Province_RDC]],Client[],4,FALSE)</f>
        <v>Illimité 50Go</v>
      </c>
      <c r="P419" s="1">
        <f>VLOOKUP(Master[[#This Row],[Province_RDC]],Client[],5,FALSE)</f>
        <v>270</v>
      </c>
      <c r="Q419" s="1">
        <f>VLOOKUP(Master[[#This Row],[Province_RDC]],Client[],6,FALSE)</f>
        <v>75.88</v>
      </c>
      <c r="R419" s="1">
        <f>VLOOKUP(Master[[#This Row],[Province_RDC]],Client[],7,FALSE)</f>
        <v>3</v>
      </c>
      <c r="S419" s="1" t="str">
        <f>IF(Master[[#This Row],[Type_Forfait]]="Pro Monde","B2B","B2C")</f>
        <v>B2C</v>
      </c>
      <c r="T419" s="1">
        <f>Master[[#This Row],[Anciennete_Mois]]/12</f>
        <v>5.5</v>
      </c>
      <c r="U419" s="1">
        <f>Master[[#This Row],[Duree_Cumule_Panne_Min]]/60</f>
        <v>4.5</v>
      </c>
      <c r="V41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1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19" s="6">
        <f>Master[[#This Row],[Facture_Mensuelle]]*Master[[#This Row],[Remise]]</f>
        <v>34.146000000000001</v>
      </c>
    </row>
    <row r="420" spans="1:24" x14ac:dyDescent="0.25">
      <c r="A420" s="1" t="s">
        <v>1138</v>
      </c>
      <c r="B420" t="str">
        <f>IFERROR(VLOOKUP(Master[[#This Row],[Cell_ID]],Registre_Maintenance[],2,FALSE),"")</f>
        <v>Kwilu</v>
      </c>
      <c r="C420" s="1" t="s">
        <v>1164</v>
      </c>
      <c r="D420" s="2">
        <v>45200.511111111111</v>
      </c>
      <c r="E420" s="3">
        <v>45200.511111111111</v>
      </c>
      <c r="F420">
        <v>22</v>
      </c>
      <c r="G420">
        <f>Master[[#This Row],[Duree_Panne_Min]]/60</f>
        <v>0.36666666666666664</v>
      </c>
      <c r="H420" s="1" t="s">
        <v>737</v>
      </c>
      <c r="I420">
        <f>IFERROR(VLOOKUP(Master[[#This Row],[Cell_ID]],Registre_Maintenance[],3,FALSE),"")</f>
        <v>-10.939712999999999</v>
      </c>
      <c r="J420">
        <f>IFERROR(VLOOKUP(Master[[#This Row],[Cell_ID]],Registre_Maintenance[],4,FALSE),"")</f>
        <v>18.276230999999999</v>
      </c>
      <c r="K420" t="str">
        <f>IFERROR(VLOOKUP(Master[[#This Row],[Cell_ID]],Registre_Maintenance[],5,FALSE),"")</f>
        <v>4G</v>
      </c>
      <c r="L420" t="str">
        <f>IFERROR(VLOOKUP(Master[[#This Row],[Cell_ID]],Registre_Maintenance[],6,FALSE),"")</f>
        <v>ZTE</v>
      </c>
      <c r="M420" s="1" t="str">
        <f>VLOOKUP(Master[[#This Row],[Province_RDC]],Client[],2,FALSE)</f>
        <v>CLI-00996</v>
      </c>
      <c r="N420" s="1">
        <f>VLOOKUP(Master[[#This Row],[Province_RDC]],Client[],3,FALSE)</f>
        <v>119</v>
      </c>
      <c r="O420" s="1" t="str">
        <f>VLOOKUP(Master[[#This Row],[Province_RDC]],Client[],4,FALSE)</f>
        <v>Illimité 50Go</v>
      </c>
      <c r="P420" s="1">
        <f>VLOOKUP(Master[[#This Row],[Province_RDC]],Client[],5,FALSE)</f>
        <v>228</v>
      </c>
      <c r="Q420" s="1">
        <f>VLOOKUP(Master[[#This Row],[Province_RDC]],Client[],6,FALSE)</f>
        <v>94.72</v>
      </c>
      <c r="R420" s="1">
        <f>VLOOKUP(Master[[#This Row],[Province_RDC]],Client[],7,FALSE)</f>
        <v>3</v>
      </c>
      <c r="S420" s="1" t="str">
        <f>IF(Master[[#This Row],[Type_Forfait]]="Pro Monde","B2B","B2C")</f>
        <v>B2C</v>
      </c>
      <c r="T420" s="1">
        <f>Master[[#This Row],[Anciennete_Mois]]/12</f>
        <v>9.9166666666666661</v>
      </c>
      <c r="U420" s="1">
        <f>Master[[#This Row],[Duree_Cumule_Panne_Min]]/60</f>
        <v>3.8</v>
      </c>
      <c r="V42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2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20" s="6">
        <f>Master[[#This Row],[Facture_Mensuelle]]*Master[[#This Row],[Remise]]</f>
        <v>0</v>
      </c>
    </row>
    <row r="421" spans="1:24" x14ac:dyDescent="0.25">
      <c r="A421" s="1" t="s">
        <v>1219</v>
      </c>
      <c r="B421" t="str">
        <f>IFERROR(VLOOKUP(Master[[#This Row],[Cell_ID]],Registre_Maintenance[],2,FALSE),"")</f>
        <v>Kwango</v>
      </c>
      <c r="C421" s="1" t="s">
        <v>1232</v>
      </c>
      <c r="D421" s="2">
        <v>45221.559027777781</v>
      </c>
      <c r="E421" s="3">
        <v>45221.559027777781</v>
      </c>
      <c r="F421">
        <v>22</v>
      </c>
      <c r="G421">
        <f>Master[[#This Row],[Duree_Panne_Min]]/60</f>
        <v>0.36666666666666664</v>
      </c>
      <c r="H421" s="1" t="s">
        <v>732</v>
      </c>
      <c r="I421">
        <f>IFERROR(VLOOKUP(Master[[#This Row],[Cell_ID]],Registre_Maintenance[],3,FALSE),"")</f>
        <v>0.65288900000000005</v>
      </c>
      <c r="J421">
        <f>IFERROR(VLOOKUP(Master[[#This Row],[Cell_ID]],Registre_Maintenance[],4,FALSE),"")</f>
        <v>24.243953999999999</v>
      </c>
      <c r="K421" t="str">
        <f>IFERROR(VLOOKUP(Master[[#This Row],[Cell_ID]],Registre_Maintenance[],5,FALSE),"")</f>
        <v>5G</v>
      </c>
      <c r="L421" t="str">
        <f>IFERROR(VLOOKUP(Master[[#This Row],[Cell_ID]],Registre_Maintenance[],6,FALSE),"")</f>
        <v>Ericsson</v>
      </c>
      <c r="M421" s="1" t="str">
        <f>VLOOKUP(Master[[#This Row],[Province_RDC]],Client[],2,FALSE)</f>
        <v>CLI-00569</v>
      </c>
      <c r="N421" s="1">
        <f>VLOOKUP(Master[[#This Row],[Province_RDC]],Client[],3,FALSE)</f>
        <v>110</v>
      </c>
      <c r="O421" s="1" t="str">
        <f>VLOOKUP(Master[[#This Row],[Province_RDC]],Client[],4,FALSE)</f>
        <v>Pro Monde</v>
      </c>
      <c r="P421" s="1">
        <f>VLOOKUP(Master[[#This Row],[Province_RDC]],Client[],5,FALSE)</f>
        <v>423</v>
      </c>
      <c r="Q421" s="1">
        <f>VLOOKUP(Master[[#This Row],[Province_RDC]],Client[],6,FALSE)</f>
        <v>37.35</v>
      </c>
      <c r="R421" s="1">
        <f>VLOOKUP(Master[[#This Row],[Province_RDC]],Client[],7,FALSE)</f>
        <v>4</v>
      </c>
      <c r="S421" s="1" t="str">
        <f>IF(Master[[#This Row],[Type_Forfait]]="Pro Monde","B2B","B2C")</f>
        <v>B2B</v>
      </c>
      <c r="T421" s="1">
        <f>Master[[#This Row],[Anciennete_Mois]]/12</f>
        <v>9.1666666666666661</v>
      </c>
      <c r="U421" s="1">
        <f>Master[[#This Row],[Duree_Cumule_Panne_Min]]/60</f>
        <v>7.05</v>
      </c>
      <c r="V42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1" s="6">
        <f>Master[[#This Row],[Facture_Mensuelle]]*Master[[#This Row],[Remise]]</f>
        <v>16.807500000000001</v>
      </c>
    </row>
    <row r="422" spans="1:24" x14ac:dyDescent="0.25">
      <c r="A422" s="1" t="s">
        <v>730</v>
      </c>
      <c r="B422" t="str">
        <f>IFERROR(VLOOKUP(Master[[#This Row],[Cell_ID]],Registre_Maintenance[],2,FALSE),"")</f>
        <v>Kwango</v>
      </c>
      <c r="C422" s="1" t="s">
        <v>744</v>
      </c>
      <c r="D422" s="2">
        <v>45213.311111111107</v>
      </c>
      <c r="E422" s="3">
        <v>45213.311111111107</v>
      </c>
      <c r="F422">
        <v>22</v>
      </c>
      <c r="G422">
        <f>Master[[#This Row],[Duree_Panne_Min]]/60</f>
        <v>0.36666666666666664</v>
      </c>
      <c r="H422" s="1" t="s">
        <v>735</v>
      </c>
      <c r="I422">
        <f>IFERROR(VLOOKUP(Master[[#This Row],[Cell_ID]],Registre_Maintenance[],3,FALSE),"")</f>
        <v>4.8319039999999998</v>
      </c>
      <c r="J422">
        <f>IFERROR(VLOOKUP(Master[[#This Row],[Cell_ID]],Registre_Maintenance[],4,FALSE),"")</f>
        <v>20.733468999999999</v>
      </c>
      <c r="K422" t="str">
        <f>IFERROR(VLOOKUP(Master[[#This Row],[Cell_ID]],Registre_Maintenance[],5,FALSE),"")</f>
        <v>5G</v>
      </c>
      <c r="L422" t="str">
        <f>IFERROR(VLOOKUP(Master[[#This Row],[Cell_ID]],Registre_Maintenance[],6,FALSE),"")</f>
        <v>Ericsson</v>
      </c>
      <c r="M422" s="1" t="str">
        <f>VLOOKUP(Master[[#This Row],[Province_RDC]],Client[],2,FALSE)</f>
        <v>CLI-00569</v>
      </c>
      <c r="N422" s="1">
        <f>VLOOKUP(Master[[#This Row],[Province_RDC]],Client[],3,FALSE)</f>
        <v>110</v>
      </c>
      <c r="O422" s="1" t="str">
        <f>VLOOKUP(Master[[#This Row],[Province_RDC]],Client[],4,FALSE)</f>
        <v>Pro Monde</v>
      </c>
      <c r="P422" s="1">
        <f>VLOOKUP(Master[[#This Row],[Province_RDC]],Client[],5,FALSE)</f>
        <v>423</v>
      </c>
      <c r="Q422" s="1">
        <f>VLOOKUP(Master[[#This Row],[Province_RDC]],Client[],6,FALSE)</f>
        <v>37.35</v>
      </c>
      <c r="R422" s="1">
        <f>VLOOKUP(Master[[#This Row],[Province_RDC]],Client[],7,FALSE)</f>
        <v>4</v>
      </c>
      <c r="S422" s="1" t="str">
        <f>IF(Master[[#This Row],[Type_Forfait]]="Pro Monde","B2B","B2C")</f>
        <v>B2B</v>
      </c>
      <c r="T422" s="1">
        <f>Master[[#This Row],[Anciennete_Mois]]/12</f>
        <v>9.1666666666666661</v>
      </c>
      <c r="U422" s="1">
        <f>Master[[#This Row],[Duree_Cumule_Panne_Min]]/60</f>
        <v>7.05</v>
      </c>
      <c r="V42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2" s="6">
        <f>Master[[#This Row],[Facture_Mensuelle]]*Master[[#This Row],[Remise]]</f>
        <v>16.807500000000001</v>
      </c>
    </row>
    <row r="423" spans="1:24" x14ac:dyDescent="0.25">
      <c r="A423" s="1" t="s">
        <v>1138</v>
      </c>
      <c r="B423" t="str">
        <f>IFERROR(VLOOKUP(Master[[#This Row],[Cell_ID]],Registre_Maintenance[],2,FALSE),"")</f>
        <v>Kinshasa</v>
      </c>
      <c r="C423" s="1" t="s">
        <v>1151</v>
      </c>
      <c r="D423" s="2">
        <v>45221.283333333333</v>
      </c>
      <c r="E423" s="3">
        <v>45221.283333333333</v>
      </c>
      <c r="F423">
        <v>22</v>
      </c>
      <c r="G423">
        <f>Master[[#This Row],[Duree_Panne_Min]]/60</f>
        <v>0.36666666666666664</v>
      </c>
      <c r="H423" s="1" t="s">
        <v>732</v>
      </c>
      <c r="I423">
        <f>IFERROR(VLOOKUP(Master[[#This Row],[Cell_ID]],Registre_Maintenance[],3,FALSE),"")</f>
        <v>-2.6665070000000002</v>
      </c>
      <c r="J423">
        <f>IFERROR(VLOOKUP(Master[[#This Row],[Cell_ID]],Registre_Maintenance[],4,FALSE),"")</f>
        <v>18.623692999999999</v>
      </c>
      <c r="K423" t="str">
        <f>IFERROR(VLOOKUP(Master[[#This Row],[Cell_ID]],Registre_Maintenance[],5,FALSE),"")</f>
        <v>3G</v>
      </c>
      <c r="L423" t="str">
        <f>IFERROR(VLOOKUP(Master[[#This Row],[Cell_ID]],Registre_Maintenance[],6,FALSE),"")</f>
        <v>ZTE</v>
      </c>
      <c r="M423" s="1" t="str">
        <f>VLOOKUP(Master[[#This Row],[Province_RDC]],Client[],2,FALSE)</f>
        <v>CLI-00611</v>
      </c>
      <c r="N423" s="1">
        <f>VLOOKUP(Master[[#This Row],[Province_RDC]],Client[],3,FALSE)</f>
        <v>79</v>
      </c>
      <c r="O423" s="1" t="str">
        <f>VLOOKUP(Master[[#This Row],[Province_RDC]],Client[],4,FALSE)</f>
        <v>Premium 5G 150Go</v>
      </c>
      <c r="P423" s="1">
        <f>VLOOKUP(Master[[#This Row],[Province_RDC]],Client[],5,FALSE)</f>
        <v>226</v>
      </c>
      <c r="Q423" s="1">
        <f>VLOOKUP(Master[[#This Row],[Province_RDC]],Client[],6,FALSE)</f>
        <v>94.38</v>
      </c>
      <c r="R423" s="1">
        <f>VLOOKUP(Master[[#This Row],[Province_RDC]],Client[],7,FALSE)</f>
        <v>3</v>
      </c>
      <c r="S423" s="1" t="str">
        <f>IF(Master[[#This Row],[Type_Forfait]]="Pro Monde","B2B","B2C")</f>
        <v>B2C</v>
      </c>
      <c r="T423" s="1">
        <f>Master[[#This Row],[Anciennete_Mois]]/12</f>
        <v>6.583333333333333</v>
      </c>
      <c r="U423" s="1">
        <f>Master[[#This Row],[Duree_Cumule_Panne_Min]]/60</f>
        <v>3.7666666666666666</v>
      </c>
      <c r="V42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23" s="6">
        <f>Master[[#This Row],[Facture_Mensuelle]]*Master[[#This Row],[Remise]]</f>
        <v>0</v>
      </c>
    </row>
    <row r="424" spans="1:24" x14ac:dyDescent="0.25">
      <c r="A424" s="1" t="s">
        <v>779</v>
      </c>
      <c r="B424" t="str">
        <f>IFERROR(VLOOKUP(Master[[#This Row],[Cell_ID]],Registre_Maintenance[],2,FALSE),"")</f>
        <v>Tanganyika</v>
      </c>
      <c r="C424" s="1" t="s">
        <v>785</v>
      </c>
      <c r="D424" s="2">
        <v>45221.861805555563</v>
      </c>
      <c r="E424" s="3">
        <v>45221.861805555563</v>
      </c>
      <c r="F424">
        <v>21</v>
      </c>
      <c r="G424">
        <f>Master[[#This Row],[Duree_Panne_Min]]/60</f>
        <v>0.35</v>
      </c>
      <c r="H424" s="1" t="s">
        <v>735</v>
      </c>
      <c r="I424">
        <f>IFERROR(VLOOKUP(Master[[#This Row],[Cell_ID]],Registre_Maintenance[],3,FALSE),"")</f>
        <v>-1.864393</v>
      </c>
      <c r="J424">
        <f>IFERROR(VLOOKUP(Master[[#This Row],[Cell_ID]],Registre_Maintenance[],4,FALSE),"")</f>
        <v>21.453434000000001</v>
      </c>
      <c r="K424" t="str">
        <f>IFERROR(VLOOKUP(Master[[#This Row],[Cell_ID]],Registre_Maintenance[],5,FALSE),"")</f>
        <v>5G</v>
      </c>
      <c r="L424" t="str">
        <f>IFERROR(VLOOKUP(Master[[#This Row],[Cell_ID]],Registre_Maintenance[],6,FALSE),"")</f>
        <v>Ericsson</v>
      </c>
      <c r="M424" s="1" t="str">
        <f>VLOOKUP(Master[[#This Row],[Province_RDC]],Client[],2,FALSE)</f>
        <v>CLI-01618</v>
      </c>
      <c r="N424" s="1">
        <f>VLOOKUP(Master[[#This Row],[Province_RDC]],Client[],3,FALSE)</f>
        <v>115</v>
      </c>
      <c r="O424" s="1" t="str">
        <f>VLOOKUP(Master[[#This Row],[Province_RDC]],Client[],4,FALSE)</f>
        <v>Bloqué 5Go</v>
      </c>
      <c r="P424" s="1">
        <f>VLOOKUP(Master[[#This Row],[Province_RDC]],Client[],5,FALSE)</f>
        <v>176</v>
      </c>
      <c r="Q424" s="1">
        <f>VLOOKUP(Master[[#This Row],[Province_RDC]],Client[],6,FALSE)</f>
        <v>33.28</v>
      </c>
      <c r="R424" s="1">
        <f>VLOOKUP(Master[[#This Row],[Province_RDC]],Client[],7,FALSE)</f>
        <v>4</v>
      </c>
      <c r="S424" s="1" t="str">
        <f>IF(Master[[#This Row],[Type_Forfait]]="Pro Monde","B2B","B2C")</f>
        <v>B2C</v>
      </c>
      <c r="T424" s="1">
        <f>Master[[#This Row],[Anciennete_Mois]]/12</f>
        <v>9.5833333333333339</v>
      </c>
      <c r="U424" s="1">
        <f>Master[[#This Row],[Duree_Cumule_Panne_Min]]/60</f>
        <v>2.9333333333333331</v>
      </c>
      <c r="V42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2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24" s="6">
        <f>Master[[#This Row],[Facture_Mensuelle]]*Master[[#This Row],[Remise]]</f>
        <v>0</v>
      </c>
    </row>
    <row r="425" spans="1:24" x14ac:dyDescent="0.25">
      <c r="A425" s="1" t="s">
        <v>1345</v>
      </c>
      <c r="B425" t="str">
        <f>IFERROR(VLOOKUP(Master[[#This Row],[Cell_ID]],Registre_Maintenance[],2,FALSE),"")</f>
        <v>Sud-Kivu</v>
      </c>
      <c r="C425" s="1" t="s">
        <v>1246</v>
      </c>
      <c r="D425" s="2">
        <v>45218.589583333327</v>
      </c>
      <c r="E425" s="3">
        <v>45218.589583333327</v>
      </c>
      <c r="F425">
        <v>21</v>
      </c>
      <c r="G425">
        <f>Master[[#This Row],[Duree_Panne_Min]]/60</f>
        <v>0.35</v>
      </c>
      <c r="H425" s="1" t="s">
        <v>732</v>
      </c>
      <c r="I425">
        <f>IFERROR(VLOOKUP(Master[[#This Row],[Cell_ID]],Registre_Maintenance[],3,FALSE),"")</f>
        <v>-11.514817000000001</v>
      </c>
      <c r="J425">
        <f>IFERROR(VLOOKUP(Master[[#This Row],[Cell_ID]],Registre_Maintenance[],4,FALSE),"")</f>
        <v>24.891375</v>
      </c>
      <c r="K425" t="str">
        <f>IFERROR(VLOOKUP(Master[[#This Row],[Cell_ID]],Registre_Maintenance[],5,FALSE),"")</f>
        <v>3G</v>
      </c>
      <c r="L425" t="str">
        <f>IFERROR(VLOOKUP(Master[[#This Row],[Cell_ID]],Registre_Maintenance[],6,FALSE),"")</f>
        <v>Nokia</v>
      </c>
      <c r="M425" s="1" t="str">
        <f>VLOOKUP(Master[[#This Row],[Province_RDC]],Client[],2,FALSE)</f>
        <v>CLI-01855</v>
      </c>
      <c r="N425" s="1">
        <f>VLOOKUP(Master[[#This Row],[Province_RDC]],Client[],3,FALSE)</f>
        <v>101</v>
      </c>
      <c r="O425" s="1" t="str">
        <f>VLOOKUP(Master[[#This Row],[Province_RDC]],Client[],4,FALSE)</f>
        <v>Illimité 50Go</v>
      </c>
      <c r="P425" s="1">
        <f>VLOOKUP(Master[[#This Row],[Province_RDC]],Client[],5,FALSE)</f>
        <v>358</v>
      </c>
      <c r="Q425" s="1">
        <f>VLOOKUP(Master[[#This Row],[Province_RDC]],Client[],6,FALSE)</f>
        <v>29.24</v>
      </c>
      <c r="R425" s="1">
        <f>VLOOKUP(Master[[#This Row],[Province_RDC]],Client[],7,FALSE)</f>
        <v>3</v>
      </c>
      <c r="S425" s="1" t="str">
        <f>IF(Master[[#This Row],[Type_Forfait]]="Pro Monde","B2B","B2C")</f>
        <v>B2C</v>
      </c>
      <c r="T425" s="1">
        <f>Master[[#This Row],[Anciennete_Mois]]/12</f>
        <v>8.4166666666666661</v>
      </c>
      <c r="U425" s="1">
        <f>Master[[#This Row],[Duree_Cumule_Panne_Min]]/60</f>
        <v>5.9666666666666668</v>
      </c>
      <c r="V42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5" s="6">
        <f>Master[[#This Row],[Facture_Mensuelle]]*Master[[#This Row],[Remise]]</f>
        <v>13.157999999999999</v>
      </c>
    </row>
    <row r="426" spans="1:24" x14ac:dyDescent="0.25">
      <c r="A426" s="1" t="s">
        <v>1086</v>
      </c>
      <c r="B426" t="str">
        <f>IFERROR(VLOOKUP(Master[[#This Row],[Cell_ID]],Registre_Maintenance[],2,FALSE),"")</f>
        <v>Kongo-Central</v>
      </c>
      <c r="C426" s="1" t="s">
        <v>956</v>
      </c>
      <c r="D426" s="2">
        <v>45204.237500000003</v>
      </c>
      <c r="E426" s="3">
        <v>45204.237500000003</v>
      </c>
      <c r="F426">
        <v>21</v>
      </c>
      <c r="G426">
        <f>Master[[#This Row],[Duree_Panne_Min]]/60</f>
        <v>0.35</v>
      </c>
      <c r="H426" s="1" t="s">
        <v>735</v>
      </c>
      <c r="I426">
        <f>IFERROR(VLOOKUP(Master[[#This Row],[Cell_ID]],Registre_Maintenance[],3,FALSE),"")</f>
        <v>2.975352</v>
      </c>
      <c r="J426">
        <f>IFERROR(VLOOKUP(Master[[#This Row],[Cell_ID]],Registre_Maintenance[],4,FALSE),"")</f>
        <v>22.535886000000001</v>
      </c>
      <c r="K426" t="str">
        <f>IFERROR(VLOOKUP(Master[[#This Row],[Cell_ID]],Registre_Maintenance[],5,FALSE),"")</f>
        <v>4G</v>
      </c>
      <c r="L426" t="str">
        <f>IFERROR(VLOOKUP(Master[[#This Row],[Cell_ID]],Registre_Maintenance[],6,FALSE),"")</f>
        <v>Huawei</v>
      </c>
      <c r="M426" s="1" t="str">
        <f>VLOOKUP(Master[[#This Row],[Province_RDC]],Client[],2,FALSE)</f>
        <v>CLI-01233</v>
      </c>
      <c r="N426" s="1">
        <f>VLOOKUP(Master[[#This Row],[Province_RDC]],Client[],3,FALSE)</f>
        <v>101</v>
      </c>
      <c r="O426" s="1" t="str">
        <f>VLOOKUP(Master[[#This Row],[Province_RDC]],Client[],4,FALSE)</f>
        <v>Pro Monde</v>
      </c>
      <c r="P426" s="1">
        <f>VLOOKUP(Master[[#This Row],[Province_RDC]],Client[],5,FALSE)</f>
        <v>333</v>
      </c>
      <c r="Q426" s="1">
        <f>VLOOKUP(Master[[#This Row],[Province_RDC]],Client[],6,FALSE)</f>
        <v>74.319999999999993</v>
      </c>
      <c r="R426" s="1">
        <f>VLOOKUP(Master[[#This Row],[Province_RDC]],Client[],7,FALSE)</f>
        <v>1</v>
      </c>
      <c r="S426" s="1" t="str">
        <f>IF(Master[[#This Row],[Type_Forfait]]="Pro Monde","B2B","B2C")</f>
        <v>B2B</v>
      </c>
      <c r="T426" s="1">
        <f>Master[[#This Row],[Anciennete_Mois]]/12</f>
        <v>8.4166666666666661</v>
      </c>
      <c r="U426" s="1">
        <f>Master[[#This Row],[Duree_Cumule_Panne_Min]]/60</f>
        <v>5.55</v>
      </c>
      <c r="V42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6" s="6">
        <f>Master[[#This Row],[Facture_Mensuelle]]*Master[[#This Row],[Remise]]</f>
        <v>33.443999999999996</v>
      </c>
    </row>
    <row r="427" spans="1:24" x14ac:dyDescent="0.25">
      <c r="A427" s="1" t="s">
        <v>1345</v>
      </c>
      <c r="B427" t="str">
        <f>IFERROR(VLOOKUP(Master[[#This Row],[Cell_ID]],Registre_Maintenance[],2,FALSE),"")</f>
        <v>Nord-Kivu</v>
      </c>
      <c r="C427" s="1" t="s">
        <v>1355</v>
      </c>
      <c r="D427" s="2">
        <v>45224.229861111111</v>
      </c>
      <c r="E427" s="3">
        <v>45224.229861111111</v>
      </c>
      <c r="F427">
        <v>20</v>
      </c>
      <c r="G427">
        <f>Master[[#This Row],[Duree_Panne_Min]]/60</f>
        <v>0.33333333333333331</v>
      </c>
      <c r="H427" s="1" t="s">
        <v>732</v>
      </c>
      <c r="I427">
        <f>IFERROR(VLOOKUP(Master[[#This Row],[Cell_ID]],Registre_Maintenance[],3,FALSE),"")</f>
        <v>-10.298385</v>
      </c>
      <c r="J427">
        <f>IFERROR(VLOOKUP(Master[[#This Row],[Cell_ID]],Registre_Maintenance[],4,FALSE),"")</f>
        <v>29.698117</v>
      </c>
      <c r="K427" t="str">
        <f>IFERROR(VLOOKUP(Master[[#This Row],[Cell_ID]],Registre_Maintenance[],5,FALSE),"")</f>
        <v>5G</v>
      </c>
      <c r="L427" t="str">
        <f>IFERROR(VLOOKUP(Master[[#This Row],[Cell_ID]],Registre_Maintenance[],6,FALSE),"")</f>
        <v>Nokia</v>
      </c>
      <c r="M427" s="1" t="str">
        <f>VLOOKUP(Master[[#This Row],[Province_RDC]],Client[],2,FALSE)</f>
        <v>CLI-00837</v>
      </c>
      <c r="N427" s="1">
        <f>VLOOKUP(Master[[#This Row],[Province_RDC]],Client[],3,FALSE)</f>
        <v>16</v>
      </c>
      <c r="O427" s="1" t="str">
        <f>VLOOKUP(Master[[#This Row],[Province_RDC]],Client[],4,FALSE)</f>
        <v>Bloqué 5Go</v>
      </c>
      <c r="P427" s="1">
        <f>VLOOKUP(Master[[#This Row],[Province_RDC]],Client[],5,FALSE)</f>
        <v>390</v>
      </c>
      <c r="Q427" s="1">
        <f>VLOOKUP(Master[[#This Row],[Province_RDC]],Client[],6,FALSE)</f>
        <v>98.17</v>
      </c>
      <c r="R427" s="1">
        <f>VLOOKUP(Master[[#This Row],[Province_RDC]],Client[],7,FALSE)</f>
        <v>5</v>
      </c>
      <c r="S427" s="1" t="str">
        <f>IF(Master[[#This Row],[Type_Forfait]]="Pro Monde","B2B","B2C")</f>
        <v>B2C</v>
      </c>
      <c r="T427" s="1">
        <f>Master[[#This Row],[Anciennete_Mois]]/12</f>
        <v>1.3333333333333333</v>
      </c>
      <c r="U427" s="1">
        <f>Master[[#This Row],[Duree_Cumule_Panne_Min]]/60</f>
        <v>6.5</v>
      </c>
      <c r="V42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7" s="6">
        <f>Master[[#This Row],[Facture_Mensuelle]]*Master[[#This Row],[Remise]]</f>
        <v>44.176500000000004</v>
      </c>
    </row>
    <row r="428" spans="1:24" x14ac:dyDescent="0.25">
      <c r="A428" s="1" t="s">
        <v>823</v>
      </c>
      <c r="B428" t="str">
        <f>IFERROR(VLOOKUP(Master[[#This Row],[Cell_ID]],Registre_Maintenance[],2,FALSE),"")</f>
        <v>Kwilu</v>
      </c>
      <c r="C428" s="1" t="s">
        <v>854</v>
      </c>
      <c r="D428" s="2">
        <v>45216.902777777781</v>
      </c>
      <c r="E428" s="3">
        <v>45216.902777777781</v>
      </c>
      <c r="F428">
        <v>20</v>
      </c>
      <c r="G428">
        <f>Master[[#This Row],[Duree_Panne_Min]]/60</f>
        <v>0.33333333333333331</v>
      </c>
      <c r="H428" s="1" t="s">
        <v>737</v>
      </c>
      <c r="I428">
        <f>IFERROR(VLOOKUP(Master[[#This Row],[Cell_ID]],Registre_Maintenance[],3,FALSE),"")</f>
        <v>-4.2408359999999998</v>
      </c>
      <c r="J428">
        <f>IFERROR(VLOOKUP(Master[[#This Row],[Cell_ID]],Registre_Maintenance[],4,FALSE),"")</f>
        <v>26.210014000000001</v>
      </c>
      <c r="K428" t="str">
        <f>IFERROR(VLOOKUP(Master[[#This Row],[Cell_ID]],Registre_Maintenance[],5,FALSE),"")</f>
        <v>4G</v>
      </c>
      <c r="L428" t="str">
        <f>IFERROR(VLOOKUP(Master[[#This Row],[Cell_ID]],Registre_Maintenance[],6,FALSE),"")</f>
        <v>Huawei</v>
      </c>
      <c r="M428" s="1" t="str">
        <f>VLOOKUP(Master[[#This Row],[Province_RDC]],Client[],2,FALSE)</f>
        <v>CLI-00996</v>
      </c>
      <c r="N428" s="1">
        <f>VLOOKUP(Master[[#This Row],[Province_RDC]],Client[],3,FALSE)</f>
        <v>119</v>
      </c>
      <c r="O428" s="1" t="str">
        <f>VLOOKUP(Master[[#This Row],[Province_RDC]],Client[],4,FALSE)</f>
        <v>Illimité 50Go</v>
      </c>
      <c r="P428" s="1">
        <f>VLOOKUP(Master[[#This Row],[Province_RDC]],Client[],5,FALSE)</f>
        <v>228</v>
      </c>
      <c r="Q428" s="1">
        <f>VLOOKUP(Master[[#This Row],[Province_RDC]],Client[],6,FALSE)</f>
        <v>94.72</v>
      </c>
      <c r="R428" s="1">
        <f>VLOOKUP(Master[[#This Row],[Province_RDC]],Client[],7,FALSE)</f>
        <v>3</v>
      </c>
      <c r="S428" s="1" t="str">
        <f>IF(Master[[#This Row],[Type_Forfait]]="Pro Monde","B2B","B2C")</f>
        <v>B2C</v>
      </c>
      <c r="T428" s="1">
        <f>Master[[#This Row],[Anciennete_Mois]]/12</f>
        <v>9.9166666666666661</v>
      </c>
      <c r="U428" s="1">
        <f>Master[[#This Row],[Duree_Cumule_Panne_Min]]/60</f>
        <v>3.8</v>
      </c>
      <c r="V42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2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28" s="6">
        <f>Master[[#This Row],[Facture_Mensuelle]]*Master[[#This Row],[Remise]]</f>
        <v>0</v>
      </c>
    </row>
    <row r="429" spans="1:24" x14ac:dyDescent="0.25">
      <c r="A429" s="1" t="s">
        <v>1114</v>
      </c>
      <c r="B429" t="str">
        <f>IFERROR(VLOOKUP(Master[[#This Row],[Cell_ID]],Registre_Maintenance[],2,FALSE),"")</f>
        <v>Equateur</v>
      </c>
      <c r="C429" s="1" t="s">
        <v>1120</v>
      </c>
      <c r="D429" s="2">
        <v>45210.703472222223</v>
      </c>
      <c r="E429" s="3">
        <v>45210.703472222223</v>
      </c>
      <c r="F429">
        <v>20</v>
      </c>
      <c r="G429">
        <f>Master[[#This Row],[Duree_Panne_Min]]/60</f>
        <v>0.33333333333333331</v>
      </c>
      <c r="H429" s="1" t="s">
        <v>732</v>
      </c>
      <c r="I429">
        <f>IFERROR(VLOOKUP(Master[[#This Row],[Cell_ID]],Registre_Maintenance[],3,FALSE),"")</f>
        <v>-0.79459900000000006</v>
      </c>
      <c r="J429">
        <f>IFERROR(VLOOKUP(Master[[#This Row],[Cell_ID]],Registre_Maintenance[],4,FALSE),"")</f>
        <v>26.775570999999999</v>
      </c>
      <c r="K429" t="str">
        <f>IFERROR(VLOOKUP(Master[[#This Row],[Cell_ID]],Registre_Maintenance[],5,FALSE),"")</f>
        <v>5G</v>
      </c>
      <c r="L429" t="str">
        <f>IFERROR(VLOOKUP(Master[[#This Row],[Cell_ID]],Registre_Maintenance[],6,FALSE),"")</f>
        <v>Huawei</v>
      </c>
      <c r="M429" s="1" t="str">
        <f>VLOOKUP(Master[[#This Row],[Province_RDC]],Client[],2,FALSE)</f>
        <v>CLI-00643</v>
      </c>
      <c r="N429" s="1">
        <f>VLOOKUP(Master[[#This Row],[Province_RDC]],Client[],3,FALSE)</f>
        <v>14</v>
      </c>
      <c r="O429" s="1" t="str">
        <f>VLOOKUP(Master[[#This Row],[Province_RDC]],Client[],4,FALSE)</f>
        <v>Pro Monde</v>
      </c>
      <c r="P429" s="1">
        <f>VLOOKUP(Master[[#This Row],[Province_RDC]],Client[],5,FALSE)</f>
        <v>316</v>
      </c>
      <c r="Q429" s="1">
        <f>VLOOKUP(Master[[#This Row],[Province_RDC]],Client[],6,FALSE)</f>
        <v>62.34</v>
      </c>
      <c r="R429" s="1">
        <f>VLOOKUP(Master[[#This Row],[Province_RDC]],Client[],7,FALSE)</f>
        <v>4</v>
      </c>
      <c r="S429" s="1" t="str">
        <f>IF(Master[[#This Row],[Type_Forfait]]="Pro Monde","B2B","B2C")</f>
        <v>B2B</v>
      </c>
      <c r="T429" s="1">
        <f>Master[[#This Row],[Anciennete_Mois]]/12</f>
        <v>1.1666666666666667</v>
      </c>
      <c r="U429" s="1">
        <f>Master[[#This Row],[Duree_Cumule_Panne_Min]]/60</f>
        <v>5.2666666666666666</v>
      </c>
      <c r="V42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2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29" s="6">
        <f>Master[[#This Row],[Facture_Mensuelle]]*Master[[#This Row],[Remise]]</f>
        <v>28.053000000000001</v>
      </c>
    </row>
    <row r="430" spans="1:24" x14ac:dyDescent="0.25">
      <c r="A430" s="1" t="s">
        <v>1241</v>
      </c>
      <c r="B430" t="str">
        <f>IFERROR(VLOOKUP(Master[[#This Row],[Cell_ID]],Registre_Maintenance[],2,FALSE),"")</f>
        <v>Bas-Uele</v>
      </c>
      <c r="C430" s="1" t="s">
        <v>1253</v>
      </c>
      <c r="D430" s="2">
        <v>45201.527777777781</v>
      </c>
      <c r="E430" s="3">
        <v>45201.527777777781</v>
      </c>
      <c r="F430">
        <v>20</v>
      </c>
      <c r="G430">
        <f>Master[[#This Row],[Duree_Panne_Min]]/60</f>
        <v>0.33333333333333331</v>
      </c>
      <c r="H430" s="1" t="s">
        <v>735</v>
      </c>
      <c r="I430">
        <f>IFERROR(VLOOKUP(Master[[#This Row],[Cell_ID]],Registre_Maintenance[],3,FALSE),"")</f>
        <v>0.45116099999999998</v>
      </c>
      <c r="J430">
        <f>IFERROR(VLOOKUP(Master[[#This Row],[Cell_ID]],Registre_Maintenance[],4,FALSE),"")</f>
        <v>17.265761000000001</v>
      </c>
      <c r="K430" t="str">
        <f>IFERROR(VLOOKUP(Master[[#This Row],[Cell_ID]],Registre_Maintenance[],5,FALSE),"")</f>
        <v>4G</v>
      </c>
      <c r="L430" t="str">
        <f>IFERROR(VLOOKUP(Master[[#This Row],[Cell_ID]],Registre_Maintenance[],6,FALSE),"")</f>
        <v>Huawei</v>
      </c>
      <c r="M430" s="1" t="str">
        <f>VLOOKUP(Master[[#This Row],[Province_RDC]],Client[],2,FALSE)</f>
        <v>CLI-01128</v>
      </c>
      <c r="N430" s="1">
        <f>VLOOKUP(Master[[#This Row],[Province_RDC]],Client[],3,FALSE)</f>
        <v>112</v>
      </c>
      <c r="O430" s="1" t="str">
        <f>VLOOKUP(Master[[#This Row],[Province_RDC]],Client[],4,FALSE)</f>
        <v>Premium 5G 150Go</v>
      </c>
      <c r="P430" s="1">
        <f>VLOOKUP(Master[[#This Row],[Province_RDC]],Client[],5,FALSE)</f>
        <v>460</v>
      </c>
      <c r="Q430" s="1">
        <f>VLOOKUP(Master[[#This Row],[Province_RDC]],Client[],6,FALSE)</f>
        <v>55.47</v>
      </c>
      <c r="R430" s="1">
        <f>VLOOKUP(Master[[#This Row],[Province_RDC]],Client[],7,FALSE)</f>
        <v>4</v>
      </c>
      <c r="S430" s="1" t="str">
        <f>IF(Master[[#This Row],[Type_Forfait]]="Pro Monde","B2B","B2C")</f>
        <v>B2C</v>
      </c>
      <c r="T430" s="1">
        <f>Master[[#This Row],[Anciennete_Mois]]/12</f>
        <v>9.3333333333333339</v>
      </c>
      <c r="U430" s="1">
        <f>Master[[#This Row],[Duree_Cumule_Panne_Min]]/60</f>
        <v>7.666666666666667</v>
      </c>
      <c r="V43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0" s="6">
        <f>Master[[#This Row],[Facture_Mensuelle]]*Master[[#This Row],[Remise]]</f>
        <v>24.961500000000001</v>
      </c>
    </row>
    <row r="431" spans="1:24" x14ac:dyDescent="0.25">
      <c r="A431" s="1" t="s">
        <v>730</v>
      </c>
      <c r="B431" t="str">
        <f>IFERROR(VLOOKUP(Master[[#This Row],[Cell_ID]],Registre_Maintenance[],2,FALSE),"")</f>
        <v>Tanganyika</v>
      </c>
      <c r="C431" s="1" t="s">
        <v>751</v>
      </c>
      <c r="D431" s="2">
        <v>45212.140277777777</v>
      </c>
      <c r="E431" s="3">
        <v>45212.140277777777</v>
      </c>
      <c r="F431">
        <v>19</v>
      </c>
      <c r="G431">
        <f>Master[[#This Row],[Duree_Panne_Min]]/60</f>
        <v>0.31666666666666665</v>
      </c>
      <c r="H431" s="1" t="s">
        <v>735</v>
      </c>
      <c r="I431">
        <f>IFERROR(VLOOKUP(Master[[#This Row],[Cell_ID]],Registre_Maintenance[],3,FALSE),"")</f>
        <v>-9.4708620000000003</v>
      </c>
      <c r="J431">
        <f>IFERROR(VLOOKUP(Master[[#This Row],[Cell_ID]],Registre_Maintenance[],4,FALSE),"")</f>
        <v>29.234387999999999</v>
      </c>
      <c r="K431" t="str">
        <f>IFERROR(VLOOKUP(Master[[#This Row],[Cell_ID]],Registre_Maintenance[],5,FALSE),"")</f>
        <v>3G</v>
      </c>
      <c r="L431" t="str">
        <f>IFERROR(VLOOKUP(Master[[#This Row],[Cell_ID]],Registre_Maintenance[],6,FALSE),"")</f>
        <v>ZTE</v>
      </c>
      <c r="M431" s="1" t="str">
        <f>VLOOKUP(Master[[#This Row],[Province_RDC]],Client[],2,FALSE)</f>
        <v>CLI-01618</v>
      </c>
      <c r="N431" s="1">
        <f>VLOOKUP(Master[[#This Row],[Province_RDC]],Client[],3,FALSE)</f>
        <v>115</v>
      </c>
      <c r="O431" s="1" t="str">
        <f>VLOOKUP(Master[[#This Row],[Province_RDC]],Client[],4,FALSE)</f>
        <v>Bloqué 5Go</v>
      </c>
      <c r="P431" s="1">
        <f>VLOOKUP(Master[[#This Row],[Province_RDC]],Client[],5,FALSE)</f>
        <v>176</v>
      </c>
      <c r="Q431" s="1">
        <f>VLOOKUP(Master[[#This Row],[Province_RDC]],Client[],6,FALSE)</f>
        <v>33.28</v>
      </c>
      <c r="R431" s="1">
        <f>VLOOKUP(Master[[#This Row],[Province_RDC]],Client[],7,FALSE)</f>
        <v>4</v>
      </c>
      <c r="S431" s="1" t="str">
        <f>IF(Master[[#This Row],[Type_Forfait]]="Pro Monde","B2B","B2C")</f>
        <v>B2C</v>
      </c>
      <c r="T431" s="1">
        <f>Master[[#This Row],[Anciennete_Mois]]/12</f>
        <v>9.5833333333333339</v>
      </c>
      <c r="U431" s="1">
        <f>Master[[#This Row],[Duree_Cumule_Panne_Min]]/60</f>
        <v>2.9333333333333331</v>
      </c>
      <c r="V43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3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31" s="6">
        <f>Master[[#This Row],[Facture_Mensuelle]]*Master[[#This Row],[Remise]]</f>
        <v>0</v>
      </c>
    </row>
    <row r="432" spans="1:24" x14ac:dyDescent="0.25">
      <c r="A432" s="1" t="s">
        <v>779</v>
      </c>
      <c r="B432" t="str">
        <f>IFERROR(VLOOKUP(Master[[#This Row],[Cell_ID]],Registre_Maintenance[],2,FALSE),"")</f>
        <v>Kwango</v>
      </c>
      <c r="C432" s="1" t="s">
        <v>809</v>
      </c>
      <c r="D432" s="2">
        <v>45219.113194444442</v>
      </c>
      <c r="E432" s="3">
        <v>45219.113194444442</v>
      </c>
      <c r="F432">
        <v>19</v>
      </c>
      <c r="G432">
        <f>Master[[#This Row],[Duree_Panne_Min]]/60</f>
        <v>0.31666666666666665</v>
      </c>
      <c r="H432" s="1" t="s">
        <v>732</v>
      </c>
      <c r="I432">
        <f>IFERROR(VLOOKUP(Master[[#This Row],[Cell_ID]],Registre_Maintenance[],3,FALSE),"")</f>
        <v>-9.7712979999999998</v>
      </c>
      <c r="J432">
        <f>IFERROR(VLOOKUP(Master[[#This Row],[Cell_ID]],Registre_Maintenance[],4,FALSE),"")</f>
        <v>19.827895999999999</v>
      </c>
      <c r="K432" t="str">
        <f>IFERROR(VLOOKUP(Master[[#This Row],[Cell_ID]],Registre_Maintenance[],5,FALSE),"")</f>
        <v>3G</v>
      </c>
      <c r="L432" t="str">
        <f>IFERROR(VLOOKUP(Master[[#This Row],[Cell_ID]],Registre_Maintenance[],6,FALSE),"")</f>
        <v>ZTE</v>
      </c>
      <c r="M432" s="1" t="str">
        <f>VLOOKUP(Master[[#This Row],[Province_RDC]],Client[],2,FALSE)</f>
        <v>CLI-00569</v>
      </c>
      <c r="N432" s="1">
        <f>VLOOKUP(Master[[#This Row],[Province_RDC]],Client[],3,FALSE)</f>
        <v>110</v>
      </c>
      <c r="O432" s="1" t="str">
        <f>VLOOKUP(Master[[#This Row],[Province_RDC]],Client[],4,FALSE)</f>
        <v>Pro Monde</v>
      </c>
      <c r="P432" s="1">
        <f>VLOOKUP(Master[[#This Row],[Province_RDC]],Client[],5,FALSE)</f>
        <v>423</v>
      </c>
      <c r="Q432" s="1">
        <f>VLOOKUP(Master[[#This Row],[Province_RDC]],Client[],6,FALSE)</f>
        <v>37.35</v>
      </c>
      <c r="R432" s="1">
        <f>VLOOKUP(Master[[#This Row],[Province_RDC]],Client[],7,FALSE)</f>
        <v>4</v>
      </c>
      <c r="S432" s="1" t="str">
        <f>IF(Master[[#This Row],[Type_Forfait]]="Pro Monde","B2B","B2C")</f>
        <v>B2B</v>
      </c>
      <c r="T432" s="1">
        <f>Master[[#This Row],[Anciennete_Mois]]/12</f>
        <v>9.1666666666666661</v>
      </c>
      <c r="U432" s="1">
        <f>Master[[#This Row],[Duree_Cumule_Panne_Min]]/60</f>
        <v>7.05</v>
      </c>
      <c r="V43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2" s="6">
        <f>Master[[#This Row],[Facture_Mensuelle]]*Master[[#This Row],[Remise]]</f>
        <v>16.807500000000001</v>
      </c>
    </row>
    <row r="433" spans="1:24" x14ac:dyDescent="0.25">
      <c r="A433" s="1" t="s">
        <v>823</v>
      </c>
      <c r="B433" t="str">
        <f>IFERROR(VLOOKUP(Master[[#This Row],[Cell_ID]],Registre_Maintenance[],2,FALSE),"")</f>
        <v>Sud-Kivu</v>
      </c>
      <c r="C433" s="1" t="s">
        <v>843</v>
      </c>
      <c r="D433" s="2">
        <v>45217.175000000003</v>
      </c>
      <c r="E433" s="3">
        <v>45217.175000000003</v>
      </c>
      <c r="F433">
        <v>18</v>
      </c>
      <c r="G433">
        <f>Master[[#This Row],[Duree_Panne_Min]]/60</f>
        <v>0.3</v>
      </c>
      <c r="H433" s="1" t="s">
        <v>737</v>
      </c>
      <c r="I433">
        <f>IFERROR(VLOOKUP(Master[[#This Row],[Cell_ID]],Registre_Maintenance[],3,FALSE),"")</f>
        <v>-9.4702129999999993</v>
      </c>
      <c r="J433">
        <f>IFERROR(VLOOKUP(Master[[#This Row],[Cell_ID]],Registre_Maintenance[],4,FALSE),"")</f>
        <v>12.826158</v>
      </c>
      <c r="K433" t="str">
        <f>IFERROR(VLOOKUP(Master[[#This Row],[Cell_ID]],Registre_Maintenance[],5,FALSE),"")</f>
        <v>3G</v>
      </c>
      <c r="L433" t="str">
        <f>IFERROR(VLOOKUP(Master[[#This Row],[Cell_ID]],Registre_Maintenance[],6,FALSE),"")</f>
        <v>Ericsson</v>
      </c>
      <c r="M433" s="1" t="str">
        <f>VLOOKUP(Master[[#This Row],[Province_RDC]],Client[],2,FALSE)</f>
        <v>CLI-01855</v>
      </c>
      <c r="N433" s="1">
        <f>VLOOKUP(Master[[#This Row],[Province_RDC]],Client[],3,FALSE)</f>
        <v>101</v>
      </c>
      <c r="O433" s="1" t="str">
        <f>VLOOKUP(Master[[#This Row],[Province_RDC]],Client[],4,FALSE)</f>
        <v>Illimité 50Go</v>
      </c>
      <c r="P433" s="1">
        <f>VLOOKUP(Master[[#This Row],[Province_RDC]],Client[],5,FALSE)</f>
        <v>358</v>
      </c>
      <c r="Q433" s="1">
        <f>VLOOKUP(Master[[#This Row],[Province_RDC]],Client[],6,FALSE)</f>
        <v>29.24</v>
      </c>
      <c r="R433" s="1">
        <f>VLOOKUP(Master[[#This Row],[Province_RDC]],Client[],7,FALSE)</f>
        <v>3</v>
      </c>
      <c r="S433" s="1" t="str">
        <f>IF(Master[[#This Row],[Type_Forfait]]="Pro Monde","B2B","B2C")</f>
        <v>B2C</v>
      </c>
      <c r="T433" s="1">
        <f>Master[[#This Row],[Anciennete_Mois]]/12</f>
        <v>8.4166666666666661</v>
      </c>
      <c r="U433" s="1">
        <f>Master[[#This Row],[Duree_Cumule_Panne_Min]]/60</f>
        <v>5.9666666666666668</v>
      </c>
      <c r="V43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3" s="6">
        <f>Master[[#This Row],[Facture_Mensuelle]]*Master[[#This Row],[Remise]]</f>
        <v>13.157999999999999</v>
      </c>
    </row>
    <row r="434" spans="1:24" x14ac:dyDescent="0.25">
      <c r="A434" s="1" t="s">
        <v>779</v>
      </c>
      <c r="B434" t="str">
        <f>IFERROR(VLOOKUP(Master[[#This Row],[Cell_ID]],Registre_Maintenance[],2,FALSE),"")</f>
        <v>Nord-Ubangi</v>
      </c>
      <c r="C434" s="1" t="s">
        <v>811</v>
      </c>
      <c r="D434" s="2">
        <v>45203.760416666657</v>
      </c>
      <c r="E434" s="3">
        <v>45203.760416666657</v>
      </c>
      <c r="F434">
        <v>18</v>
      </c>
      <c r="G434">
        <f>Master[[#This Row],[Duree_Panne_Min]]/60</f>
        <v>0.3</v>
      </c>
      <c r="H434" s="1" t="s">
        <v>737</v>
      </c>
      <c r="I434">
        <f>IFERROR(VLOOKUP(Master[[#This Row],[Cell_ID]],Registre_Maintenance[],3,FALSE),"")</f>
        <v>0.94539899999999999</v>
      </c>
      <c r="J434">
        <f>IFERROR(VLOOKUP(Master[[#This Row],[Cell_ID]],Registre_Maintenance[],4,FALSE),"")</f>
        <v>14.401821999999999</v>
      </c>
      <c r="K434" t="str">
        <f>IFERROR(VLOOKUP(Master[[#This Row],[Cell_ID]],Registre_Maintenance[],5,FALSE),"")</f>
        <v>5G</v>
      </c>
      <c r="L434" t="str">
        <f>IFERROR(VLOOKUP(Master[[#This Row],[Cell_ID]],Registre_Maintenance[],6,FALSE),"")</f>
        <v>Nokia</v>
      </c>
      <c r="M434" s="1" t="str">
        <f>VLOOKUP(Master[[#This Row],[Province_RDC]],Client[],2,FALSE)</f>
        <v>CLI-01170</v>
      </c>
      <c r="N434" s="1">
        <f>VLOOKUP(Master[[#This Row],[Province_RDC]],Client[],3,FALSE)</f>
        <v>98</v>
      </c>
      <c r="O434" s="1" t="str">
        <f>VLOOKUP(Master[[#This Row],[Province_RDC]],Client[],4,FALSE)</f>
        <v>Pro Monde</v>
      </c>
      <c r="P434" s="1">
        <f>VLOOKUP(Master[[#This Row],[Province_RDC]],Client[],5,FALSE)</f>
        <v>482</v>
      </c>
      <c r="Q434" s="1">
        <f>VLOOKUP(Master[[#This Row],[Province_RDC]],Client[],6,FALSE)</f>
        <v>55.04</v>
      </c>
      <c r="R434" s="1">
        <f>VLOOKUP(Master[[#This Row],[Province_RDC]],Client[],7,FALSE)</f>
        <v>5</v>
      </c>
      <c r="S434" s="1" t="str">
        <f>IF(Master[[#This Row],[Type_Forfait]]="Pro Monde","B2B","B2C")</f>
        <v>B2B</v>
      </c>
      <c r="T434" s="1">
        <f>Master[[#This Row],[Anciennete_Mois]]/12</f>
        <v>8.1666666666666661</v>
      </c>
      <c r="U434" s="1">
        <f>Master[[#This Row],[Duree_Cumule_Panne_Min]]/60</f>
        <v>8.0333333333333332</v>
      </c>
      <c r="V43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4" s="6">
        <f>Master[[#This Row],[Facture_Mensuelle]]*Master[[#This Row],[Remise]]</f>
        <v>24.768000000000001</v>
      </c>
    </row>
    <row r="435" spans="1:24" x14ac:dyDescent="0.25">
      <c r="A435" s="1" t="s">
        <v>902</v>
      </c>
      <c r="B435" t="str">
        <f>IFERROR(VLOOKUP(Master[[#This Row],[Cell_ID]],Registre_Maintenance[],2,FALSE),"")</f>
        <v>Nord-Kivu</v>
      </c>
      <c r="C435" s="1" t="s">
        <v>927</v>
      </c>
      <c r="D435" s="2">
        <v>45221.268750000003</v>
      </c>
      <c r="E435" s="3">
        <v>45221.268750000003</v>
      </c>
      <c r="F435">
        <v>18</v>
      </c>
      <c r="G435">
        <f>Master[[#This Row],[Duree_Panne_Min]]/60</f>
        <v>0.3</v>
      </c>
      <c r="H435" s="1" t="s">
        <v>735</v>
      </c>
      <c r="I435">
        <f>IFERROR(VLOOKUP(Master[[#This Row],[Cell_ID]],Registre_Maintenance[],3,FALSE),"")</f>
        <v>-1.8555980000000001</v>
      </c>
      <c r="J435">
        <f>IFERROR(VLOOKUP(Master[[#This Row],[Cell_ID]],Registre_Maintenance[],4,FALSE),"")</f>
        <v>30.421918000000002</v>
      </c>
      <c r="K435" t="str">
        <f>IFERROR(VLOOKUP(Master[[#This Row],[Cell_ID]],Registre_Maintenance[],5,FALSE),"")</f>
        <v>3G</v>
      </c>
      <c r="L435" t="str">
        <f>IFERROR(VLOOKUP(Master[[#This Row],[Cell_ID]],Registre_Maintenance[],6,FALSE),"")</f>
        <v>ZTE</v>
      </c>
      <c r="M435" s="1" t="str">
        <f>VLOOKUP(Master[[#This Row],[Province_RDC]],Client[],2,FALSE)</f>
        <v>CLI-00837</v>
      </c>
      <c r="N435" s="1">
        <f>VLOOKUP(Master[[#This Row],[Province_RDC]],Client[],3,FALSE)</f>
        <v>16</v>
      </c>
      <c r="O435" s="1" t="str">
        <f>VLOOKUP(Master[[#This Row],[Province_RDC]],Client[],4,FALSE)</f>
        <v>Bloqué 5Go</v>
      </c>
      <c r="P435" s="1">
        <f>VLOOKUP(Master[[#This Row],[Province_RDC]],Client[],5,FALSE)</f>
        <v>390</v>
      </c>
      <c r="Q435" s="1">
        <f>VLOOKUP(Master[[#This Row],[Province_RDC]],Client[],6,FALSE)</f>
        <v>98.17</v>
      </c>
      <c r="R435" s="1">
        <f>VLOOKUP(Master[[#This Row],[Province_RDC]],Client[],7,FALSE)</f>
        <v>5</v>
      </c>
      <c r="S435" s="1" t="str">
        <f>IF(Master[[#This Row],[Type_Forfait]]="Pro Monde","B2B","B2C")</f>
        <v>B2C</v>
      </c>
      <c r="T435" s="1">
        <f>Master[[#This Row],[Anciennete_Mois]]/12</f>
        <v>1.3333333333333333</v>
      </c>
      <c r="U435" s="1">
        <f>Master[[#This Row],[Duree_Cumule_Panne_Min]]/60</f>
        <v>6.5</v>
      </c>
      <c r="V43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5" s="6">
        <f>Master[[#This Row],[Facture_Mensuelle]]*Master[[#This Row],[Remise]]</f>
        <v>44.176500000000004</v>
      </c>
    </row>
    <row r="436" spans="1:24" x14ac:dyDescent="0.25">
      <c r="A436" s="1" t="s">
        <v>1193</v>
      </c>
      <c r="B436" t="str">
        <f>IFERROR(VLOOKUP(Master[[#This Row],[Cell_ID]],Registre_Maintenance[],2,FALSE),"")</f>
        <v>Mongala</v>
      </c>
      <c r="C436" s="1" t="s">
        <v>1041</v>
      </c>
      <c r="D436" s="2">
        <v>45211.04583333333</v>
      </c>
      <c r="E436" s="3">
        <v>45211.04583333333</v>
      </c>
      <c r="F436">
        <v>18</v>
      </c>
      <c r="G436">
        <f>Master[[#This Row],[Duree_Panne_Min]]/60</f>
        <v>0.3</v>
      </c>
      <c r="H436" s="1" t="s">
        <v>737</v>
      </c>
      <c r="I436">
        <f>IFERROR(VLOOKUP(Master[[#This Row],[Cell_ID]],Registre_Maintenance[],3,FALSE),"")</f>
        <v>-5.3762689999999997</v>
      </c>
      <c r="J436">
        <f>IFERROR(VLOOKUP(Master[[#This Row],[Cell_ID]],Registre_Maintenance[],4,FALSE),"")</f>
        <v>28.189575999999999</v>
      </c>
      <c r="K436" t="str">
        <f>IFERROR(VLOOKUP(Master[[#This Row],[Cell_ID]],Registre_Maintenance[],5,FALSE),"")</f>
        <v>5G</v>
      </c>
      <c r="L436" t="str">
        <f>IFERROR(VLOOKUP(Master[[#This Row],[Cell_ID]],Registre_Maintenance[],6,FALSE),"")</f>
        <v>Huawei</v>
      </c>
      <c r="M436" s="1" t="str">
        <f>VLOOKUP(Master[[#This Row],[Province_RDC]],Client[],2,FALSE)</f>
        <v>CLI-00865</v>
      </c>
      <c r="N436" s="1">
        <f>VLOOKUP(Master[[#This Row],[Province_RDC]],Client[],3,FALSE)</f>
        <v>34</v>
      </c>
      <c r="O436" s="1" t="str">
        <f>VLOOKUP(Master[[#This Row],[Province_RDC]],Client[],4,FALSE)</f>
        <v>Pro Monde</v>
      </c>
      <c r="P436" s="1">
        <f>VLOOKUP(Master[[#This Row],[Province_RDC]],Client[],5,FALSE)</f>
        <v>453</v>
      </c>
      <c r="Q436" s="1">
        <f>VLOOKUP(Master[[#This Row],[Province_RDC]],Client[],6,FALSE)</f>
        <v>56.84</v>
      </c>
      <c r="R436" s="1">
        <f>VLOOKUP(Master[[#This Row],[Province_RDC]],Client[],7,FALSE)</f>
        <v>0</v>
      </c>
      <c r="S436" s="1" t="str">
        <f>IF(Master[[#This Row],[Type_Forfait]]="Pro Monde","B2B","B2C")</f>
        <v>B2B</v>
      </c>
      <c r="T436" s="1">
        <f>Master[[#This Row],[Anciennete_Mois]]/12</f>
        <v>2.8333333333333335</v>
      </c>
      <c r="U436" s="1">
        <f>Master[[#This Row],[Duree_Cumule_Panne_Min]]/60</f>
        <v>7.55</v>
      </c>
      <c r="V43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6" s="6">
        <f>Master[[#This Row],[Facture_Mensuelle]]*Master[[#This Row],[Remise]]</f>
        <v>25.578000000000003</v>
      </c>
    </row>
    <row r="437" spans="1:24" x14ac:dyDescent="0.25">
      <c r="A437" s="1" t="s">
        <v>1059</v>
      </c>
      <c r="B437" t="str">
        <f>IFERROR(VLOOKUP(Master[[#This Row],[Cell_ID]],Registre_Maintenance[],2,FALSE),"")</f>
        <v>Kasai</v>
      </c>
      <c r="C437" s="1" t="s">
        <v>1079</v>
      </c>
      <c r="D437" s="2">
        <v>45205.169444444437</v>
      </c>
      <c r="E437" s="3">
        <v>45205.169444444437</v>
      </c>
      <c r="F437">
        <v>18</v>
      </c>
      <c r="G437">
        <f>Master[[#This Row],[Duree_Panne_Min]]/60</f>
        <v>0.3</v>
      </c>
      <c r="H437" s="1" t="s">
        <v>735</v>
      </c>
      <c r="I437">
        <f>IFERROR(VLOOKUP(Master[[#This Row],[Cell_ID]],Registre_Maintenance[],3,FALSE),"")</f>
        <v>4.8689660000000003</v>
      </c>
      <c r="J437">
        <f>IFERROR(VLOOKUP(Master[[#This Row],[Cell_ID]],Registre_Maintenance[],4,FALSE),"")</f>
        <v>25.112373000000002</v>
      </c>
      <c r="K437" t="str">
        <f>IFERROR(VLOOKUP(Master[[#This Row],[Cell_ID]],Registre_Maintenance[],5,FALSE),"")</f>
        <v>3G</v>
      </c>
      <c r="L437" t="str">
        <f>IFERROR(VLOOKUP(Master[[#This Row],[Cell_ID]],Registre_Maintenance[],6,FALSE),"")</f>
        <v>Huawei</v>
      </c>
      <c r="M437" s="1" t="str">
        <f>VLOOKUP(Master[[#This Row],[Province_RDC]],Client[],2,FALSE)</f>
        <v>CLI-00559</v>
      </c>
      <c r="N437" s="1">
        <f>VLOOKUP(Master[[#This Row],[Province_RDC]],Client[],3,FALSE)</f>
        <v>99</v>
      </c>
      <c r="O437" s="1" t="str">
        <f>VLOOKUP(Master[[#This Row],[Province_RDC]],Client[],4,FALSE)</f>
        <v>Bloqué 5Go</v>
      </c>
      <c r="P437" s="1">
        <f>VLOOKUP(Master[[#This Row],[Province_RDC]],Client[],5,FALSE)</f>
        <v>369</v>
      </c>
      <c r="Q437" s="1">
        <f>VLOOKUP(Master[[#This Row],[Province_RDC]],Client[],6,FALSE)</f>
        <v>67.209999999999994</v>
      </c>
      <c r="R437" s="1">
        <f>VLOOKUP(Master[[#This Row],[Province_RDC]],Client[],7,FALSE)</f>
        <v>3</v>
      </c>
      <c r="S437" s="1" t="str">
        <f>IF(Master[[#This Row],[Type_Forfait]]="Pro Monde","B2B","B2C")</f>
        <v>B2C</v>
      </c>
      <c r="T437" s="1">
        <f>Master[[#This Row],[Anciennete_Mois]]/12</f>
        <v>8.25</v>
      </c>
      <c r="U437" s="1">
        <f>Master[[#This Row],[Duree_Cumule_Panne_Min]]/60</f>
        <v>6.15</v>
      </c>
      <c r="V43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7" s="6">
        <f>Master[[#This Row],[Facture_Mensuelle]]*Master[[#This Row],[Remise]]</f>
        <v>30.244499999999999</v>
      </c>
    </row>
    <row r="438" spans="1:24" x14ac:dyDescent="0.25">
      <c r="A438" s="1" t="s">
        <v>1241</v>
      </c>
      <c r="B438" t="str">
        <f>IFERROR(VLOOKUP(Master[[#This Row],[Cell_ID]],Registre_Maintenance[],2,FALSE),"")</f>
        <v>Sud-Kivu</v>
      </c>
      <c r="C438" s="1" t="s">
        <v>997</v>
      </c>
      <c r="D438" s="2">
        <v>45220.469444444447</v>
      </c>
      <c r="E438" s="3">
        <v>45220.469444444447</v>
      </c>
      <c r="F438">
        <v>17</v>
      </c>
      <c r="G438">
        <f>Master[[#This Row],[Duree_Panne_Min]]/60</f>
        <v>0.28333333333333333</v>
      </c>
      <c r="H438" s="1" t="s">
        <v>735</v>
      </c>
      <c r="I438">
        <f>IFERROR(VLOOKUP(Master[[#This Row],[Cell_ID]],Registre_Maintenance[],3,FALSE),"")</f>
        <v>-1.5419050000000001</v>
      </c>
      <c r="J438">
        <f>IFERROR(VLOOKUP(Master[[#This Row],[Cell_ID]],Registre_Maintenance[],4,FALSE),"")</f>
        <v>14.730632999999999</v>
      </c>
      <c r="K438" t="str">
        <f>IFERROR(VLOOKUP(Master[[#This Row],[Cell_ID]],Registre_Maintenance[],5,FALSE),"")</f>
        <v>3G</v>
      </c>
      <c r="L438" t="str">
        <f>IFERROR(VLOOKUP(Master[[#This Row],[Cell_ID]],Registre_Maintenance[],6,FALSE),"")</f>
        <v>ZTE</v>
      </c>
      <c r="M438" s="1" t="str">
        <f>VLOOKUP(Master[[#This Row],[Province_RDC]],Client[],2,FALSE)</f>
        <v>CLI-01855</v>
      </c>
      <c r="N438" s="1">
        <f>VLOOKUP(Master[[#This Row],[Province_RDC]],Client[],3,FALSE)</f>
        <v>101</v>
      </c>
      <c r="O438" s="1" t="str">
        <f>VLOOKUP(Master[[#This Row],[Province_RDC]],Client[],4,FALSE)</f>
        <v>Illimité 50Go</v>
      </c>
      <c r="P438" s="1">
        <f>VLOOKUP(Master[[#This Row],[Province_RDC]],Client[],5,FALSE)</f>
        <v>358</v>
      </c>
      <c r="Q438" s="1">
        <f>VLOOKUP(Master[[#This Row],[Province_RDC]],Client[],6,FALSE)</f>
        <v>29.24</v>
      </c>
      <c r="R438" s="1">
        <f>VLOOKUP(Master[[#This Row],[Province_RDC]],Client[],7,FALSE)</f>
        <v>3</v>
      </c>
      <c r="S438" s="1" t="str">
        <f>IF(Master[[#This Row],[Type_Forfait]]="Pro Monde","B2B","B2C")</f>
        <v>B2C</v>
      </c>
      <c r="T438" s="1">
        <f>Master[[#This Row],[Anciennete_Mois]]/12</f>
        <v>8.4166666666666661</v>
      </c>
      <c r="U438" s="1">
        <f>Master[[#This Row],[Duree_Cumule_Panne_Min]]/60</f>
        <v>5.9666666666666668</v>
      </c>
      <c r="V43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8" s="6">
        <f>Master[[#This Row],[Facture_Mensuelle]]*Master[[#This Row],[Remise]]</f>
        <v>13.157999999999999</v>
      </c>
    </row>
    <row r="439" spans="1:24" x14ac:dyDescent="0.25">
      <c r="A439" s="1" t="s">
        <v>1361</v>
      </c>
      <c r="B439" t="str">
        <f>IFERROR(VLOOKUP(Master[[#This Row],[Cell_ID]],Registre_Maintenance[],2,FALSE),"")</f>
        <v>Haut-Uele</v>
      </c>
      <c r="C439" s="1" t="s">
        <v>1012</v>
      </c>
      <c r="D439" s="2">
        <v>45210.689583333333</v>
      </c>
      <c r="E439" s="3">
        <v>45210.689583333333</v>
      </c>
      <c r="F439">
        <v>16</v>
      </c>
      <c r="G439">
        <f>Master[[#This Row],[Duree_Panne_Min]]/60</f>
        <v>0.26666666666666666</v>
      </c>
      <c r="H439" s="1" t="s">
        <v>732</v>
      </c>
      <c r="I439">
        <f>IFERROR(VLOOKUP(Master[[#This Row],[Cell_ID]],Registre_Maintenance[],3,FALSE),"")</f>
        <v>-4.869434</v>
      </c>
      <c r="J439">
        <f>IFERROR(VLOOKUP(Master[[#This Row],[Cell_ID]],Registre_Maintenance[],4,FALSE),"")</f>
        <v>22.326522000000001</v>
      </c>
      <c r="K439" t="str">
        <f>IFERROR(VLOOKUP(Master[[#This Row],[Cell_ID]],Registre_Maintenance[],5,FALSE),"")</f>
        <v>5G</v>
      </c>
      <c r="L439" t="str">
        <f>IFERROR(VLOOKUP(Master[[#This Row],[Cell_ID]],Registre_Maintenance[],6,FALSE),"")</f>
        <v>Ericsson</v>
      </c>
      <c r="M439" s="1" t="str">
        <f>VLOOKUP(Master[[#This Row],[Province_RDC]],Client[],2,FALSE)</f>
        <v>CLI-00439</v>
      </c>
      <c r="N439" s="1">
        <f>VLOOKUP(Master[[#This Row],[Province_RDC]],Client[],3,FALSE)</f>
        <v>40</v>
      </c>
      <c r="O439" s="1" t="str">
        <f>VLOOKUP(Master[[#This Row],[Province_RDC]],Client[],4,FALSE)</f>
        <v>Premium 5G 150Go</v>
      </c>
      <c r="P439" s="1">
        <f>VLOOKUP(Master[[#This Row],[Province_RDC]],Client[],5,FALSE)</f>
        <v>345</v>
      </c>
      <c r="Q439" s="1">
        <f>VLOOKUP(Master[[#This Row],[Province_RDC]],Client[],6,FALSE)</f>
        <v>89.55</v>
      </c>
      <c r="R439" s="1">
        <f>VLOOKUP(Master[[#This Row],[Province_RDC]],Client[],7,FALSE)</f>
        <v>3</v>
      </c>
      <c r="S439" s="1" t="str">
        <f>IF(Master[[#This Row],[Type_Forfait]]="Pro Monde","B2B","B2C")</f>
        <v>B2C</v>
      </c>
      <c r="T439" s="1">
        <f>Master[[#This Row],[Anciennete_Mois]]/12</f>
        <v>3.3333333333333335</v>
      </c>
      <c r="U439" s="1">
        <f>Master[[#This Row],[Duree_Cumule_Panne_Min]]/60</f>
        <v>5.75</v>
      </c>
      <c r="V43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3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39" s="6">
        <f>Master[[#This Row],[Facture_Mensuelle]]*Master[[#This Row],[Remise]]</f>
        <v>40.297499999999999</v>
      </c>
    </row>
    <row r="440" spans="1:24" x14ac:dyDescent="0.25">
      <c r="A440" s="1" t="s">
        <v>902</v>
      </c>
      <c r="B440" t="str">
        <f>IFERROR(VLOOKUP(Master[[#This Row],[Cell_ID]],Registre_Maintenance[],2,FALSE),"")</f>
        <v>Haut-Lomami</v>
      </c>
      <c r="C440" s="1" t="s">
        <v>923</v>
      </c>
      <c r="D440" s="2">
        <v>45214.943055555559</v>
      </c>
      <c r="E440" s="3">
        <v>45214.943055555559</v>
      </c>
      <c r="F440">
        <v>16</v>
      </c>
      <c r="G440">
        <f>Master[[#This Row],[Duree_Panne_Min]]/60</f>
        <v>0.26666666666666666</v>
      </c>
      <c r="H440" s="1" t="s">
        <v>732</v>
      </c>
      <c r="I440">
        <f>IFERROR(VLOOKUP(Master[[#This Row],[Cell_ID]],Registre_Maintenance[],3,FALSE),"")</f>
        <v>1.210869</v>
      </c>
      <c r="J440">
        <f>IFERROR(VLOOKUP(Master[[#This Row],[Cell_ID]],Registre_Maintenance[],4,FALSE),"")</f>
        <v>25.598741</v>
      </c>
      <c r="K440" t="str">
        <f>IFERROR(VLOOKUP(Master[[#This Row],[Cell_ID]],Registre_Maintenance[],5,FALSE),"")</f>
        <v>4G</v>
      </c>
      <c r="L440" t="str">
        <f>IFERROR(VLOOKUP(Master[[#This Row],[Cell_ID]],Registre_Maintenance[],6,FALSE),"")</f>
        <v>Ericsson</v>
      </c>
      <c r="M440" s="1" t="str">
        <f>VLOOKUP(Master[[#This Row],[Province_RDC]],Client[],2,FALSE)</f>
        <v>CLI-01325</v>
      </c>
      <c r="N440" s="1">
        <f>VLOOKUP(Master[[#This Row],[Province_RDC]],Client[],3,FALSE)</f>
        <v>44</v>
      </c>
      <c r="O440" s="1" t="str">
        <f>VLOOKUP(Master[[#This Row],[Province_RDC]],Client[],4,FALSE)</f>
        <v>Bloqué 5Go</v>
      </c>
      <c r="P440" s="1">
        <f>VLOOKUP(Master[[#This Row],[Province_RDC]],Client[],5,FALSE)</f>
        <v>348</v>
      </c>
      <c r="Q440" s="1">
        <f>VLOOKUP(Master[[#This Row],[Province_RDC]],Client[],6,FALSE)</f>
        <v>58.67</v>
      </c>
      <c r="R440" s="1">
        <f>VLOOKUP(Master[[#This Row],[Province_RDC]],Client[],7,FALSE)</f>
        <v>0</v>
      </c>
      <c r="S440" s="1" t="str">
        <f>IF(Master[[#This Row],[Type_Forfait]]="Pro Monde","B2B","B2C")</f>
        <v>B2C</v>
      </c>
      <c r="T440" s="1">
        <f>Master[[#This Row],[Anciennete_Mois]]/12</f>
        <v>3.6666666666666665</v>
      </c>
      <c r="U440" s="1">
        <f>Master[[#This Row],[Duree_Cumule_Panne_Min]]/60</f>
        <v>5.8</v>
      </c>
      <c r="V44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0" s="6">
        <f>Master[[#This Row],[Facture_Mensuelle]]*Master[[#This Row],[Remise]]</f>
        <v>26.401500000000002</v>
      </c>
    </row>
    <row r="441" spans="1:24" x14ac:dyDescent="0.25">
      <c r="A441" s="1" t="s">
        <v>1404</v>
      </c>
      <c r="B441" t="str">
        <f>IFERROR(VLOOKUP(Master[[#This Row],[Cell_ID]],Registre_Maintenance[],2,FALSE),"")</f>
        <v>Nord-Kivu</v>
      </c>
      <c r="C441" s="1" t="s">
        <v>927</v>
      </c>
      <c r="D441" s="2">
        <v>45218.331944444442</v>
      </c>
      <c r="E441" s="3">
        <v>45218.331944444442</v>
      </c>
      <c r="F441">
        <v>15</v>
      </c>
      <c r="G441">
        <f>Master[[#This Row],[Duree_Panne_Min]]/60</f>
        <v>0.25</v>
      </c>
      <c r="H441" s="1" t="s">
        <v>737</v>
      </c>
      <c r="I441">
        <f>IFERROR(VLOOKUP(Master[[#This Row],[Cell_ID]],Registre_Maintenance[],3,FALSE),"")</f>
        <v>-1.8555980000000001</v>
      </c>
      <c r="J441">
        <f>IFERROR(VLOOKUP(Master[[#This Row],[Cell_ID]],Registre_Maintenance[],4,FALSE),"")</f>
        <v>30.421918000000002</v>
      </c>
      <c r="K441" t="str">
        <f>IFERROR(VLOOKUP(Master[[#This Row],[Cell_ID]],Registre_Maintenance[],5,FALSE),"")</f>
        <v>3G</v>
      </c>
      <c r="L441" t="str">
        <f>IFERROR(VLOOKUP(Master[[#This Row],[Cell_ID]],Registre_Maintenance[],6,FALSE),"")</f>
        <v>ZTE</v>
      </c>
      <c r="M441" s="1" t="str">
        <f>VLOOKUP(Master[[#This Row],[Province_RDC]],Client[],2,FALSE)</f>
        <v>CLI-00837</v>
      </c>
      <c r="N441" s="1">
        <f>VLOOKUP(Master[[#This Row],[Province_RDC]],Client[],3,FALSE)</f>
        <v>16</v>
      </c>
      <c r="O441" s="1" t="str">
        <f>VLOOKUP(Master[[#This Row],[Province_RDC]],Client[],4,FALSE)</f>
        <v>Bloqué 5Go</v>
      </c>
      <c r="P441" s="1">
        <f>VLOOKUP(Master[[#This Row],[Province_RDC]],Client[],5,FALSE)</f>
        <v>390</v>
      </c>
      <c r="Q441" s="1">
        <f>VLOOKUP(Master[[#This Row],[Province_RDC]],Client[],6,FALSE)</f>
        <v>98.17</v>
      </c>
      <c r="R441" s="1">
        <f>VLOOKUP(Master[[#This Row],[Province_RDC]],Client[],7,FALSE)</f>
        <v>5</v>
      </c>
      <c r="S441" s="1" t="str">
        <f>IF(Master[[#This Row],[Type_Forfait]]="Pro Monde","B2B","B2C")</f>
        <v>B2C</v>
      </c>
      <c r="T441" s="1">
        <f>Master[[#This Row],[Anciennete_Mois]]/12</f>
        <v>1.3333333333333333</v>
      </c>
      <c r="U441" s="1">
        <f>Master[[#This Row],[Duree_Cumule_Panne_Min]]/60</f>
        <v>6.5</v>
      </c>
      <c r="V44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1" s="6">
        <f>Master[[#This Row],[Facture_Mensuelle]]*Master[[#This Row],[Remise]]</f>
        <v>44.176500000000004</v>
      </c>
    </row>
    <row r="442" spans="1:24" x14ac:dyDescent="0.25">
      <c r="A442" s="1" t="s">
        <v>1059</v>
      </c>
      <c r="B442" t="str">
        <f>IFERROR(VLOOKUP(Master[[#This Row],[Cell_ID]],Registre_Maintenance[],2,FALSE),"")</f>
        <v>Kwango</v>
      </c>
      <c r="C442" s="1" t="s">
        <v>1072</v>
      </c>
      <c r="D442" s="2">
        <v>45207.987500000003</v>
      </c>
      <c r="E442" s="3">
        <v>45207.987500000003</v>
      </c>
      <c r="F442">
        <v>15</v>
      </c>
      <c r="G442">
        <f>Master[[#This Row],[Duree_Panne_Min]]/60</f>
        <v>0.25</v>
      </c>
      <c r="H442" s="1" t="s">
        <v>735</v>
      </c>
      <c r="I442">
        <f>IFERROR(VLOOKUP(Master[[#This Row],[Cell_ID]],Registre_Maintenance[],3,FALSE),"")</f>
        <v>-9.0798120000000004</v>
      </c>
      <c r="J442">
        <f>IFERROR(VLOOKUP(Master[[#This Row],[Cell_ID]],Registre_Maintenance[],4,FALSE),"")</f>
        <v>14.945484</v>
      </c>
      <c r="K442" t="str">
        <f>IFERROR(VLOOKUP(Master[[#This Row],[Cell_ID]],Registre_Maintenance[],5,FALSE),"")</f>
        <v>5G</v>
      </c>
      <c r="L442" t="str">
        <f>IFERROR(VLOOKUP(Master[[#This Row],[Cell_ID]],Registre_Maintenance[],6,FALSE),"")</f>
        <v>Ericsson</v>
      </c>
      <c r="M442" s="1" t="str">
        <f>VLOOKUP(Master[[#This Row],[Province_RDC]],Client[],2,FALSE)</f>
        <v>CLI-00569</v>
      </c>
      <c r="N442" s="1">
        <f>VLOOKUP(Master[[#This Row],[Province_RDC]],Client[],3,FALSE)</f>
        <v>110</v>
      </c>
      <c r="O442" s="1" t="str">
        <f>VLOOKUP(Master[[#This Row],[Province_RDC]],Client[],4,FALSE)</f>
        <v>Pro Monde</v>
      </c>
      <c r="P442" s="1">
        <f>VLOOKUP(Master[[#This Row],[Province_RDC]],Client[],5,FALSE)</f>
        <v>423</v>
      </c>
      <c r="Q442" s="1">
        <f>VLOOKUP(Master[[#This Row],[Province_RDC]],Client[],6,FALSE)</f>
        <v>37.35</v>
      </c>
      <c r="R442" s="1">
        <f>VLOOKUP(Master[[#This Row],[Province_RDC]],Client[],7,FALSE)</f>
        <v>4</v>
      </c>
      <c r="S442" s="1" t="str">
        <f>IF(Master[[#This Row],[Type_Forfait]]="Pro Monde","B2B","B2C")</f>
        <v>B2B</v>
      </c>
      <c r="T442" s="1">
        <f>Master[[#This Row],[Anciennete_Mois]]/12</f>
        <v>9.1666666666666661</v>
      </c>
      <c r="U442" s="1">
        <f>Master[[#This Row],[Duree_Cumule_Panne_Min]]/60</f>
        <v>7.05</v>
      </c>
      <c r="V44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2" s="6">
        <f>Master[[#This Row],[Facture_Mensuelle]]*Master[[#This Row],[Remise]]</f>
        <v>16.807500000000001</v>
      </c>
    </row>
    <row r="443" spans="1:24" x14ac:dyDescent="0.25">
      <c r="A443" s="1" t="s">
        <v>1059</v>
      </c>
      <c r="B443" t="str">
        <f>IFERROR(VLOOKUP(Master[[#This Row],[Cell_ID]],Registre_Maintenance[],2,FALSE),"")</f>
        <v>Equateur</v>
      </c>
      <c r="C443" s="1" t="s">
        <v>1080</v>
      </c>
      <c r="D443" s="2">
        <v>45222.584722222222</v>
      </c>
      <c r="E443" s="3">
        <v>45222.584722222222</v>
      </c>
      <c r="F443">
        <v>15</v>
      </c>
      <c r="G443">
        <f>Master[[#This Row],[Duree_Panne_Min]]/60</f>
        <v>0.25</v>
      </c>
      <c r="H443" s="1" t="s">
        <v>737</v>
      </c>
      <c r="I443">
        <f>IFERROR(VLOOKUP(Master[[#This Row],[Cell_ID]],Registre_Maintenance[],3,FALSE),"")</f>
        <v>-9.1215879999999991</v>
      </c>
      <c r="J443">
        <f>IFERROR(VLOOKUP(Master[[#This Row],[Cell_ID]],Registre_Maintenance[],4,FALSE),"")</f>
        <v>16.457916999999998</v>
      </c>
      <c r="K443" t="str">
        <f>IFERROR(VLOOKUP(Master[[#This Row],[Cell_ID]],Registre_Maintenance[],5,FALSE),"")</f>
        <v>4G</v>
      </c>
      <c r="L443" t="str">
        <f>IFERROR(VLOOKUP(Master[[#This Row],[Cell_ID]],Registre_Maintenance[],6,FALSE),"")</f>
        <v>Nokia</v>
      </c>
      <c r="M443" s="1" t="str">
        <f>VLOOKUP(Master[[#This Row],[Province_RDC]],Client[],2,FALSE)</f>
        <v>CLI-00643</v>
      </c>
      <c r="N443" s="1">
        <f>VLOOKUP(Master[[#This Row],[Province_RDC]],Client[],3,FALSE)</f>
        <v>14</v>
      </c>
      <c r="O443" s="1" t="str">
        <f>VLOOKUP(Master[[#This Row],[Province_RDC]],Client[],4,FALSE)</f>
        <v>Pro Monde</v>
      </c>
      <c r="P443" s="1">
        <f>VLOOKUP(Master[[#This Row],[Province_RDC]],Client[],5,FALSE)</f>
        <v>316</v>
      </c>
      <c r="Q443" s="1">
        <f>VLOOKUP(Master[[#This Row],[Province_RDC]],Client[],6,FALSE)</f>
        <v>62.34</v>
      </c>
      <c r="R443" s="1">
        <f>VLOOKUP(Master[[#This Row],[Province_RDC]],Client[],7,FALSE)</f>
        <v>4</v>
      </c>
      <c r="S443" s="1" t="str">
        <f>IF(Master[[#This Row],[Type_Forfait]]="Pro Monde","B2B","B2C")</f>
        <v>B2B</v>
      </c>
      <c r="T443" s="1">
        <f>Master[[#This Row],[Anciennete_Mois]]/12</f>
        <v>1.1666666666666667</v>
      </c>
      <c r="U443" s="1">
        <f>Master[[#This Row],[Duree_Cumule_Panne_Min]]/60</f>
        <v>5.2666666666666666</v>
      </c>
      <c r="V44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3" s="6">
        <f>Master[[#This Row],[Facture_Mensuelle]]*Master[[#This Row],[Remise]]</f>
        <v>28.053000000000001</v>
      </c>
    </row>
    <row r="444" spans="1:24" x14ac:dyDescent="0.25">
      <c r="A444" s="1" t="s">
        <v>1138</v>
      </c>
      <c r="B444" t="str">
        <f>IFERROR(VLOOKUP(Master[[#This Row],[Cell_ID]],Registre_Maintenance[],2,FALSE),"")</f>
        <v>Tshuapa</v>
      </c>
      <c r="C444" s="1" t="s">
        <v>1143</v>
      </c>
      <c r="D444" s="2">
        <v>45224.347916666673</v>
      </c>
      <c r="E444" s="3">
        <v>45224.347916666673</v>
      </c>
      <c r="F444">
        <v>14</v>
      </c>
      <c r="G444">
        <f>Master[[#This Row],[Duree_Panne_Min]]/60</f>
        <v>0.23333333333333334</v>
      </c>
      <c r="H444" s="1" t="s">
        <v>732</v>
      </c>
      <c r="I444">
        <f>IFERROR(VLOOKUP(Master[[#This Row],[Cell_ID]],Registre_Maintenance[],3,FALSE),"")</f>
        <v>-7.789663</v>
      </c>
      <c r="J444">
        <f>IFERROR(VLOOKUP(Master[[#This Row],[Cell_ID]],Registre_Maintenance[],4,FALSE),"")</f>
        <v>26.529098000000001</v>
      </c>
      <c r="K444" t="str">
        <f>IFERROR(VLOOKUP(Master[[#This Row],[Cell_ID]],Registre_Maintenance[],5,FALSE),"")</f>
        <v>5G</v>
      </c>
      <c r="L444" t="str">
        <f>IFERROR(VLOOKUP(Master[[#This Row],[Cell_ID]],Registre_Maintenance[],6,FALSE),"")</f>
        <v>Nokia</v>
      </c>
      <c r="M444" s="1" t="str">
        <f>VLOOKUP(Master[[#This Row],[Province_RDC]],Client[],2,FALSE)</f>
        <v>CLI-00894</v>
      </c>
      <c r="N444" s="1">
        <f>VLOOKUP(Master[[#This Row],[Province_RDC]],Client[],3,FALSE)</f>
        <v>63</v>
      </c>
      <c r="O444" s="1" t="str">
        <f>VLOOKUP(Master[[#This Row],[Province_RDC]],Client[],4,FALSE)</f>
        <v>Pro Monde</v>
      </c>
      <c r="P444" s="1">
        <f>VLOOKUP(Master[[#This Row],[Province_RDC]],Client[],5,FALSE)</f>
        <v>205</v>
      </c>
      <c r="Q444" s="1">
        <f>VLOOKUP(Master[[#This Row],[Province_RDC]],Client[],6,FALSE)</f>
        <v>89.19</v>
      </c>
      <c r="R444" s="1">
        <f>VLOOKUP(Master[[#This Row],[Province_RDC]],Client[],7,FALSE)</f>
        <v>0</v>
      </c>
      <c r="S444" s="1" t="str">
        <f>IF(Master[[#This Row],[Type_Forfait]]="Pro Monde","B2B","B2C")</f>
        <v>B2B</v>
      </c>
      <c r="T444" s="1">
        <f>Master[[#This Row],[Anciennete_Mois]]/12</f>
        <v>5.25</v>
      </c>
      <c r="U444" s="1">
        <f>Master[[#This Row],[Duree_Cumule_Panne_Min]]/60</f>
        <v>3.4166666666666665</v>
      </c>
      <c r="V44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4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44" s="6">
        <f>Master[[#This Row],[Facture_Mensuelle]]*Master[[#This Row],[Remise]]</f>
        <v>8.9190000000000005</v>
      </c>
    </row>
    <row r="445" spans="1:24" x14ac:dyDescent="0.25">
      <c r="A445" s="1" t="s">
        <v>999</v>
      </c>
      <c r="B445" t="str">
        <f>IFERROR(VLOOKUP(Master[[#This Row],[Cell_ID]],Registre_Maintenance[],2,FALSE),"")</f>
        <v>Tshuapa</v>
      </c>
      <c r="C445" s="1" t="s">
        <v>1015</v>
      </c>
      <c r="D445" s="2">
        <v>45223.450694444437</v>
      </c>
      <c r="E445" s="3">
        <v>45223.450694444437</v>
      </c>
      <c r="F445">
        <v>14</v>
      </c>
      <c r="G445">
        <f>Master[[#This Row],[Duree_Panne_Min]]/60</f>
        <v>0.23333333333333334</v>
      </c>
      <c r="H445" s="1" t="s">
        <v>737</v>
      </c>
      <c r="I445">
        <f>IFERROR(VLOOKUP(Master[[#This Row],[Cell_ID]],Registre_Maintenance[],3,FALSE),"")</f>
        <v>-2.571777</v>
      </c>
      <c r="J445">
        <f>IFERROR(VLOOKUP(Master[[#This Row],[Cell_ID]],Registre_Maintenance[],4,FALSE),"")</f>
        <v>12.120642</v>
      </c>
      <c r="K445" t="str">
        <f>IFERROR(VLOOKUP(Master[[#This Row],[Cell_ID]],Registre_Maintenance[],5,FALSE),"")</f>
        <v>3G</v>
      </c>
      <c r="L445" t="str">
        <f>IFERROR(VLOOKUP(Master[[#This Row],[Cell_ID]],Registre_Maintenance[],6,FALSE),"")</f>
        <v>Huawei</v>
      </c>
      <c r="M445" s="1" t="str">
        <f>VLOOKUP(Master[[#This Row],[Province_RDC]],Client[],2,FALSE)</f>
        <v>CLI-00894</v>
      </c>
      <c r="N445" s="1">
        <f>VLOOKUP(Master[[#This Row],[Province_RDC]],Client[],3,FALSE)</f>
        <v>63</v>
      </c>
      <c r="O445" s="1" t="str">
        <f>VLOOKUP(Master[[#This Row],[Province_RDC]],Client[],4,FALSE)</f>
        <v>Pro Monde</v>
      </c>
      <c r="P445" s="1">
        <f>VLOOKUP(Master[[#This Row],[Province_RDC]],Client[],5,FALSE)</f>
        <v>205</v>
      </c>
      <c r="Q445" s="1">
        <f>VLOOKUP(Master[[#This Row],[Province_RDC]],Client[],6,FALSE)</f>
        <v>89.19</v>
      </c>
      <c r="R445" s="1">
        <f>VLOOKUP(Master[[#This Row],[Province_RDC]],Client[],7,FALSE)</f>
        <v>0</v>
      </c>
      <c r="S445" s="1" t="str">
        <f>IF(Master[[#This Row],[Type_Forfait]]="Pro Monde","B2B","B2C")</f>
        <v>B2B</v>
      </c>
      <c r="T445" s="1">
        <f>Master[[#This Row],[Anciennete_Mois]]/12</f>
        <v>5.25</v>
      </c>
      <c r="U445" s="1">
        <f>Master[[#This Row],[Duree_Cumule_Panne_Min]]/60</f>
        <v>3.4166666666666665</v>
      </c>
      <c r="V44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4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45" s="6">
        <f>Master[[#This Row],[Facture_Mensuelle]]*Master[[#This Row],[Remise]]</f>
        <v>8.9190000000000005</v>
      </c>
    </row>
    <row r="446" spans="1:24" x14ac:dyDescent="0.25">
      <c r="A446" s="1" t="s">
        <v>1165</v>
      </c>
      <c r="B446" t="str">
        <f>IFERROR(VLOOKUP(Master[[#This Row],[Cell_ID]],Registre_Maintenance[],2,FALSE),"")</f>
        <v>Tanganyika</v>
      </c>
      <c r="C446" s="1" t="s">
        <v>762</v>
      </c>
      <c r="D446" s="2">
        <v>45221.717361111107</v>
      </c>
      <c r="E446" s="3">
        <v>45221.717361111107</v>
      </c>
      <c r="F446">
        <v>14</v>
      </c>
      <c r="G446">
        <f>Master[[#This Row],[Duree_Panne_Min]]/60</f>
        <v>0.23333333333333334</v>
      </c>
      <c r="H446" s="1" t="s">
        <v>732</v>
      </c>
      <c r="I446">
        <f>IFERROR(VLOOKUP(Master[[#This Row],[Cell_ID]],Registre_Maintenance[],3,FALSE),"")</f>
        <v>-2.4662510000000002</v>
      </c>
      <c r="J446">
        <f>IFERROR(VLOOKUP(Master[[#This Row],[Cell_ID]],Registre_Maintenance[],4,FALSE),"")</f>
        <v>18.007998000000001</v>
      </c>
      <c r="K446" t="str">
        <f>IFERROR(VLOOKUP(Master[[#This Row],[Cell_ID]],Registre_Maintenance[],5,FALSE),"")</f>
        <v>5G</v>
      </c>
      <c r="L446" t="str">
        <f>IFERROR(VLOOKUP(Master[[#This Row],[Cell_ID]],Registre_Maintenance[],6,FALSE),"")</f>
        <v>Ericsson</v>
      </c>
      <c r="M446" s="1" t="str">
        <f>VLOOKUP(Master[[#This Row],[Province_RDC]],Client[],2,FALSE)</f>
        <v>CLI-01618</v>
      </c>
      <c r="N446" s="1">
        <f>VLOOKUP(Master[[#This Row],[Province_RDC]],Client[],3,FALSE)</f>
        <v>115</v>
      </c>
      <c r="O446" s="1" t="str">
        <f>VLOOKUP(Master[[#This Row],[Province_RDC]],Client[],4,FALSE)</f>
        <v>Bloqué 5Go</v>
      </c>
      <c r="P446" s="1">
        <f>VLOOKUP(Master[[#This Row],[Province_RDC]],Client[],5,FALSE)</f>
        <v>176</v>
      </c>
      <c r="Q446" s="1">
        <f>VLOOKUP(Master[[#This Row],[Province_RDC]],Client[],6,FALSE)</f>
        <v>33.28</v>
      </c>
      <c r="R446" s="1">
        <f>VLOOKUP(Master[[#This Row],[Province_RDC]],Client[],7,FALSE)</f>
        <v>4</v>
      </c>
      <c r="S446" s="1" t="str">
        <f>IF(Master[[#This Row],[Type_Forfait]]="Pro Monde","B2B","B2C")</f>
        <v>B2C</v>
      </c>
      <c r="T446" s="1">
        <f>Master[[#This Row],[Anciennete_Mois]]/12</f>
        <v>9.5833333333333339</v>
      </c>
      <c r="U446" s="1">
        <f>Master[[#This Row],[Duree_Cumule_Panne_Min]]/60</f>
        <v>2.9333333333333331</v>
      </c>
      <c r="V44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4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46" s="6">
        <f>Master[[#This Row],[Facture_Mensuelle]]*Master[[#This Row],[Remise]]</f>
        <v>0</v>
      </c>
    </row>
    <row r="447" spans="1:24" x14ac:dyDescent="0.25">
      <c r="A447" s="1" t="s">
        <v>1361</v>
      </c>
      <c r="B447" t="str">
        <f>IFERROR(VLOOKUP(Master[[#This Row],[Cell_ID]],Registre_Maintenance[],2,FALSE),"")</f>
        <v>Kinshasa</v>
      </c>
      <c r="C447" s="1" t="s">
        <v>1364</v>
      </c>
      <c r="D447" s="2">
        <v>45230.595138888893</v>
      </c>
      <c r="E447" s="3">
        <v>45230.595138888893</v>
      </c>
      <c r="F447">
        <v>14</v>
      </c>
      <c r="G447">
        <f>Master[[#This Row],[Duree_Panne_Min]]/60</f>
        <v>0.23333333333333334</v>
      </c>
      <c r="H447" s="1" t="s">
        <v>732</v>
      </c>
      <c r="I447">
        <f>IFERROR(VLOOKUP(Master[[#This Row],[Cell_ID]],Registre_Maintenance[],3,FALSE),"")</f>
        <v>-7.1079169999999996</v>
      </c>
      <c r="J447">
        <f>IFERROR(VLOOKUP(Master[[#This Row],[Cell_ID]],Registre_Maintenance[],4,FALSE),"")</f>
        <v>13.636272</v>
      </c>
      <c r="K447" t="str">
        <f>IFERROR(VLOOKUP(Master[[#This Row],[Cell_ID]],Registre_Maintenance[],5,FALSE),"")</f>
        <v>5G</v>
      </c>
      <c r="L447" t="str">
        <f>IFERROR(VLOOKUP(Master[[#This Row],[Cell_ID]],Registre_Maintenance[],6,FALSE),"")</f>
        <v>Nokia</v>
      </c>
      <c r="M447" s="1" t="str">
        <f>VLOOKUP(Master[[#This Row],[Province_RDC]],Client[],2,FALSE)</f>
        <v>CLI-00611</v>
      </c>
      <c r="N447" s="1">
        <f>VLOOKUP(Master[[#This Row],[Province_RDC]],Client[],3,FALSE)</f>
        <v>79</v>
      </c>
      <c r="O447" s="1" t="str">
        <f>VLOOKUP(Master[[#This Row],[Province_RDC]],Client[],4,FALSE)</f>
        <v>Premium 5G 150Go</v>
      </c>
      <c r="P447" s="1">
        <f>VLOOKUP(Master[[#This Row],[Province_RDC]],Client[],5,FALSE)</f>
        <v>226</v>
      </c>
      <c r="Q447" s="1">
        <f>VLOOKUP(Master[[#This Row],[Province_RDC]],Client[],6,FALSE)</f>
        <v>94.38</v>
      </c>
      <c r="R447" s="1">
        <f>VLOOKUP(Master[[#This Row],[Province_RDC]],Client[],7,FALSE)</f>
        <v>3</v>
      </c>
      <c r="S447" s="1" t="str">
        <f>IF(Master[[#This Row],[Type_Forfait]]="Pro Monde","B2B","B2C")</f>
        <v>B2C</v>
      </c>
      <c r="T447" s="1">
        <f>Master[[#This Row],[Anciennete_Mois]]/12</f>
        <v>6.583333333333333</v>
      </c>
      <c r="U447" s="1">
        <f>Master[[#This Row],[Duree_Cumule_Panne_Min]]/60</f>
        <v>3.7666666666666666</v>
      </c>
      <c r="V44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47" s="6">
        <f>Master[[#This Row],[Facture_Mensuelle]]*Master[[#This Row],[Remise]]</f>
        <v>0</v>
      </c>
    </row>
    <row r="448" spans="1:24" x14ac:dyDescent="0.25">
      <c r="A448" s="1" t="s">
        <v>1138</v>
      </c>
      <c r="B448" t="str">
        <f>IFERROR(VLOOKUP(Master[[#This Row],[Cell_ID]],Registre_Maintenance[],2,FALSE),"")</f>
        <v>Tshuapa</v>
      </c>
      <c r="C448" s="1" t="s">
        <v>1146</v>
      </c>
      <c r="D448" s="2">
        <v>45203.59652777778</v>
      </c>
      <c r="E448" s="3">
        <v>45203.59652777778</v>
      </c>
      <c r="F448">
        <v>13</v>
      </c>
      <c r="G448">
        <f>Master[[#This Row],[Duree_Panne_Min]]/60</f>
        <v>0.21666666666666667</v>
      </c>
      <c r="H448" s="1" t="s">
        <v>735</v>
      </c>
      <c r="I448">
        <f>IFERROR(VLOOKUP(Master[[#This Row],[Cell_ID]],Registre_Maintenance[],3,FALSE),"")</f>
        <v>-1.9540519999999999</v>
      </c>
      <c r="J448">
        <f>IFERROR(VLOOKUP(Master[[#This Row],[Cell_ID]],Registre_Maintenance[],4,FALSE),"")</f>
        <v>12.667945</v>
      </c>
      <c r="K448" t="str">
        <f>IFERROR(VLOOKUP(Master[[#This Row],[Cell_ID]],Registre_Maintenance[],5,FALSE),"")</f>
        <v>4G</v>
      </c>
      <c r="L448" t="str">
        <f>IFERROR(VLOOKUP(Master[[#This Row],[Cell_ID]],Registre_Maintenance[],6,FALSE),"")</f>
        <v>Huawei</v>
      </c>
      <c r="M448" s="1" t="str">
        <f>VLOOKUP(Master[[#This Row],[Province_RDC]],Client[],2,FALSE)</f>
        <v>CLI-00894</v>
      </c>
      <c r="N448" s="1">
        <f>VLOOKUP(Master[[#This Row],[Province_RDC]],Client[],3,FALSE)</f>
        <v>63</v>
      </c>
      <c r="O448" s="1" t="str">
        <f>VLOOKUP(Master[[#This Row],[Province_RDC]],Client[],4,FALSE)</f>
        <v>Pro Monde</v>
      </c>
      <c r="P448" s="1">
        <f>VLOOKUP(Master[[#This Row],[Province_RDC]],Client[],5,FALSE)</f>
        <v>205</v>
      </c>
      <c r="Q448" s="1">
        <f>VLOOKUP(Master[[#This Row],[Province_RDC]],Client[],6,FALSE)</f>
        <v>89.19</v>
      </c>
      <c r="R448" s="1">
        <f>VLOOKUP(Master[[#This Row],[Province_RDC]],Client[],7,FALSE)</f>
        <v>0</v>
      </c>
      <c r="S448" s="1" t="str">
        <f>IF(Master[[#This Row],[Type_Forfait]]="Pro Monde","B2B","B2C")</f>
        <v>B2B</v>
      </c>
      <c r="T448" s="1">
        <f>Master[[#This Row],[Anciennete_Mois]]/12</f>
        <v>5.25</v>
      </c>
      <c r="U448" s="1">
        <f>Master[[#This Row],[Duree_Cumule_Panne_Min]]/60</f>
        <v>3.4166666666666665</v>
      </c>
      <c r="V44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4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48" s="6">
        <f>Master[[#This Row],[Facture_Mensuelle]]*Master[[#This Row],[Remise]]</f>
        <v>8.9190000000000005</v>
      </c>
    </row>
    <row r="449" spans="1:24" x14ac:dyDescent="0.25">
      <c r="A449" s="1" t="s">
        <v>1241</v>
      </c>
      <c r="B449" t="str">
        <f>IFERROR(VLOOKUP(Master[[#This Row],[Cell_ID]],Registre_Maintenance[],2,FALSE),"")</f>
        <v>Bas-Uele</v>
      </c>
      <c r="C449" s="1" t="s">
        <v>1057</v>
      </c>
      <c r="D449" s="2">
        <v>45216.970138888893</v>
      </c>
      <c r="E449" s="3">
        <v>45216.970138888893</v>
      </c>
      <c r="F449">
        <v>13</v>
      </c>
      <c r="G449">
        <f>Master[[#This Row],[Duree_Panne_Min]]/60</f>
        <v>0.21666666666666667</v>
      </c>
      <c r="H449" s="1" t="s">
        <v>737</v>
      </c>
      <c r="I449">
        <f>IFERROR(VLOOKUP(Master[[#This Row],[Cell_ID]],Registre_Maintenance[],3,FALSE),"")</f>
        <v>-6.4197189999999997</v>
      </c>
      <c r="J449">
        <f>IFERROR(VLOOKUP(Master[[#This Row],[Cell_ID]],Registre_Maintenance[],4,FALSE),"")</f>
        <v>22.287264</v>
      </c>
      <c r="K449" t="str">
        <f>IFERROR(VLOOKUP(Master[[#This Row],[Cell_ID]],Registre_Maintenance[],5,FALSE),"")</f>
        <v>3G</v>
      </c>
      <c r="L449" t="str">
        <f>IFERROR(VLOOKUP(Master[[#This Row],[Cell_ID]],Registre_Maintenance[],6,FALSE),"")</f>
        <v>Ericsson</v>
      </c>
      <c r="M449" s="1" t="str">
        <f>VLOOKUP(Master[[#This Row],[Province_RDC]],Client[],2,FALSE)</f>
        <v>CLI-01128</v>
      </c>
      <c r="N449" s="1">
        <f>VLOOKUP(Master[[#This Row],[Province_RDC]],Client[],3,FALSE)</f>
        <v>112</v>
      </c>
      <c r="O449" s="1" t="str">
        <f>VLOOKUP(Master[[#This Row],[Province_RDC]],Client[],4,FALSE)</f>
        <v>Premium 5G 150Go</v>
      </c>
      <c r="P449" s="1">
        <f>VLOOKUP(Master[[#This Row],[Province_RDC]],Client[],5,FALSE)</f>
        <v>460</v>
      </c>
      <c r="Q449" s="1">
        <f>VLOOKUP(Master[[#This Row],[Province_RDC]],Client[],6,FALSE)</f>
        <v>55.47</v>
      </c>
      <c r="R449" s="1">
        <f>VLOOKUP(Master[[#This Row],[Province_RDC]],Client[],7,FALSE)</f>
        <v>4</v>
      </c>
      <c r="S449" s="1" t="str">
        <f>IF(Master[[#This Row],[Type_Forfait]]="Pro Monde","B2B","B2C")</f>
        <v>B2C</v>
      </c>
      <c r="T449" s="1">
        <f>Master[[#This Row],[Anciennete_Mois]]/12</f>
        <v>9.3333333333333339</v>
      </c>
      <c r="U449" s="1">
        <f>Master[[#This Row],[Duree_Cumule_Panne_Min]]/60</f>
        <v>7.666666666666667</v>
      </c>
      <c r="V44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4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49" s="6">
        <f>Master[[#This Row],[Facture_Mensuelle]]*Master[[#This Row],[Remise]]</f>
        <v>24.961500000000001</v>
      </c>
    </row>
    <row r="450" spans="1:24" x14ac:dyDescent="0.25">
      <c r="A450" s="1" t="s">
        <v>978</v>
      </c>
      <c r="B450" t="str">
        <f>IFERROR(VLOOKUP(Master[[#This Row],[Cell_ID]],Registre_Maintenance[],2,FALSE),"")</f>
        <v>Sud-Kivu</v>
      </c>
      <c r="C450" s="1" t="s">
        <v>819</v>
      </c>
      <c r="D450" s="2">
        <v>45205.154166666667</v>
      </c>
      <c r="E450" s="3">
        <v>45205.154166666667</v>
      </c>
      <c r="F450">
        <v>12</v>
      </c>
      <c r="G450">
        <f>Master[[#This Row],[Duree_Panne_Min]]/60</f>
        <v>0.2</v>
      </c>
      <c r="H450" s="1" t="s">
        <v>732</v>
      </c>
      <c r="I450">
        <f>IFERROR(VLOOKUP(Master[[#This Row],[Cell_ID]],Registre_Maintenance[],3,FALSE),"")</f>
        <v>-5.2526849999999996</v>
      </c>
      <c r="J450">
        <f>IFERROR(VLOOKUP(Master[[#This Row],[Cell_ID]],Registre_Maintenance[],4,FALSE),"")</f>
        <v>12.374528</v>
      </c>
      <c r="K450" t="str">
        <f>IFERROR(VLOOKUP(Master[[#This Row],[Cell_ID]],Registre_Maintenance[],5,FALSE),"")</f>
        <v>3G</v>
      </c>
      <c r="L450" t="str">
        <f>IFERROR(VLOOKUP(Master[[#This Row],[Cell_ID]],Registre_Maintenance[],6,FALSE),"")</f>
        <v>Nokia</v>
      </c>
      <c r="M450" s="1" t="str">
        <f>VLOOKUP(Master[[#This Row],[Province_RDC]],Client[],2,FALSE)</f>
        <v>CLI-01855</v>
      </c>
      <c r="N450" s="1">
        <f>VLOOKUP(Master[[#This Row],[Province_RDC]],Client[],3,FALSE)</f>
        <v>101</v>
      </c>
      <c r="O450" s="1" t="str">
        <f>VLOOKUP(Master[[#This Row],[Province_RDC]],Client[],4,FALSE)</f>
        <v>Illimité 50Go</v>
      </c>
      <c r="P450" s="1">
        <f>VLOOKUP(Master[[#This Row],[Province_RDC]],Client[],5,FALSE)</f>
        <v>358</v>
      </c>
      <c r="Q450" s="1">
        <f>VLOOKUP(Master[[#This Row],[Province_RDC]],Client[],6,FALSE)</f>
        <v>29.24</v>
      </c>
      <c r="R450" s="1">
        <f>VLOOKUP(Master[[#This Row],[Province_RDC]],Client[],7,FALSE)</f>
        <v>3</v>
      </c>
      <c r="S450" s="1" t="str">
        <f>IF(Master[[#This Row],[Type_Forfait]]="Pro Monde","B2B","B2C")</f>
        <v>B2C</v>
      </c>
      <c r="T450" s="1">
        <f>Master[[#This Row],[Anciennete_Mois]]/12</f>
        <v>8.4166666666666661</v>
      </c>
      <c r="U450" s="1">
        <f>Master[[#This Row],[Duree_Cumule_Panne_Min]]/60</f>
        <v>5.9666666666666668</v>
      </c>
      <c r="V45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50" s="6">
        <f>Master[[#This Row],[Facture_Mensuelle]]*Master[[#This Row],[Remise]]</f>
        <v>13.157999999999999</v>
      </c>
    </row>
    <row r="451" spans="1:24" x14ac:dyDescent="0.25">
      <c r="A451" s="1" t="s">
        <v>1165</v>
      </c>
      <c r="B451" t="str">
        <f>IFERROR(VLOOKUP(Master[[#This Row],[Cell_ID]],Registre_Maintenance[],2,FALSE),"")</f>
        <v>Nord-Kivu</v>
      </c>
      <c r="C451" s="1" t="s">
        <v>977</v>
      </c>
      <c r="D451" s="2">
        <v>45223.252083333333</v>
      </c>
      <c r="E451" s="3">
        <v>45223.252083333333</v>
      </c>
      <c r="F451">
        <v>12</v>
      </c>
      <c r="G451">
        <f>Master[[#This Row],[Duree_Panne_Min]]/60</f>
        <v>0.2</v>
      </c>
      <c r="H451" s="1" t="s">
        <v>735</v>
      </c>
      <c r="I451">
        <f>IFERROR(VLOOKUP(Master[[#This Row],[Cell_ID]],Registre_Maintenance[],3,FALSE),"")</f>
        <v>-10.846306999999999</v>
      </c>
      <c r="J451">
        <f>IFERROR(VLOOKUP(Master[[#This Row],[Cell_ID]],Registre_Maintenance[],4,FALSE),"")</f>
        <v>19.201827999999999</v>
      </c>
      <c r="K451" t="str">
        <f>IFERROR(VLOOKUP(Master[[#This Row],[Cell_ID]],Registre_Maintenance[],5,FALSE),"")</f>
        <v>4G</v>
      </c>
      <c r="L451" t="str">
        <f>IFERROR(VLOOKUP(Master[[#This Row],[Cell_ID]],Registre_Maintenance[],6,FALSE),"")</f>
        <v>Ericsson</v>
      </c>
      <c r="M451" s="1" t="str">
        <f>VLOOKUP(Master[[#This Row],[Province_RDC]],Client[],2,FALSE)</f>
        <v>CLI-00837</v>
      </c>
      <c r="N451" s="1">
        <f>VLOOKUP(Master[[#This Row],[Province_RDC]],Client[],3,FALSE)</f>
        <v>16</v>
      </c>
      <c r="O451" s="1" t="str">
        <f>VLOOKUP(Master[[#This Row],[Province_RDC]],Client[],4,FALSE)</f>
        <v>Bloqué 5Go</v>
      </c>
      <c r="P451" s="1">
        <f>VLOOKUP(Master[[#This Row],[Province_RDC]],Client[],5,FALSE)</f>
        <v>390</v>
      </c>
      <c r="Q451" s="1">
        <f>VLOOKUP(Master[[#This Row],[Province_RDC]],Client[],6,FALSE)</f>
        <v>98.17</v>
      </c>
      <c r="R451" s="1">
        <f>VLOOKUP(Master[[#This Row],[Province_RDC]],Client[],7,FALSE)</f>
        <v>5</v>
      </c>
      <c r="S451" s="1" t="str">
        <f>IF(Master[[#This Row],[Type_Forfait]]="Pro Monde","B2B","B2C")</f>
        <v>B2C</v>
      </c>
      <c r="T451" s="1">
        <f>Master[[#This Row],[Anciennete_Mois]]/12</f>
        <v>1.3333333333333333</v>
      </c>
      <c r="U451" s="1">
        <f>Master[[#This Row],[Duree_Cumule_Panne_Min]]/60</f>
        <v>6.5</v>
      </c>
      <c r="V45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51" s="6">
        <f>Master[[#This Row],[Facture_Mensuelle]]*Master[[#This Row],[Remise]]</f>
        <v>44.176500000000004</v>
      </c>
    </row>
    <row r="452" spans="1:24" x14ac:dyDescent="0.25">
      <c r="A452" s="1" t="s">
        <v>1165</v>
      </c>
      <c r="B452" t="str">
        <f>IFERROR(VLOOKUP(Master[[#This Row],[Cell_ID]],Registre_Maintenance[],2,FALSE),"")</f>
        <v>Maniema</v>
      </c>
      <c r="C452" s="1" t="s">
        <v>1187</v>
      </c>
      <c r="D452" s="2">
        <v>45204.011111111111</v>
      </c>
      <c r="E452" s="3">
        <v>45204.011111111111</v>
      </c>
      <c r="F452">
        <v>12</v>
      </c>
      <c r="G452">
        <f>Master[[#This Row],[Duree_Panne_Min]]/60</f>
        <v>0.2</v>
      </c>
      <c r="H452" s="1" t="s">
        <v>735</v>
      </c>
      <c r="I452">
        <f>IFERROR(VLOOKUP(Master[[#This Row],[Cell_ID]],Registre_Maintenance[],3,FALSE),"")</f>
        <v>-1.6488929999999999</v>
      </c>
      <c r="J452">
        <f>IFERROR(VLOOKUP(Master[[#This Row],[Cell_ID]],Registre_Maintenance[],4,FALSE),"")</f>
        <v>27.284617000000001</v>
      </c>
      <c r="K452" t="str">
        <f>IFERROR(VLOOKUP(Master[[#This Row],[Cell_ID]],Registre_Maintenance[],5,FALSE),"")</f>
        <v>5G</v>
      </c>
      <c r="L452" t="str">
        <f>IFERROR(VLOOKUP(Master[[#This Row],[Cell_ID]],Registre_Maintenance[],6,FALSE),"")</f>
        <v>Nokia</v>
      </c>
      <c r="M452" s="1" t="str">
        <f>VLOOKUP(Master[[#This Row],[Province_RDC]],Client[],2,FALSE)</f>
        <v>CLI-00185</v>
      </c>
      <c r="N452" s="1">
        <f>VLOOKUP(Master[[#This Row],[Province_RDC]],Client[],3,FALSE)</f>
        <v>81</v>
      </c>
      <c r="O452" s="1" t="str">
        <f>VLOOKUP(Master[[#This Row],[Province_RDC]],Client[],4,FALSE)</f>
        <v>Pro Monde</v>
      </c>
      <c r="P452" s="1">
        <f>VLOOKUP(Master[[#This Row],[Province_RDC]],Client[],5,FALSE)</f>
        <v>154</v>
      </c>
      <c r="Q452" s="1">
        <f>VLOOKUP(Master[[#This Row],[Province_RDC]],Client[],6,FALSE)</f>
        <v>19.47</v>
      </c>
      <c r="R452" s="1">
        <f>VLOOKUP(Master[[#This Row],[Province_RDC]],Client[],7,FALSE)</f>
        <v>3</v>
      </c>
      <c r="S452" s="1" t="str">
        <f>IF(Master[[#This Row],[Type_Forfait]]="Pro Monde","B2B","B2C")</f>
        <v>B2B</v>
      </c>
      <c r="T452" s="1">
        <f>Master[[#This Row],[Anciennete_Mois]]/12</f>
        <v>6.75</v>
      </c>
      <c r="U452" s="1">
        <f>Master[[#This Row],[Duree_Cumule_Panne_Min]]/60</f>
        <v>2.5666666666666669</v>
      </c>
      <c r="V45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5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52" s="6">
        <f>Master[[#This Row],[Facture_Mensuelle]]*Master[[#This Row],[Remise]]</f>
        <v>1.9470000000000001</v>
      </c>
    </row>
    <row r="453" spans="1:24" x14ac:dyDescent="0.25">
      <c r="A453" s="1" t="s">
        <v>1086</v>
      </c>
      <c r="B453" t="str">
        <f>IFERROR(VLOOKUP(Master[[#This Row],[Cell_ID]],Registre_Maintenance[],2,FALSE),"")</f>
        <v>Kinshasa</v>
      </c>
      <c r="C453" s="1" t="s">
        <v>1076</v>
      </c>
      <c r="D453" s="2">
        <v>45218.088888888888</v>
      </c>
      <c r="E453" s="3">
        <v>45218.088888888888</v>
      </c>
      <c r="F453">
        <v>12</v>
      </c>
      <c r="G453">
        <f>Master[[#This Row],[Duree_Panne_Min]]/60</f>
        <v>0.2</v>
      </c>
      <c r="H453" s="1" t="s">
        <v>737</v>
      </c>
      <c r="I453">
        <f>IFERROR(VLOOKUP(Master[[#This Row],[Cell_ID]],Registre_Maintenance[],3,FALSE),"")</f>
        <v>-11.389362</v>
      </c>
      <c r="J453">
        <f>IFERROR(VLOOKUP(Master[[#This Row],[Cell_ID]],Registre_Maintenance[],4,FALSE),"")</f>
        <v>22.240174</v>
      </c>
      <c r="K453" t="str">
        <f>IFERROR(VLOOKUP(Master[[#This Row],[Cell_ID]],Registre_Maintenance[],5,FALSE),"")</f>
        <v>5G</v>
      </c>
      <c r="L453" t="str">
        <f>IFERROR(VLOOKUP(Master[[#This Row],[Cell_ID]],Registre_Maintenance[],6,FALSE),"")</f>
        <v>ZTE</v>
      </c>
      <c r="M453" s="1" t="str">
        <f>VLOOKUP(Master[[#This Row],[Province_RDC]],Client[],2,FALSE)</f>
        <v>CLI-00611</v>
      </c>
      <c r="N453" s="1">
        <f>VLOOKUP(Master[[#This Row],[Province_RDC]],Client[],3,FALSE)</f>
        <v>79</v>
      </c>
      <c r="O453" s="1" t="str">
        <f>VLOOKUP(Master[[#This Row],[Province_RDC]],Client[],4,FALSE)</f>
        <v>Premium 5G 150Go</v>
      </c>
      <c r="P453" s="1">
        <f>VLOOKUP(Master[[#This Row],[Province_RDC]],Client[],5,FALSE)</f>
        <v>226</v>
      </c>
      <c r="Q453" s="1">
        <f>VLOOKUP(Master[[#This Row],[Province_RDC]],Client[],6,FALSE)</f>
        <v>94.38</v>
      </c>
      <c r="R453" s="1">
        <f>VLOOKUP(Master[[#This Row],[Province_RDC]],Client[],7,FALSE)</f>
        <v>3</v>
      </c>
      <c r="S453" s="1" t="str">
        <f>IF(Master[[#This Row],[Type_Forfait]]="Pro Monde","B2B","B2C")</f>
        <v>B2C</v>
      </c>
      <c r="T453" s="1">
        <f>Master[[#This Row],[Anciennete_Mois]]/12</f>
        <v>6.583333333333333</v>
      </c>
      <c r="U453" s="1">
        <f>Master[[#This Row],[Duree_Cumule_Panne_Min]]/60</f>
        <v>3.7666666666666666</v>
      </c>
      <c r="V45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53" s="6">
        <f>Master[[#This Row],[Facture_Mensuelle]]*Master[[#This Row],[Remise]]</f>
        <v>0</v>
      </c>
    </row>
    <row r="454" spans="1:24" x14ac:dyDescent="0.25">
      <c r="A454" s="1" t="s">
        <v>939</v>
      </c>
      <c r="B454" t="str">
        <f>IFERROR(VLOOKUP(Master[[#This Row],[Cell_ID]],Registre_Maintenance[],2,FALSE),"")</f>
        <v>Tshopo</v>
      </c>
      <c r="C454" s="1" t="s">
        <v>962</v>
      </c>
      <c r="D454" s="2">
        <v>45227.144444444442</v>
      </c>
      <c r="E454" s="3">
        <v>45227.144444444442</v>
      </c>
      <c r="F454">
        <v>11</v>
      </c>
      <c r="G454">
        <f>Master[[#This Row],[Duree_Panne_Min]]/60</f>
        <v>0.18333333333333332</v>
      </c>
      <c r="H454" s="1" t="s">
        <v>735</v>
      </c>
      <c r="I454">
        <f>IFERROR(VLOOKUP(Master[[#This Row],[Cell_ID]],Registre_Maintenance[],3,FALSE),"")</f>
        <v>2.4425979999999998</v>
      </c>
      <c r="J454">
        <f>IFERROR(VLOOKUP(Master[[#This Row],[Cell_ID]],Registre_Maintenance[],4,FALSE),"")</f>
        <v>24.924308</v>
      </c>
      <c r="K454" t="str">
        <f>IFERROR(VLOOKUP(Master[[#This Row],[Cell_ID]],Registre_Maintenance[],5,FALSE),"")</f>
        <v>5G</v>
      </c>
      <c r="L454" t="str">
        <f>IFERROR(VLOOKUP(Master[[#This Row],[Cell_ID]],Registre_Maintenance[],6,FALSE),"")</f>
        <v>Ericsson</v>
      </c>
      <c r="M454" s="1" t="str">
        <f>VLOOKUP(Master[[#This Row],[Province_RDC]],Client[],2,FALSE)</f>
        <v>CLI-00745</v>
      </c>
      <c r="N454" s="1">
        <f>VLOOKUP(Master[[#This Row],[Province_RDC]],Client[],3,FALSE)</f>
        <v>6</v>
      </c>
      <c r="O454" s="1" t="str">
        <f>VLOOKUP(Master[[#This Row],[Province_RDC]],Client[],4,FALSE)</f>
        <v>Premium 5G 150Go</v>
      </c>
      <c r="P454" s="1">
        <f>VLOOKUP(Master[[#This Row],[Province_RDC]],Client[],5,FALSE)</f>
        <v>207</v>
      </c>
      <c r="Q454" s="1">
        <f>VLOOKUP(Master[[#This Row],[Province_RDC]],Client[],6,FALSE)</f>
        <v>61.55</v>
      </c>
      <c r="R454" s="1">
        <f>VLOOKUP(Master[[#This Row],[Province_RDC]],Client[],7,FALSE)</f>
        <v>0</v>
      </c>
      <c r="S454" s="1" t="str">
        <f>IF(Master[[#This Row],[Type_Forfait]]="Pro Monde","B2B","B2C")</f>
        <v>B2C</v>
      </c>
      <c r="T454" s="1">
        <f>Master[[#This Row],[Anciennete_Mois]]/12</f>
        <v>0.5</v>
      </c>
      <c r="U454" s="1">
        <f>Master[[#This Row],[Duree_Cumule_Panne_Min]]/60</f>
        <v>3.45</v>
      </c>
      <c r="V45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54" s="6">
        <f>Master[[#This Row],[Facture_Mensuelle]]*Master[[#This Row],[Remise]]</f>
        <v>0</v>
      </c>
    </row>
    <row r="455" spans="1:24" x14ac:dyDescent="0.25">
      <c r="A455" s="1" t="s">
        <v>1308</v>
      </c>
      <c r="B455" t="str">
        <f>IFERROR(VLOOKUP(Master[[#This Row],[Cell_ID]],Registre_Maintenance[],2,FALSE),"")</f>
        <v>Sankuru</v>
      </c>
      <c r="C455" s="1" t="s">
        <v>1309</v>
      </c>
      <c r="D455" s="2">
        <v>45226.224999999999</v>
      </c>
      <c r="E455" s="3">
        <v>45226.224999999999</v>
      </c>
      <c r="F455">
        <v>11</v>
      </c>
      <c r="G455">
        <f>Master[[#This Row],[Duree_Panne_Min]]/60</f>
        <v>0.18333333333333332</v>
      </c>
      <c r="H455" s="1" t="s">
        <v>735</v>
      </c>
      <c r="I455">
        <f>IFERROR(VLOOKUP(Master[[#This Row],[Cell_ID]],Registre_Maintenance[],3,FALSE),"")</f>
        <v>-0.157111</v>
      </c>
      <c r="J455">
        <f>IFERROR(VLOOKUP(Master[[#This Row],[Cell_ID]],Registre_Maintenance[],4,FALSE),"")</f>
        <v>25.415125</v>
      </c>
      <c r="K455" t="str">
        <f>IFERROR(VLOOKUP(Master[[#This Row],[Cell_ID]],Registre_Maintenance[],5,FALSE),"")</f>
        <v>4G</v>
      </c>
      <c r="L455" t="str">
        <f>IFERROR(VLOOKUP(Master[[#This Row],[Cell_ID]],Registre_Maintenance[],6,FALSE),"")</f>
        <v>Ericsson</v>
      </c>
      <c r="M455" s="1" t="str">
        <f>VLOOKUP(Master[[#This Row],[Province_RDC]],Client[],2,FALSE)</f>
        <v>CLI-00530</v>
      </c>
      <c r="N455" s="1">
        <f>VLOOKUP(Master[[#This Row],[Province_RDC]],Client[],3,FALSE)</f>
        <v>35</v>
      </c>
      <c r="O455" s="1" t="str">
        <f>VLOOKUP(Master[[#This Row],[Province_RDC]],Client[],4,FALSE)</f>
        <v>Pro Monde</v>
      </c>
      <c r="P455" s="1">
        <f>VLOOKUP(Master[[#This Row],[Province_RDC]],Client[],5,FALSE)</f>
        <v>465</v>
      </c>
      <c r="Q455" s="1">
        <f>VLOOKUP(Master[[#This Row],[Province_RDC]],Client[],6,FALSE)</f>
        <v>58.59</v>
      </c>
      <c r="R455" s="1">
        <f>VLOOKUP(Master[[#This Row],[Province_RDC]],Client[],7,FALSE)</f>
        <v>5</v>
      </c>
      <c r="S455" s="1" t="str">
        <f>IF(Master[[#This Row],[Type_Forfait]]="Pro Monde","B2B","B2C")</f>
        <v>B2B</v>
      </c>
      <c r="T455" s="1">
        <f>Master[[#This Row],[Anciennete_Mois]]/12</f>
        <v>2.9166666666666665</v>
      </c>
      <c r="U455" s="1">
        <f>Master[[#This Row],[Duree_Cumule_Panne_Min]]/60</f>
        <v>7.75</v>
      </c>
      <c r="V45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55" s="6">
        <f>Master[[#This Row],[Facture_Mensuelle]]*Master[[#This Row],[Remise]]</f>
        <v>26.365500000000001</v>
      </c>
    </row>
    <row r="456" spans="1:24" x14ac:dyDescent="0.25">
      <c r="A456" s="1" t="s">
        <v>1165</v>
      </c>
      <c r="B456" t="str">
        <f>IFERROR(VLOOKUP(Master[[#This Row],[Cell_ID]],Registre_Maintenance[],2,FALSE),"")</f>
        <v>Nord-Ubangi</v>
      </c>
      <c r="C456" s="1" t="s">
        <v>811</v>
      </c>
      <c r="D456" s="2">
        <v>45230.009027777778</v>
      </c>
      <c r="E456" s="3">
        <v>45230.009027777778</v>
      </c>
      <c r="F456">
        <v>11</v>
      </c>
      <c r="G456">
        <f>Master[[#This Row],[Duree_Panne_Min]]/60</f>
        <v>0.18333333333333332</v>
      </c>
      <c r="H456" s="1" t="s">
        <v>735</v>
      </c>
      <c r="I456">
        <f>IFERROR(VLOOKUP(Master[[#This Row],[Cell_ID]],Registre_Maintenance[],3,FALSE),"")</f>
        <v>0.94539899999999999</v>
      </c>
      <c r="J456">
        <f>IFERROR(VLOOKUP(Master[[#This Row],[Cell_ID]],Registre_Maintenance[],4,FALSE),"")</f>
        <v>14.401821999999999</v>
      </c>
      <c r="K456" t="str">
        <f>IFERROR(VLOOKUP(Master[[#This Row],[Cell_ID]],Registre_Maintenance[],5,FALSE),"")</f>
        <v>5G</v>
      </c>
      <c r="L456" t="str">
        <f>IFERROR(VLOOKUP(Master[[#This Row],[Cell_ID]],Registre_Maintenance[],6,FALSE),"")</f>
        <v>Nokia</v>
      </c>
      <c r="M456" s="1" t="str">
        <f>VLOOKUP(Master[[#This Row],[Province_RDC]],Client[],2,FALSE)</f>
        <v>CLI-01170</v>
      </c>
      <c r="N456" s="1">
        <f>VLOOKUP(Master[[#This Row],[Province_RDC]],Client[],3,FALSE)</f>
        <v>98</v>
      </c>
      <c r="O456" s="1" t="str">
        <f>VLOOKUP(Master[[#This Row],[Province_RDC]],Client[],4,FALSE)</f>
        <v>Pro Monde</v>
      </c>
      <c r="P456" s="1">
        <f>VLOOKUP(Master[[#This Row],[Province_RDC]],Client[],5,FALSE)</f>
        <v>482</v>
      </c>
      <c r="Q456" s="1">
        <f>VLOOKUP(Master[[#This Row],[Province_RDC]],Client[],6,FALSE)</f>
        <v>55.04</v>
      </c>
      <c r="R456" s="1">
        <f>VLOOKUP(Master[[#This Row],[Province_RDC]],Client[],7,FALSE)</f>
        <v>5</v>
      </c>
      <c r="S456" s="1" t="str">
        <f>IF(Master[[#This Row],[Type_Forfait]]="Pro Monde","B2B","B2C")</f>
        <v>B2B</v>
      </c>
      <c r="T456" s="1">
        <f>Master[[#This Row],[Anciennete_Mois]]/12</f>
        <v>8.1666666666666661</v>
      </c>
      <c r="U456" s="1">
        <f>Master[[#This Row],[Duree_Cumule_Panne_Min]]/60</f>
        <v>8.0333333333333332</v>
      </c>
      <c r="V45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56" s="6">
        <f>Master[[#This Row],[Facture_Mensuelle]]*Master[[#This Row],[Remise]]</f>
        <v>24.768000000000001</v>
      </c>
    </row>
    <row r="457" spans="1:24" x14ac:dyDescent="0.25">
      <c r="A457" s="1" t="s">
        <v>730</v>
      </c>
      <c r="B457" t="str">
        <f>IFERROR(VLOOKUP(Master[[#This Row],[Cell_ID]],Registre_Maintenance[],2,FALSE),"")</f>
        <v>Lomami</v>
      </c>
      <c r="C457" s="1" t="s">
        <v>749</v>
      </c>
      <c r="D457" s="2">
        <v>45204.283333333333</v>
      </c>
      <c r="E457" s="3">
        <v>45204.283333333333</v>
      </c>
      <c r="F457">
        <v>11</v>
      </c>
      <c r="G457">
        <f>Master[[#This Row],[Duree_Panne_Min]]/60</f>
        <v>0.18333333333333332</v>
      </c>
      <c r="H457" s="1" t="s">
        <v>737</v>
      </c>
      <c r="I457">
        <f>IFERROR(VLOOKUP(Master[[#This Row],[Cell_ID]],Registre_Maintenance[],3,FALSE),"")</f>
        <v>-2.2371569999999998</v>
      </c>
      <c r="J457">
        <f>IFERROR(VLOOKUP(Master[[#This Row],[Cell_ID]],Registre_Maintenance[],4,FALSE),"")</f>
        <v>25.926188</v>
      </c>
      <c r="K457" t="str">
        <f>IFERROR(VLOOKUP(Master[[#This Row],[Cell_ID]],Registre_Maintenance[],5,FALSE),"")</f>
        <v>3G</v>
      </c>
      <c r="L457" t="str">
        <f>IFERROR(VLOOKUP(Master[[#This Row],[Cell_ID]],Registre_Maintenance[],6,FALSE),"")</f>
        <v>Nokia</v>
      </c>
      <c r="M457" s="1" t="str">
        <f>VLOOKUP(Master[[#This Row],[Province_RDC]],Client[],2,FALSE)</f>
        <v>CLI-00505</v>
      </c>
      <c r="N457" s="1">
        <f>VLOOKUP(Master[[#This Row],[Province_RDC]],Client[],3,FALSE)</f>
        <v>59</v>
      </c>
      <c r="O457" s="1" t="str">
        <f>VLOOKUP(Master[[#This Row],[Province_RDC]],Client[],4,FALSE)</f>
        <v>Bloqué 5Go</v>
      </c>
      <c r="P457" s="1">
        <f>VLOOKUP(Master[[#This Row],[Province_RDC]],Client[],5,FALSE)</f>
        <v>196</v>
      </c>
      <c r="Q457" s="1">
        <f>VLOOKUP(Master[[#This Row],[Province_RDC]],Client[],6,FALSE)</f>
        <v>62.53</v>
      </c>
      <c r="R457" s="1">
        <f>VLOOKUP(Master[[#This Row],[Province_RDC]],Client[],7,FALSE)</f>
        <v>0</v>
      </c>
      <c r="S457" s="1" t="str">
        <f>IF(Master[[#This Row],[Type_Forfait]]="Pro Monde","B2B","B2C")</f>
        <v>B2C</v>
      </c>
      <c r="T457" s="1">
        <f>Master[[#This Row],[Anciennete_Mois]]/12</f>
        <v>4.916666666666667</v>
      </c>
      <c r="U457" s="1">
        <f>Master[[#This Row],[Duree_Cumule_Panne_Min]]/60</f>
        <v>3.2666666666666666</v>
      </c>
      <c r="V45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5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57" s="6">
        <f>Master[[#This Row],[Facture_Mensuelle]]*Master[[#This Row],[Remise]]</f>
        <v>0</v>
      </c>
    </row>
    <row r="458" spans="1:24" x14ac:dyDescent="0.25">
      <c r="A458" s="1" t="s">
        <v>1345</v>
      </c>
      <c r="B458" t="str">
        <f>IFERROR(VLOOKUP(Master[[#This Row],[Cell_ID]],Registre_Maintenance[],2,FALSE),"")</f>
        <v>Kwilu</v>
      </c>
      <c r="C458" s="1" t="s">
        <v>1226</v>
      </c>
      <c r="D458" s="2">
        <v>45203.522222222222</v>
      </c>
      <c r="E458" s="3">
        <v>45203.522222222222</v>
      </c>
      <c r="F458">
        <v>11</v>
      </c>
      <c r="G458">
        <f>Master[[#This Row],[Duree_Panne_Min]]/60</f>
        <v>0.18333333333333332</v>
      </c>
      <c r="H458" s="1" t="s">
        <v>735</v>
      </c>
      <c r="I458">
        <f>IFERROR(VLOOKUP(Master[[#This Row],[Cell_ID]],Registre_Maintenance[],3,FALSE),"")</f>
        <v>-7.402336</v>
      </c>
      <c r="J458">
        <f>IFERROR(VLOOKUP(Master[[#This Row],[Cell_ID]],Registre_Maintenance[],4,FALSE),"")</f>
        <v>27.376697</v>
      </c>
      <c r="K458" t="str">
        <f>IFERROR(VLOOKUP(Master[[#This Row],[Cell_ID]],Registre_Maintenance[],5,FALSE),"")</f>
        <v>4G</v>
      </c>
      <c r="L458" t="str">
        <f>IFERROR(VLOOKUP(Master[[#This Row],[Cell_ID]],Registre_Maintenance[],6,FALSE),"")</f>
        <v>Huawei</v>
      </c>
      <c r="M458" s="1" t="str">
        <f>VLOOKUP(Master[[#This Row],[Province_RDC]],Client[],2,FALSE)</f>
        <v>CLI-00996</v>
      </c>
      <c r="N458" s="1">
        <f>VLOOKUP(Master[[#This Row],[Province_RDC]],Client[],3,FALSE)</f>
        <v>119</v>
      </c>
      <c r="O458" s="1" t="str">
        <f>VLOOKUP(Master[[#This Row],[Province_RDC]],Client[],4,FALSE)</f>
        <v>Illimité 50Go</v>
      </c>
      <c r="P458" s="1">
        <f>VLOOKUP(Master[[#This Row],[Province_RDC]],Client[],5,FALSE)</f>
        <v>228</v>
      </c>
      <c r="Q458" s="1">
        <f>VLOOKUP(Master[[#This Row],[Province_RDC]],Client[],6,FALSE)</f>
        <v>94.72</v>
      </c>
      <c r="R458" s="1">
        <f>VLOOKUP(Master[[#This Row],[Province_RDC]],Client[],7,FALSE)</f>
        <v>3</v>
      </c>
      <c r="S458" s="1" t="str">
        <f>IF(Master[[#This Row],[Type_Forfait]]="Pro Monde","B2B","B2C")</f>
        <v>B2C</v>
      </c>
      <c r="T458" s="1">
        <f>Master[[#This Row],[Anciennete_Mois]]/12</f>
        <v>9.9166666666666661</v>
      </c>
      <c r="U458" s="1">
        <f>Master[[#This Row],[Duree_Cumule_Panne_Min]]/60</f>
        <v>3.8</v>
      </c>
      <c r="V45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5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58" s="6">
        <f>Master[[#This Row],[Facture_Mensuelle]]*Master[[#This Row],[Remise]]</f>
        <v>0</v>
      </c>
    </row>
    <row r="459" spans="1:24" x14ac:dyDescent="0.25">
      <c r="A459" s="1" t="s">
        <v>1219</v>
      </c>
      <c r="B459" t="str">
        <f>IFERROR(VLOOKUP(Master[[#This Row],[Cell_ID]],Registre_Maintenance[],2,FALSE),"")</f>
        <v>Kasai</v>
      </c>
      <c r="C459" s="1" t="s">
        <v>1229</v>
      </c>
      <c r="D459" s="2">
        <v>45216.232638888891</v>
      </c>
      <c r="E459" s="3">
        <v>45216.232638888891</v>
      </c>
      <c r="F459">
        <v>11</v>
      </c>
      <c r="G459">
        <f>Master[[#This Row],[Duree_Panne_Min]]/60</f>
        <v>0.18333333333333332</v>
      </c>
      <c r="H459" s="1" t="s">
        <v>737</v>
      </c>
      <c r="I459">
        <f>IFERROR(VLOOKUP(Master[[#This Row],[Cell_ID]],Registre_Maintenance[],3,FALSE),"")</f>
        <v>-3.8119990000000001</v>
      </c>
      <c r="J459">
        <f>IFERROR(VLOOKUP(Master[[#This Row],[Cell_ID]],Registre_Maintenance[],4,FALSE),"")</f>
        <v>20.420048000000001</v>
      </c>
      <c r="K459" t="str">
        <f>IFERROR(VLOOKUP(Master[[#This Row],[Cell_ID]],Registre_Maintenance[],5,FALSE),"")</f>
        <v>3G</v>
      </c>
      <c r="L459" t="str">
        <f>IFERROR(VLOOKUP(Master[[#This Row],[Cell_ID]],Registre_Maintenance[],6,FALSE),"")</f>
        <v>ZTE</v>
      </c>
      <c r="M459" s="1" t="str">
        <f>VLOOKUP(Master[[#This Row],[Province_RDC]],Client[],2,FALSE)</f>
        <v>CLI-00559</v>
      </c>
      <c r="N459" s="1">
        <f>VLOOKUP(Master[[#This Row],[Province_RDC]],Client[],3,FALSE)</f>
        <v>99</v>
      </c>
      <c r="O459" s="1" t="str">
        <f>VLOOKUP(Master[[#This Row],[Province_RDC]],Client[],4,FALSE)</f>
        <v>Bloqué 5Go</v>
      </c>
      <c r="P459" s="1">
        <f>VLOOKUP(Master[[#This Row],[Province_RDC]],Client[],5,FALSE)</f>
        <v>369</v>
      </c>
      <c r="Q459" s="1">
        <f>VLOOKUP(Master[[#This Row],[Province_RDC]],Client[],6,FALSE)</f>
        <v>67.209999999999994</v>
      </c>
      <c r="R459" s="1">
        <f>VLOOKUP(Master[[#This Row],[Province_RDC]],Client[],7,FALSE)</f>
        <v>3</v>
      </c>
      <c r="S459" s="1" t="str">
        <f>IF(Master[[#This Row],[Type_Forfait]]="Pro Monde","B2B","B2C")</f>
        <v>B2C</v>
      </c>
      <c r="T459" s="1">
        <f>Master[[#This Row],[Anciennete_Mois]]/12</f>
        <v>8.25</v>
      </c>
      <c r="U459" s="1">
        <f>Master[[#This Row],[Duree_Cumule_Panne_Min]]/60</f>
        <v>6.15</v>
      </c>
      <c r="V45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5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59" s="6">
        <f>Master[[#This Row],[Facture_Mensuelle]]*Master[[#This Row],[Remise]]</f>
        <v>30.244499999999999</v>
      </c>
    </row>
    <row r="460" spans="1:24" x14ac:dyDescent="0.25">
      <c r="A460" s="1" t="s">
        <v>1382</v>
      </c>
      <c r="B460" t="str">
        <f>IFERROR(VLOOKUP(Master[[#This Row],[Cell_ID]],Registre_Maintenance[],2,FALSE),"")</f>
        <v>Bas-Uele</v>
      </c>
      <c r="C460" s="1" t="s">
        <v>1123</v>
      </c>
      <c r="D460" s="2">
        <v>45230.429166666669</v>
      </c>
      <c r="E460" s="3">
        <v>45230.429166666669</v>
      </c>
      <c r="F460">
        <v>11</v>
      </c>
      <c r="G460">
        <f>Master[[#This Row],[Duree_Panne_Min]]/60</f>
        <v>0.18333333333333332</v>
      </c>
      <c r="H460" s="1" t="s">
        <v>737</v>
      </c>
      <c r="I460">
        <f>IFERROR(VLOOKUP(Master[[#This Row],[Cell_ID]],Registre_Maintenance[],3,FALSE),"")</f>
        <v>-2.8532869999999999</v>
      </c>
      <c r="J460">
        <f>IFERROR(VLOOKUP(Master[[#This Row],[Cell_ID]],Registre_Maintenance[],4,FALSE),"")</f>
        <v>22.117896000000002</v>
      </c>
      <c r="K460" t="str">
        <f>IFERROR(VLOOKUP(Master[[#This Row],[Cell_ID]],Registre_Maintenance[],5,FALSE),"")</f>
        <v>5G</v>
      </c>
      <c r="L460" t="str">
        <f>IFERROR(VLOOKUP(Master[[#This Row],[Cell_ID]],Registre_Maintenance[],6,FALSE),"")</f>
        <v>Huawei</v>
      </c>
      <c r="M460" s="1" t="str">
        <f>VLOOKUP(Master[[#This Row],[Province_RDC]],Client[],2,FALSE)</f>
        <v>CLI-01128</v>
      </c>
      <c r="N460" s="1">
        <f>VLOOKUP(Master[[#This Row],[Province_RDC]],Client[],3,FALSE)</f>
        <v>112</v>
      </c>
      <c r="O460" s="1" t="str">
        <f>VLOOKUP(Master[[#This Row],[Province_RDC]],Client[],4,FALSE)</f>
        <v>Premium 5G 150Go</v>
      </c>
      <c r="P460" s="1">
        <f>VLOOKUP(Master[[#This Row],[Province_RDC]],Client[],5,FALSE)</f>
        <v>460</v>
      </c>
      <c r="Q460" s="1">
        <f>VLOOKUP(Master[[#This Row],[Province_RDC]],Client[],6,FALSE)</f>
        <v>55.47</v>
      </c>
      <c r="R460" s="1">
        <f>VLOOKUP(Master[[#This Row],[Province_RDC]],Client[],7,FALSE)</f>
        <v>4</v>
      </c>
      <c r="S460" s="1" t="str">
        <f>IF(Master[[#This Row],[Type_Forfait]]="Pro Monde","B2B","B2C")</f>
        <v>B2C</v>
      </c>
      <c r="T460" s="1">
        <f>Master[[#This Row],[Anciennete_Mois]]/12</f>
        <v>9.3333333333333339</v>
      </c>
      <c r="U460" s="1">
        <f>Master[[#This Row],[Duree_Cumule_Panne_Min]]/60</f>
        <v>7.666666666666667</v>
      </c>
      <c r="V46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0" s="6">
        <f>Master[[#This Row],[Facture_Mensuelle]]*Master[[#This Row],[Remise]]</f>
        <v>24.961500000000001</v>
      </c>
    </row>
    <row r="461" spans="1:24" x14ac:dyDescent="0.25">
      <c r="A461" s="1" t="s">
        <v>1024</v>
      </c>
      <c r="B461" t="str">
        <f>IFERROR(VLOOKUP(Master[[#This Row],[Cell_ID]],Registre_Maintenance[],2,FALSE),"")</f>
        <v>Nord-Kivu</v>
      </c>
      <c r="C461" s="1" t="s">
        <v>1044</v>
      </c>
      <c r="D461" s="2">
        <v>45204.47152777778</v>
      </c>
      <c r="E461" s="3">
        <v>45204.47152777778</v>
      </c>
      <c r="F461">
        <v>10</v>
      </c>
      <c r="G461">
        <f>Master[[#This Row],[Duree_Panne_Min]]/60</f>
        <v>0.16666666666666666</v>
      </c>
      <c r="H461" s="1" t="s">
        <v>732</v>
      </c>
      <c r="I461">
        <f>IFERROR(VLOOKUP(Master[[#This Row],[Cell_ID]],Registre_Maintenance[],3,FALSE),"")</f>
        <v>4.9455159999999996</v>
      </c>
      <c r="J461">
        <f>IFERROR(VLOOKUP(Master[[#This Row],[Cell_ID]],Registre_Maintenance[],4,FALSE),"")</f>
        <v>23.647746000000001</v>
      </c>
      <c r="K461" t="str">
        <f>IFERROR(VLOOKUP(Master[[#This Row],[Cell_ID]],Registre_Maintenance[],5,FALSE),"")</f>
        <v>5G</v>
      </c>
      <c r="L461" t="str">
        <f>IFERROR(VLOOKUP(Master[[#This Row],[Cell_ID]],Registre_Maintenance[],6,FALSE),"")</f>
        <v>Huawei</v>
      </c>
      <c r="M461" s="1" t="str">
        <f>VLOOKUP(Master[[#This Row],[Province_RDC]],Client[],2,FALSE)</f>
        <v>CLI-00837</v>
      </c>
      <c r="N461" s="1">
        <f>VLOOKUP(Master[[#This Row],[Province_RDC]],Client[],3,FALSE)</f>
        <v>16</v>
      </c>
      <c r="O461" s="1" t="str">
        <f>VLOOKUP(Master[[#This Row],[Province_RDC]],Client[],4,FALSE)</f>
        <v>Bloqué 5Go</v>
      </c>
      <c r="P461" s="1">
        <f>VLOOKUP(Master[[#This Row],[Province_RDC]],Client[],5,FALSE)</f>
        <v>390</v>
      </c>
      <c r="Q461" s="1">
        <f>VLOOKUP(Master[[#This Row],[Province_RDC]],Client[],6,FALSE)</f>
        <v>98.17</v>
      </c>
      <c r="R461" s="1">
        <f>VLOOKUP(Master[[#This Row],[Province_RDC]],Client[],7,FALSE)</f>
        <v>5</v>
      </c>
      <c r="S461" s="1" t="str">
        <f>IF(Master[[#This Row],[Type_Forfait]]="Pro Monde","B2B","B2C")</f>
        <v>B2C</v>
      </c>
      <c r="T461" s="1">
        <f>Master[[#This Row],[Anciennete_Mois]]/12</f>
        <v>1.3333333333333333</v>
      </c>
      <c r="U461" s="1">
        <f>Master[[#This Row],[Duree_Cumule_Panne_Min]]/60</f>
        <v>6.5</v>
      </c>
      <c r="V46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1" s="6">
        <f>Master[[#This Row],[Facture_Mensuelle]]*Master[[#This Row],[Remise]]</f>
        <v>44.176500000000004</v>
      </c>
    </row>
    <row r="462" spans="1:24" x14ac:dyDescent="0.25">
      <c r="A462" s="1" t="s">
        <v>1404</v>
      </c>
      <c r="B462" t="str">
        <f>IFERROR(VLOOKUP(Master[[#This Row],[Cell_ID]],Registre_Maintenance[],2,FALSE),"")</f>
        <v>Mai-Ndombe</v>
      </c>
      <c r="C462" s="1" t="s">
        <v>917</v>
      </c>
      <c r="D462" s="2">
        <v>45223.570138888892</v>
      </c>
      <c r="E462" s="3">
        <v>45223.570138888892</v>
      </c>
      <c r="F462">
        <v>10</v>
      </c>
      <c r="G462">
        <f>Master[[#This Row],[Duree_Panne_Min]]/60</f>
        <v>0.16666666666666666</v>
      </c>
      <c r="H462" s="1" t="s">
        <v>735</v>
      </c>
      <c r="I462">
        <f>IFERROR(VLOOKUP(Master[[#This Row],[Cell_ID]],Registre_Maintenance[],3,FALSE),"")</f>
        <v>-9.3652280000000001</v>
      </c>
      <c r="J462">
        <f>IFERROR(VLOOKUP(Master[[#This Row],[Cell_ID]],Registre_Maintenance[],4,FALSE),"")</f>
        <v>18.674116000000001</v>
      </c>
      <c r="K462" t="str">
        <f>IFERROR(VLOOKUP(Master[[#This Row],[Cell_ID]],Registre_Maintenance[],5,FALSE),"")</f>
        <v>4G</v>
      </c>
      <c r="L462" t="str">
        <f>IFERROR(VLOOKUP(Master[[#This Row],[Cell_ID]],Registre_Maintenance[],6,FALSE),"")</f>
        <v>Huawei</v>
      </c>
      <c r="M462" s="1" t="str">
        <f>VLOOKUP(Master[[#This Row],[Province_RDC]],Client[],2,FALSE)</f>
        <v>CLI-00361</v>
      </c>
      <c r="N462" s="1">
        <f>VLOOKUP(Master[[#This Row],[Province_RDC]],Client[],3,FALSE)</f>
        <v>66</v>
      </c>
      <c r="O462" s="1" t="str">
        <f>VLOOKUP(Master[[#This Row],[Province_RDC]],Client[],4,FALSE)</f>
        <v>Illimité 50Go</v>
      </c>
      <c r="P462" s="1">
        <f>VLOOKUP(Master[[#This Row],[Province_RDC]],Client[],5,FALSE)</f>
        <v>270</v>
      </c>
      <c r="Q462" s="1">
        <f>VLOOKUP(Master[[#This Row],[Province_RDC]],Client[],6,FALSE)</f>
        <v>75.88</v>
      </c>
      <c r="R462" s="1">
        <f>VLOOKUP(Master[[#This Row],[Province_RDC]],Client[],7,FALSE)</f>
        <v>3</v>
      </c>
      <c r="S462" s="1" t="str">
        <f>IF(Master[[#This Row],[Type_Forfait]]="Pro Monde","B2B","B2C")</f>
        <v>B2C</v>
      </c>
      <c r="T462" s="1">
        <f>Master[[#This Row],[Anciennete_Mois]]/12</f>
        <v>5.5</v>
      </c>
      <c r="U462" s="1">
        <f>Master[[#This Row],[Duree_Cumule_Panne_Min]]/60</f>
        <v>4.5</v>
      </c>
      <c r="V46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2" s="6">
        <f>Master[[#This Row],[Facture_Mensuelle]]*Master[[#This Row],[Remise]]</f>
        <v>34.146000000000001</v>
      </c>
    </row>
    <row r="463" spans="1:24" x14ac:dyDescent="0.25">
      <c r="A463" s="1" t="s">
        <v>1114</v>
      </c>
      <c r="B463" t="str">
        <f>IFERROR(VLOOKUP(Master[[#This Row],[Cell_ID]],Registre_Maintenance[],2,FALSE),"")</f>
        <v>Kasai-Oriental</v>
      </c>
      <c r="C463" s="1" t="s">
        <v>1125</v>
      </c>
      <c r="D463" s="2">
        <v>45216.865277777782</v>
      </c>
      <c r="E463" s="3">
        <v>45216.865277777782</v>
      </c>
      <c r="F463">
        <v>10</v>
      </c>
      <c r="G463">
        <f>Master[[#This Row],[Duree_Panne_Min]]/60</f>
        <v>0.16666666666666666</v>
      </c>
      <c r="H463" s="1" t="s">
        <v>735</v>
      </c>
      <c r="I463">
        <f>IFERROR(VLOOKUP(Master[[#This Row],[Cell_ID]],Registre_Maintenance[],3,FALSE),"")</f>
        <v>-1.648326</v>
      </c>
      <c r="J463">
        <f>IFERROR(VLOOKUP(Master[[#This Row],[Cell_ID]],Registre_Maintenance[],4,FALSE),"")</f>
        <v>25.528901999999999</v>
      </c>
      <c r="K463" t="str">
        <f>IFERROR(VLOOKUP(Master[[#This Row],[Cell_ID]],Registre_Maintenance[],5,FALSE),"")</f>
        <v>4G</v>
      </c>
      <c r="L463" t="str">
        <f>IFERROR(VLOOKUP(Master[[#This Row],[Cell_ID]],Registre_Maintenance[],6,FALSE),"")</f>
        <v>Huawei</v>
      </c>
      <c r="M463" s="1" t="str">
        <f>VLOOKUP(Master[[#This Row],[Province_RDC]],Client[],2,FALSE)</f>
        <v>CLI-01837</v>
      </c>
      <c r="N463" s="1">
        <f>VLOOKUP(Master[[#This Row],[Province_RDC]],Client[],3,FALSE)</f>
        <v>97</v>
      </c>
      <c r="O463" s="1" t="str">
        <f>VLOOKUP(Master[[#This Row],[Province_RDC]],Client[],4,FALSE)</f>
        <v>Pro Monde</v>
      </c>
      <c r="P463" s="1">
        <f>VLOOKUP(Master[[#This Row],[Province_RDC]],Client[],5,FALSE)</f>
        <v>319</v>
      </c>
      <c r="Q463" s="1">
        <f>VLOOKUP(Master[[#This Row],[Province_RDC]],Client[],6,FALSE)</f>
        <v>31.25</v>
      </c>
      <c r="R463" s="1">
        <f>VLOOKUP(Master[[#This Row],[Province_RDC]],Client[],7,FALSE)</f>
        <v>1</v>
      </c>
      <c r="S463" s="1" t="str">
        <f>IF(Master[[#This Row],[Type_Forfait]]="Pro Monde","B2B","B2C")</f>
        <v>B2B</v>
      </c>
      <c r="T463" s="1">
        <f>Master[[#This Row],[Anciennete_Mois]]/12</f>
        <v>8.0833333333333339</v>
      </c>
      <c r="U463" s="1">
        <f>Master[[#This Row],[Duree_Cumule_Panne_Min]]/60</f>
        <v>5.3166666666666664</v>
      </c>
      <c r="V46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3" s="6">
        <f>Master[[#This Row],[Facture_Mensuelle]]*Master[[#This Row],[Remise]]</f>
        <v>14.0625</v>
      </c>
    </row>
    <row r="464" spans="1:24" x14ac:dyDescent="0.25">
      <c r="A464" s="1" t="s">
        <v>1219</v>
      </c>
      <c r="B464" t="str">
        <f>IFERROR(VLOOKUP(Master[[#This Row],[Cell_ID]],Registre_Maintenance[],2,FALSE),"")</f>
        <v>Kasai-Central</v>
      </c>
      <c r="C464" s="1" t="s">
        <v>1240</v>
      </c>
      <c r="D464" s="2">
        <v>45204.76666666667</v>
      </c>
      <c r="E464" s="3">
        <v>45204.76666666667</v>
      </c>
      <c r="F464">
        <v>9</v>
      </c>
      <c r="G464">
        <f>Master[[#This Row],[Duree_Panne_Min]]/60</f>
        <v>0.15</v>
      </c>
      <c r="H464" s="1" t="s">
        <v>737</v>
      </c>
      <c r="I464">
        <f>IFERROR(VLOOKUP(Master[[#This Row],[Cell_ID]],Registre_Maintenance[],3,FALSE),"")</f>
        <v>-12.560556999999999</v>
      </c>
      <c r="J464">
        <f>IFERROR(VLOOKUP(Master[[#This Row],[Cell_ID]],Registre_Maintenance[],4,FALSE),"")</f>
        <v>13.204014000000001</v>
      </c>
      <c r="K464" t="str">
        <f>IFERROR(VLOOKUP(Master[[#This Row],[Cell_ID]],Registre_Maintenance[],5,FALSE),"")</f>
        <v>4G</v>
      </c>
      <c r="L464" t="str">
        <f>IFERROR(VLOOKUP(Master[[#This Row],[Cell_ID]],Registre_Maintenance[],6,FALSE),"")</f>
        <v>Ericsson</v>
      </c>
      <c r="M464" s="1" t="str">
        <f>VLOOKUP(Master[[#This Row],[Province_RDC]],Client[],2,FALSE)</f>
        <v>CLI-00060</v>
      </c>
      <c r="N464" s="1">
        <f>VLOOKUP(Master[[#This Row],[Province_RDC]],Client[],3,FALSE)</f>
        <v>72</v>
      </c>
      <c r="O464" s="1" t="str">
        <f>VLOOKUP(Master[[#This Row],[Province_RDC]],Client[],4,FALSE)</f>
        <v>Pro Monde</v>
      </c>
      <c r="P464" s="1">
        <f>VLOOKUP(Master[[#This Row],[Province_RDC]],Client[],5,FALSE)</f>
        <v>160</v>
      </c>
      <c r="Q464" s="1">
        <f>VLOOKUP(Master[[#This Row],[Province_RDC]],Client[],6,FALSE)</f>
        <v>90.13</v>
      </c>
      <c r="R464" s="1">
        <f>VLOOKUP(Master[[#This Row],[Province_RDC]],Client[],7,FALSE)</f>
        <v>2</v>
      </c>
      <c r="S464" s="1" t="str">
        <f>IF(Master[[#This Row],[Type_Forfait]]="Pro Monde","B2B","B2C")</f>
        <v>B2B</v>
      </c>
      <c r="T464" s="1">
        <f>Master[[#This Row],[Anciennete_Mois]]/12</f>
        <v>6</v>
      </c>
      <c r="U464" s="1">
        <f>Master[[#This Row],[Duree_Cumule_Panne_Min]]/60</f>
        <v>2.6666666666666665</v>
      </c>
      <c r="V46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6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64" s="6">
        <f>Master[[#This Row],[Facture_Mensuelle]]*Master[[#This Row],[Remise]]</f>
        <v>9.0129999999999999</v>
      </c>
    </row>
    <row r="465" spans="1:24" x14ac:dyDescent="0.25">
      <c r="A465" s="1" t="s">
        <v>861</v>
      </c>
      <c r="B465" t="str">
        <f>IFERROR(VLOOKUP(Master[[#This Row],[Cell_ID]],Registre_Maintenance[],2,FALSE),"")</f>
        <v>Tshuapa</v>
      </c>
      <c r="C465" s="1" t="s">
        <v>892</v>
      </c>
      <c r="D465" s="2">
        <v>45203.950694444437</v>
      </c>
      <c r="E465" s="3">
        <v>45203.950694444437</v>
      </c>
      <c r="F465">
        <v>8</v>
      </c>
      <c r="G465">
        <f>Master[[#This Row],[Duree_Panne_Min]]/60</f>
        <v>0.13333333333333333</v>
      </c>
      <c r="H465" s="1" t="s">
        <v>735</v>
      </c>
      <c r="I465">
        <f>IFERROR(VLOOKUP(Master[[#This Row],[Cell_ID]],Registre_Maintenance[],3,FALSE),"")</f>
        <v>-0.79406600000000005</v>
      </c>
      <c r="J465">
        <f>IFERROR(VLOOKUP(Master[[#This Row],[Cell_ID]],Registre_Maintenance[],4,FALSE),"")</f>
        <v>12.534793000000001</v>
      </c>
      <c r="K465" t="str">
        <f>IFERROR(VLOOKUP(Master[[#This Row],[Cell_ID]],Registre_Maintenance[],5,FALSE),"")</f>
        <v>3G</v>
      </c>
      <c r="L465" t="str">
        <f>IFERROR(VLOOKUP(Master[[#This Row],[Cell_ID]],Registre_Maintenance[],6,FALSE),"")</f>
        <v>Huawei</v>
      </c>
      <c r="M465" s="1" t="str">
        <f>VLOOKUP(Master[[#This Row],[Province_RDC]],Client[],2,FALSE)</f>
        <v>CLI-00894</v>
      </c>
      <c r="N465" s="1">
        <f>VLOOKUP(Master[[#This Row],[Province_RDC]],Client[],3,FALSE)</f>
        <v>63</v>
      </c>
      <c r="O465" s="1" t="str">
        <f>VLOOKUP(Master[[#This Row],[Province_RDC]],Client[],4,FALSE)</f>
        <v>Pro Monde</v>
      </c>
      <c r="P465" s="1">
        <f>VLOOKUP(Master[[#This Row],[Province_RDC]],Client[],5,FALSE)</f>
        <v>205</v>
      </c>
      <c r="Q465" s="1">
        <f>VLOOKUP(Master[[#This Row],[Province_RDC]],Client[],6,FALSE)</f>
        <v>89.19</v>
      </c>
      <c r="R465" s="1">
        <f>VLOOKUP(Master[[#This Row],[Province_RDC]],Client[],7,FALSE)</f>
        <v>0</v>
      </c>
      <c r="S465" s="1" t="str">
        <f>IF(Master[[#This Row],[Type_Forfait]]="Pro Monde","B2B","B2C")</f>
        <v>B2B</v>
      </c>
      <c r="T465" s="1">
        <f>Master[[#This Row],[Anciennete_Mois]]/12</f>
        <v>5.25</v>
      </c>
      <c r="U465" s="1">
        <f>Master[[#This Row],[Duree_Cumule_Panne_Min]]/60</f>
        <v>3.4166666666666665</v>
      </c>
      <c r="V46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6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65" s="6">
        <f>Master[[#This Row],[Facture_Mensuelle]]*Master[[#This Row],[Remise]]</f>
        <v>8.9190000000000005</v>
      </c>
    </row>
    <row r="466" spans="1:24" x14ac:dyDescent="0.25">
      <c r="A466" s="1" t="s">
        <v>978</v>
      </c>
      <c r="B466" t="str">
        <f>IFERROR(VLOOKUP(Master[[#This Row],[Cell_ID]],Registre_Maintenance[],2,FALSE),"")</f>
        <v>Nord-Kivu</v>
      </c>
      <c r="C466" s="1" t="s">
        <v>995</v>
      </c>
      <c r="D466" s="2">
        <v>45217.368750000001</v>
      </c>
      <c r="E466" s="3">
        <v>45217.368750000001</v>
      </c>
      <c r="F466">
        <v>8</v>
      </c>
      <c r="G466">
        <f>Master[[#This Row],[Duree_Panne_Min]]/60</f>
        <v>0.13333333333333333</v>
      </c>
      <c r="H466" s="1" t="s">
        <v>732</v>
      </c>
      <c r="I466">
        <f>IFERROR(VLOOKUP(Master[[#This Row],[Cell_ID]],Registre_Maintenance[],3,FALSE),"")</f>
        <v>-4.1754939999999996</v>
      </c>
      <c r="J466">
        <f>IFERROR(VLOOKUP(Master[[#This Row],[Cell_ID]],Registre_Maintenance[],4,FALSE),"")</f>
        <v>16.704664999999999</v>
      </c>
      <c r="K466" t="str">
        <f>IFERROR(VLOOKUP(Master[[#This Row],[Cell_ID]],Registre_Maintenance[],5,FALSE),"")</f>
        <v>3G</v>
      </c>
      <c r="L466" t="str">
        <f>IFERROR(VLOOKUP(Master[[#This Row],[Cell_ID]],Registre_Maintenance[],6,FALSE),"")</f>
        <v>Ericsson</v>
      </c>
      <c r="M466" s="1" t="str">
        <f>VLOOKUP(Master[[#This Row],[Province_RDC]],Client[],2,FALSE)</f>
        <v>CLI-00837</v>
      </c>
      <c r="N466" s="1">
        <f>VLOOKUP(Master[[#This Row],[Province_RDC]],Client[],3,FALSE)</f>
        <v>16</v>
      </c>
      <c r="O466" s="1" t="str">
        <f>VLOOKUP(Master[[#This Row],[Province_RDC]],Client[],4,FALSE)</f>
        <v>Bloqué 5Go</v>
      </c>
      <c r="P466" s="1">
        <f>VLOOKUP(Master[[#This Row],[Province_RDC]],Client[],5,FALSE)</f>
        <v>390</v>
      </c>
      <c r="Q466" s="1">
        <f>VLOOKUP(Master[[#This Row],[Province_RDC]],Client[],6,FALSE)</f>
        <v>98.17</v>
      </c>
      <c r="R466" s="1">
        <f>VLOOKUP(Master[[#This Row],[Province_RDC]],Client[],7,FALSE)</f>
        <v>5</v>
      </c>
      <c r="S466" s="1" t="str">
        <f>IF(Master[[#This Row],[Type_Forfait]]="Pro Monde","B2B","B2C")</f>
        <v>B2C</v>
      </c>
      <c r="T466" s="1">
        <f>Master[[#This Row],[Anciennete_Mois]]/12</f>
        <v>1.3333333333333333</v>
      </c>
      <c r="U466" s="1">
        <f>Master[[#This Row],[Duree_Cumule_Panne_Min]]/60</f>
        <v>6.5</v>
      </c>
      <c r="V46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6" s="6">
        <f>Master[[#This Row],[Facture_Mensuelle]]*Master[[#This Row],[Remise]]</f>
        <v>44.176500000000004</v>
      </c>
    </row>
    <row r="467" spans="1:24" x14ac:dyDescent="0.25">
      <c r="A467" s="1" t="s">
        <v>1288</v>
      </c>
      <c r="B467" t="str">
        <f>IFERROR(VLOOKUP(Master[[#This Row],[Cell_ID]],Registre_Maintenance[],2,FALSE),"")</f>
        <v>Nord-Kivu</v>
      </c>
      <c r="C467" s="1" t="s">
        <v>977</v>
      </c>
      <c r="D467" s="2">
        <v>45214.740972222222</v>
      </c>
      <c r="E467" s="3">
        <v>45214.740972222222</v>
      </c>
      <c r="F467">
        <v>8</v>
      </c>
      <c r="G467">
        <f>Master[[#This Row],[Duree_Panne_Min]]/60</f>
        <v>0.13333333333333333</v>
      </c>
      <c r="H467" s="1" t="s">
        <v>732</v>
      </c>
      <c r="I467">
        <f>IFERROR(VLOOKUP(Master[[#This Row],[Cell_ID]],Registre_Maintenance[],3,FALSE),"")</f>
        <v>-10.846306999999999</v>
      </c>
      <c r="J467">
        <f>IFERROR(VLOOKUP(Master[[#This Row],[Cell_ID]],Registre_Maintenance[],4,FALSE),"")</f>
        <v>19.201827999999999</v>
      </c>
      <c r="K467" t="str">
        <f>IFERROR(VLOOKUP(Master[[#This Row],[Cell_ID]],Registre_Maintenance[],5,FALSE),"")</f>
        <v>4G</v>
      </c>
      <c r="L467" t="str">
        <f>IFERROR(VLOOKUP(Master[[#This Row],[Cell_ID]],Registre_Maintenance[],6,FALSE),"")</f>
        <v>Ericsson</v>
      </c>
      <c r="M467" s="1" t="str">
        <f>VLOOKUP(Master[[#This Row],[Province_RDC]],Client[],2,FALSE)</f>
        <v>CLI-00837</v>
      </c>
      <c r="N467" s="1">
        <f>VLOOKUP(Master[[#This Row],[Province_RDC]],Client[],3,FALSE)</f>
        <v>16</v>
      </c>
      <c r="O467" s="1" t="str">
        <f>VLOOKUP(Master[[#This Row],[Province_RDC]],Client[],4,FALSE)</f>
        <v>Bloqué 5Go</v>
      </c>
      <c r="P467" s="1">
        <f>VLOOKUP(Master[[#This Row],[Province_RDC]],Client[],5,FALSE)</f>
        <v>390</v>
      </c>
      <c r="Q467" s="1">
        <f>VLOOKUP(Master[[#This Row],[Province_RDC]],Client[],6,FALSE)</f>
        <v>98.17</v>
      </c>
      <c r="R467" s="1">
        <f>VLOOKUP(Master[[#This Row],[Province_RDC]],Client[],7,FALSE)</f>
        <v>5</v>
      </c>
      <c r="S467" s="1" t="str">
        <f>IF(Master[[#This Row],[Type_Forfait]]="Pro Monde","B2B","B2C")</f>
        <v>B2C</v>
      </c>
      <c r="T467" s="1">
        <f>Master[[#This Row],[Anciennete_Mois]]/12</f>
        <v>1.3333333333333333</v>
      </c>
      <c r="U467" s="1">
        <f>Master[[#This Row],[Duree_Cumule_Panne_Min]]/60</f>
        <v>6.5</v>
      </c>
      <c r="V46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6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67" s="6">
        <f>Master[[#This Row],[Facture_Mensuelle]]*Master[[#This Row],[Remise]]</f>
        <v>44.176500000000004</v>
      </c>
    </row>
    <row r="468" spans="1:24" x14ac:dyDescent="0.25">
      <c r="A468" s="1" t="s">
        <v>1308</v>
      </c>
      <c r="B468" t="str">
        <f>IFERROR(VLOOKUP(Master[[#This Row],[Cell_ID]],Registre_Maintenance[],2,FALSE),"")</f>
        <v>Lualaba</v>
      </c>
      <c r="C468" s="1" t="s">
        <v>916</v>
      </c>
      <c r="D468" s="2">
        <v>45230.119444444441</v>
      </c>
      <c r="E468" s="3">
        <v>45230.119444444441</v>
      </c>
      <c r="F468">
        <v>8</v>
      </c>
      <c r="G468">
        <f>Master[[#This Row],[Duree_Panne_Min]]/60</f>
        <v>0.13333333333333333</v>
      </c>
      <c r="H468" s="1" t="s">
        <v>735</v>
      </c>
      <c r="I468">
        <f>IFERROR(VLOOKUP(Master[[#This Row],[Cell_ID]],Registre_Maintenance[],3,FALSE),"")</f>
        <v>-9.5243310000000001</v>
      </c>
      <c r="J468">
        <f>IFERROR(VLOOKUP(Master[[#This Row],[Cell_ID]],Registre_Maintenance[],4,FALSE),"")</f>
        <v>30.541212000000002</v>
      </c>
      <c r="K468" t="str">
        <f>IFERROR(VLOOKUP(Master[[#This Row],[Cell_ID]],Registre_Maintenance[],5,FALSE),"")</f>
        <v>3G</v>
      </c>
      <c r="L468" t="str">
        <f>IFERROR(VLOOKUP(Master[[#This Row],[Cell_ID]],Registre_Maintenance[],6,FALSE),"")</f>
        <v>Ericsson</v>
      </c>
      <c r="M468" s="1" t="str">
        <f>VLOOKUP(Master[[#This Row],[Province_RDC]],Client[],2,FALSE)</f>
        <v>CLI-01005</v>
      </c>
      <c r="N468" s="1">
        <f>VLOOKUP(Master[[#This Row],[Province_RDC]],Client[],3,FALSE)</f>
        <v>80</v>
      </c>
      <c r="O468" s="1" t="str">
        <f>VLOOKUP(Master[[#This Row],[Province_RDC]],Client[],4,FALSE)</f>
        <v>Illimité 50Go</v>
      </c>
      <c r="P468" s="1">
        <f>VLOOKUP(Master[[#This Row],[Province_RDC]],Client[],5,FALSE)</f>
        <v>155</v>
      </c>
      <c r="Q468" s="1">
        <f>VLOOKUP(Master[[#This Row],[Province_RDC]],Client[],6,FALSE)</f>
        <v>28.96</v>
      </c>
      <c r="R468" s="1">
        <f>VLOOKUP(Master[[#This Row],[Province_RDC]],Client[],7,FALSE)</f>
        <v>2</v>
      </c>
      <c r="S468" s="1" t="str">
        <f>IF(Master[[#This Row],[Type_Forfait]]="Pro Monde","B2B","B2C")</f>
        <v>B2C</v>
      </c>
      <c r="T468" s="1">
        <f>Master[[#This Row],[Anciennete_Mois]]/12</f>
        <v>6.666666666666667</v>
      </c>
      <c r="U468" s="1">
        <f>Master[[#This Row],[Duree_Cumule_Panne_Min]]/60</f>
        <v>2.5833333333333335</v>
      </c>
      <c r="V46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</v>
      </c>
      <c r="W46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</v>
      </c>
      <c r="X468" s="6">
        <f>Master[[#This Row],[Facture_Mensuelle]]*Master[[#This Row],[Remise]]</f>
        <v>0</v>
      </c>
    </row>
    <row r="469" spans="1:24" x14ac:dyDescent="0.25">
      <c r="A469" s="1" t="s">
        <v>1219</v>
      </c>
      <c r="B469" t="str">
        <f>IFERROR(VLOOKUP(Master[[#This Row],[Cell_ID]],Registre_Maintenance[],2,FALSE),"")</f>
        <v>Kasai-Central</v>
      </c>
      <c r="C469" s="1" t="s">
        <v>740</v>
      </c>
      <c r="D469" s="2">
        <v>45221.180555555547</v>
      </c>
      <c r="E469" s="3">
        <v>45221.180555555547</v>
      </c>
      <c r="F469">
        <v>8</v>
      </c>
      <c r="G469">
        <f>Master[[#This Row],[Duree_Panne_Min]]/60</f>
        <v>0.13333333333333333</v>
      </c>
      <c r="H469" s="1" t="s">
        <v>732</v>
      </c>
      <c r="I469">
        <f>IFERROR(VLOOKUP(Master[[#This Row],[Cell_ID]],Registre_Maintenance[],3,FALSE),"")</f>
        <v>-1.648264</v>
      </c>
      <c r="J469">
        <f>IFERROR(VLOOKUP(Master[[#This Row],[Cell_ID]],Registre_Maintenance[],4,FALSE),"")</f>
        <v>28.866143999999998</v>
      </c>
      <c r="K469" t="str">
        <f>IFERROR(VLOOKUP(Master[[#This Row],[Cell_ID]],Registre_Maintenance[],5,FALSE),"")</f>
        <v>5G</v>
      </c>
      <c r="L469" t="str">
        <f>IFERROR(VLOOKUP(Master[[#This Row],[Cell_ID]],Registre_Maintenance[],6,FALSE),"")</f>
        <v>Ericsson</v>
      </c>
      <c r="M469" s="1" t="str">
        <f>VLOOKUP(Master[[#This Row],[Province_RDC]],Client[],2,FALSE)</f>
        <v>CLI-00060</v>
      </c>
      <c r="N469" s="1">
        <f>VLOOKUP(Master[[#This Row],[Province_RDC]],Client[],3,FALSE)</f>
        <v>72</v>
      </c>
      <c r="O469" s="1" t="str">
        <f>VLOOKUP(Master[[#This Row],[Province_RDC]],Client[],4,FALSE)</f>
        <v>Pro Monde</v>
      </c>
      <c r="P469" s="1">
        <f>VLOOKUP(Master[[#This Row],[Province_RDC]],Client[],5,FALSE)</f>
        <v>160</v>
      </c>
      <c r="Q469" s="1">
        <f>VLOOKUP(Master[[#This Row],[Province_RDC]],Client[],6,FALSE)</f>
        <v>90.13</v>
      </c>
      <c r="R469" s="1">
        <f>VLOOKUP(Master[[#This Row],[Province_RDC]],Client[],7,FALSE)</f>
        <v>2</v>
      </c>
      <c r="S469" s="1" t="str">
        <f>IF(Master[[#This Row],[Type_Forfait]]="Pro Monde","B2B","B2C")</f>
        <v>B2B</v>
      </c>
      <c r="T469" s="1">
        <f>Master[[#This Row],[Anciennete_Mois]]/12</f>
        <v>6</v>
      </c>
      <c r="U469" s="1">
        <f>Master[[#This Row],[Duree_Cumule_Panne_Min]]/60</f>
        <v>2.6666666666666665</v>
      </c>
      <c r="V46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6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69" s="6">
        <f>Master[[#This Row],[Facture_Mensuelle]]*Master[[#This Row],[Remise]]</f>
        <v>9.0129999999999999</v>
      </c>
    </row>
    <row r="470" spans="1:24" x14ac:dyDescent="0.25">
      <c r="A470" s="1" t="s">
        <v>939</v>
      </c>
      <c r="B470" t="str">
        <f>IFERROR(VLOOKUP(Master[[#This Row],[Cell_ID]],Registre_Maintenance[],2,FALSE),"")</f>
        <v>Haut-Lomami</v>
      </c>
      <c r="C470" s="1" t="s">
        <v>952</v>
      </c>
      <c r="D470" s="2">
        <v>45208.443749999999</v>
      </c>
      <c r="E470" s="3">
        <v>45208.443749999999</v>
      </c>
      <c r="F470">
        <v>7</v>
      </c>
      <c r="G470">
        <f>Master[[#This Row],[Duree_Panne_Min]]/60</f>
        <v>0.11666666666666667</v>
      </c>
      <c r="H470" s="1" t="s">
        <v>737</v>
      </c>
      <c r="I470">
        <f>IFERROR(VLOOKUP(Master[[#This Row],[Cell_ID]],Registre_Maintenance[],3,FALSE),"")</f>
        <v>-6.3324319999999998</v>
      </c>
      <c r="J470">
        <f>IFERROR(VLOOKUP(Master[[#This Row],[Cell_ID]],Registre_Maintenance[],4,FALSE),"")</f>
        <v>24.887858000000001</v>
      </c>
      <c r="K470" t="str">
        <f>IFERROR(VLOOKUP(Master[[#This Row],[Cell_ID]],Registre_Maintenance[],5,FALSE),"")</f>
        <v>4G</v>
      </c>
      <c r="L470" t="str">
        <f>IFERROR(VLOOKUP(Master[[#This Row],[Cell_ID]],Registre_Maintenance[],6,FALSE),"")</f>
        <v>ZTE</v>
      </c>
      <c r="M470" s="1" t="str">
        <f>VLOOKUP(Master[[#This Row],[Province_RDC]],Client[],2,FALSE)</f>
        <v>CLI-01325</v>
      </c>
      <c r="N470" s="1">
        <f>VLOOKUP(Master[[#This Row],[Province_RDC]],Client[],3,FALSE)</f>
        <v>44</v>
      </c>
      <c r="O470" s="1" t="str">
        <f>VLOOKUP(Master[[#This Row],[Province_RDC]],Client[],4,FALSE)</f>
        <v>Bloqué 5Go</v>
      </c>
      <c r="P470" s="1">
        <f>VLOOKUP(Master[[#This Row],[Province_RDC]],Client[],5,FALSE)</f>
        <v>348</v>
      </c>
      <c r="Q470" s="1">
        <f>VLOOKUP(Master[[#This Row],[Province_RDC]],Client[],6,FALSE)</f>
        <v>58.67</v>
      </c>
      <c r="R470" s="1">
        <f>VLOOKUP(Master[[#This Row],[Province_RDC]],Client[],7,FALSE)</f>
        <v>0</v>
      </c>
      <c r="S470" s="1" t="str">
        <f>IF(Master[[#This Row],[Type_Forfait]]="Pro Monde","B2B","B2C")</f>
        <v>B2C</v>
      </c>
      <c r="T470" s="1">
        <f>Master[[#This Row],[Anciennete_Mois]]/12</f>
        <v>3.6666666666666665</v>
      </c>
      <c r="U470" s="1">
        <f>Master[[#This Row],[Duree_Cumule_Panne_Min]]/60</f>
        <v>5.8</v>
      </c>
      <c r="V470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0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0" s="6">
        <f>Master[[#This Row],[Facture_Mensuelle]]*Master[[#This Row],[Remise]]</f>
        <v>26.401500000000002</v>
      </c>
    </row>
    <row r="471" spans="1:24" x14ac:dyDescent="0.25">
      <c r="A471" s="1" t="s">
        <v>1165</v>
      </c>
      <c r="B471" t="str">
        <f>IFERROR(VLOOKUP(Master[[#This Row],[Cell_ID]],Registre_Maintenance[],2,FALSE),"")</f>
        <v>Tshuapa</v>
      </c>
      <c r="C471" s="1" t="s">
        <v>1017</v>
      </c>
      <c r="D471" s="2">
        <v>45225.979166666657</v>
      </c>
      <c r="E471" s="3">
        <v>45225.979166666657</v>
      </c>
      <c r="F471">
        <v>6</v>
      </c>
      <c r="G471">
        <f>Master[[#This Row],[Duree_Panne_Min]]/60</f>
        <v>0.1</v>
      </c>
      <c r="H471" s="1" t="s">
        <v>732</v>
      </c>
      <c r="I471">
        <f>IFERROR(VLOOKUP(Master[[#This Row],[Cell_ID]],Registre_Maintenance[],3,FALSE),"")</f>
        <v>-10.577049000000001</v>
      </c>
      <c r="J471">
        <f>IFERROR(VLOOKUP(Master[[#This Row],[Cell_ID]],Registre_Maintenance[],4,FALSE),"")</f>
        <v>23.721854</v>
      </c>
      <c r="K471" t="str">
        <f>IFERROR(VLOOKUP(Master[[#This Row],[Cell_ID]],Registre_Maintenance[],5,FALSE),"")</f>
        <v>4G</v>
      </c>
      <c r="L471" t="str">
        <f>IFERROR(VLOOKUP(Master[[#This Row],[Cell_ID]],Registre_Maintenance[],6,FALSE),"")</f>
        <v>ZTE</v>
      </c>
      <c r="M471" s="1" t="str">
        <f>VLOOKUP(Master[[#This Row],[Province_RDC]],Client[],2,FALSE)</f>
        <v>CLI-00894</v>
      </c>
      <c r="N471" s="1">
        <f>VLOOKUP(Master[[#This Row],[Province_RDC]],Client[],3,FALSE)</f>
        <v>63</v>
      </c>
      <c r="O471" s="1" t="str">
        <f>VLOOKUP(Master[[#This Row],[Province_RDC]],Client[],4,FALSE)</f>
        <v>Pro Monde</v>
      </c>
      <c r="P471" s="1">
        <f>VLOOKUP(Master[[#This Row],[Province_RDC]],Client[],5,FALSE)</f>
        <v>205</v>
      </c>
      <c r="Q471" s="1">
        <f>VLOOKUP(Master[[#This Row],[Province_RDC]],Client[],6,FALSE)</f>
        <v>89.19</v>
      </c>
      <c r="R471" s="1">
        <f>VLOOKUP(Master[[#This Row],[Province_RDC]],Client[],7,FALSE)</f>
        <v>0</v>
      </c>
      <c r="S471" s="1" t="str">
        <f>IF(Master[[#This Row],[Type_Forfait]]="Pro Monde","B2B","B2C")</f>
        <v>B2B</v>
      </c>
      <c r="T471" s="1">
        <f>Master[[#This Row],[Anciennete_Mois]]/12</f>
        <v>5.25</v>
      </c>
      <c r="U471" s="1">
        <f>Master[[#This Row],[Duree_Cumule_Panne_Min]]/60</f>
        <v>3.4166666666666665</v>
      </c>
      <c r="V471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71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71" s="6">
        <f>Master[[#This Row],[Facture_Mensuelle]]*Master[[#This Row],[Remise]]</f>
        <v>8.9190000000000005</v>
      </c>
    </row>
    <row r="472" spans="1:24" x14ac:dyDescent="0.25">
      <c r="A472" s="1" t="s">
        <v>1241</v>
      </c>
      <c r="B472" t="str">
        <f>IFERROR(VLOOKUP(Master[[#This Row],[Cell_ID]],Registre_Maintenance[],2,FALSE),"")</f>
        <v>Kwango</v>
      </c>
      <c r="C472" s="1" t="s">
        <v>809</v>
      </c>
      <c r="D472" s="2">
        <v>45218.038194444453</v>
      </c>
      <c r="E472" s="3">
        <v>45218.038194444453</v>
      </c>
      <c r="F472">
        <v>6</v>
      </c>
      <c r="G472">
        <f>Master[[#This Row],[Duree_Panne_Min]]/60</f>
        <v>0.1</v>
      </c>
      <c r="H472" s="1" t="s">
        <v>732</v>
      </c>
      <c r="I472">
        <f>IFERROR(VLOOKUP(Master[[#This Row],[Cell_ID]],Registre_Maintenance[],3,FALSE),"")</f>
        <v>-9.7712979999999998</v>
      </c>
      <c r="J472">
        <f>IFERROR(VLOOKUP(Master[[#This Row],[Cell_ID]],Registre_Maintenance[],4,FALSE),"")</f>
        <v>19.827895999999999</v>
      </c>
      <c r="K472" t="str">
        <f>IFERROR(VLOOKUP(Master[[#This Row],[Cell_ID]],Registre_Maintenance[],5,FALSE),"")</f>
        <v>3G</v>
      </c>
      <c r="L472" t="str">
        <f>IFERROR(VLOOKUP(Master[[#This Row],[Cell_ID]],Registre_Maintenance[],6,FALSE),"")</f>
        <v>ZTE</v>
      </c>
      <c r="M472" s="1" t="str">
        <f>VLOOKUP(Master[[#This Row],[Province_RDC]],Client[],2,FALSE)</f>
        <v>CLI-00569</v>
      </c>
      <c r="N472" s="1">
        <f>VLOOKUP(Master[[#This Row],[Province_RDC]],Client[],3,FALSE)</f>
        <v>110</v>
      </c>
      <c r="O472" s="1" t="str">
        <f>VLOOKUP(Master[[#This Row],[Province_RDC]],Client[],4,FALSE)</f>
        <v>Pro Monde</v>
      </c>
      <c r="P472" s="1">
        <f>VLOOKUP(Master[[#This Row],[Province_RDC]],Client[],5,FALSE)</f>
        <v>423</v>
      </c>
      <c r="Q472" s="1">
        <f>VLOOKUP(Master[[#This Row],[Province_RDC]],Client[],6,FALSE)</f>
        <v>37.35</v>
      </c>
      <c r="R472" s="1">
        <f>VLOOKUP(Master[[#This Row],[Province_RDC]],Client[],7,FALSE)</f>
        <v>4</v>
      </c>
      <c r="S472" s="1" t="str">
        <f>IF(Master[[#This Row],[Type_Forfait]]="Pro Monde","B2B","B2C")</f>
        <v>B2B</v>
      </c>
      <c r="T472" s="1">
        <f>Master[[#This Row],[Anciennete_Mois]]/12</f>
        <v>9.1666666666666661</v>
      </c>
      <c r="U472" s="1">
        <f>Master[[#This Row],[Duree_Cumule_Panne_Min]]/60</f>
        <v>7.05</v>
      </c>
      <c r="V472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2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2" s="6">
        <f>Master[[#This Row],[Facture_Mensuelle]]*Master[[#This Row],[Remise]]</f>
        <v>16.807500000000001</v>
      </c>
    </row>
    <row r="473" spans="1:24" x14ac:dyDescent="0.25">
      <c r="A473" s="1" t="s">
        <v>939</v>
      </c>
      <c r="B473" t="str">
        <f>IFERROR(VLOOKUP(Master[[#This Row],[Cell_ID]],Registre_Maintenance[],2,FALSE),"")</f>
        <v>Kongo-Central</v>
      </c>
      <c r="C473" s="1" t="s">
        <v>956</v>
      </c>
      <c r="D473" s="2">
        <v>45222.663194444453</v>
      </c>
      <c r="E473" s="3">
        <v>45222.663194444453</v>
      </c>
      <c r="F473">
        <v>6</v>
      </c>
      <c r="G473">
        <f>Master[[#This Row],[Duree_Panne_Min]]/60</f>
        <v>0.1</v>
      </c>
      <c r="H473" s="1" t="s">
        <v>737</v>
      </c>
      <c r="I473">
        <f>IFERROR(VLOOKUP(Master[[#This Row],[Cell_ID]],Registre_Maintenance[],3,FALSE),"")</f>
        <v>2.975352</v>
      </c>
      <c r="J473">
        <f>IFERROR(VLOOKUP(Master[[#This Row],[Cell_ID]],Registre_Maintenance[],4,FALSE),"")</f>
        <v>22.535886000000001</v>
      </c>
      <c r="K473" t="str">
        <f>IFERROR(VLOOKUP(Master[[#This Row],[Cell_ID]],Registre_Maintenance[],5,FALSE),"")</f>
        <v>4G</v>
      </c>
      <c r="L473" t="str">
        <f>IFERROR(VLOOKUP(Master[[#This Row],[Cell_ID]],Registre_Maintenance[],6,FALSE),"")</f>
        <v>Huawei</v>
      </c>
      <c r="M473" s="1" t="str">
        <f>VLOOKUP(Master[[#This Row],[Province_RDC]],Client[],2,FALSE)</f>
        <v>CLI-01233</v>
      </c>
      <c r="N473" s="1">
        <f>VLOOKUP(Master[[#This Row],[Province_RDC]],Client[],3,FALSE)</f>
        <v>101</v>
      </c>
      <c r="O473" s="1" t="str">
        <f>VLOOKUP(Master[[#This Row],[Province_RDC]],Client[],4,FALSE)</f>
        <v>Pro Monde</v>
      </c>
      <c r="P473" s="1">
        <f>VLOOKUP(Master[[#This Row],[Province_RDC]],Client[],5,FALSE)</f>
        <v>333</v>
      </c>
      <c r="Q473" s="1">
        <f>VLOOKUP(Master[[#This Row],[Province_RDC]],Client[],6,FALSE)</f>
        <v>74.319999999999993</v>
      </c>
      <c r="R473" s="1">
        <f>VLOOKUP(Master[[#This Row],[Province_RDC]],Client[],7,FALSE)</f>
        <v>1</v>
      </c>
      <c r="S473" s="1" t="str">
        <f>IF(Master[[#This Row],[Type_Forfait]]="Pro Monde","B2B","B2C")</f>
        <v>B2B</v>
      </c>
      <c r="T473" s="1">
        <f>Master[[#This Row],[Anciennete_Mois]]/12</f>
        <v>8.4166666666666661</v>
      </c>
      <c r="U473" s="1">
        <f>Master[[#This Row],[Duree_Cumule_Panne_Min]]/60</f>
        <v>5.55</v>
      </c>
      <c r="V473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3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3" s="6">
        <f>Master[[#This Row],[Facture_Mensuelle]]*Master[[#This Row],[Remise]]</f>
        <v>33.443999999999996</v>
      </c>
    </row>
    <row r="474" spans="1:24" x14ac:dyDescent="0.25">
      <c r="A474" s="1" t="s">
        <v>1330</v>
      </c>
      <c r="B474" t="str">
        <f>IFERROR(VLOOKUP(Master[[#This Row],[Cell_ID]],Registre_Maintenance[],2,FALSE),"")</f>
        <v>Kasai-Oriental</v>
      </c>
      <c r="C474" s="1" t="s">
        <v>1339</v>
      </c>
      <c r="D474" s="2">
        <v>45211.063888888893</v>
      </c>
      <c r="E474" s="3">
        <v>45211.063888888893</v>
      </c>
      <c r="F474">
        <v>6</v>
      </c>
      <c r="G474">
        <f>Master[[#This Row],[Duree_Panne_Min]]/60</f>
        <v>0.1</v>
      </c>
      <c r="H474" s="1" t="s">
        <v>737</v>
      </c>
      <c r="I474">
        <f>IFERROR(VLOOKUP(Master[[#This Row],[Cell_ID]],Registre_Maintenance[],3,FALSE),"")</f>
        <v>1.7832440000000001</v>
      </c>
      <c r="J474">
        <f>IFERROR(VLOOKUP(Master[[#This Row],[Cell_ID]],Registre_Maintenance[],4,FALSE),"")</f>
        <v>25.477405999999998</v>
      </c>
      <c r="K474" t="str">
        <f>IFERROR(VLOOKUP(Master[[#This Row],[Cell_ID]],Registre_Maintenance[],5,FALSE),"")</f>
        <v>5G</v>
      </c>
      <c r="L474" t="str">
        <f>IFERROR(VLOOKUP(Master[[#This Row],[Cell_ID]],Registre_Maintenance[],6,FALSE),"")</f>
        <v>Huawei</v>
      </c>
      <c r="M474" s="1" t="str">
        <f>VLOOKUP(Master[[#This Row],[Province_RDC]],Client[],2,FALSE)</f>
        <v>CLI-01837</v>
      </c>
      <c r="N474" s="1">
        <f>VLOOKUP(Master[[#This Row],[Province_RDC]],Client[],3,FALSE)</f>
        <v>97</v>
      </c>
      <c r="O474" s="1" t="str">
        <f>VLOOKUP(Master[[#This Row],[Province_RDC]],Client[],4,FALSE)</f>
        <v>Pro Monde</v>
      </c>
      <c r="P474" s="1">
        <f>VLOOKUP(Master[[#This Row],[Province_RDC]],Client[],5,FALSE)</f>
        <v>319</v>
      </c>
      <c r="Q474" s="1">
        <f>VLOOKUP(Master[[#This Row],[Province_RDC]],Client[],6,FALSE)</f>
        <v>31.25</v>
      </c>
      <c r="R474" s="1">
        <f>VLOOKUP(Master[[#This Row],[Province_RDC]],Client[],7,FALSE)</f>
        <v>1</v>
      </c>
      <c r="S474" s="1" t="str">
        <f>IF(Master[[#This Row],[Type_Forfait]]="Pro Monde","B2B","B2C")</f>
        <v>B2B</v>
      </c>
      <c r="T474" s="1">
        <f>Master[[#This Row],[Anciennete_Mois]]/12</f>
        <v>8.0833333333333339</v>
      </c>
      <c r="U474" s="1">
        <f>Master[[#This Row],[Duree_Cumule_Panne_Min]]/60</f>
        <v>5.3166666666666664</v>
      </c>
      <c r="V474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4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4" s="6">
        <f>Master[[#This Row],[Facture_Mensuelle]]*Master[[#This Row],[Remise]]</f>
        <v>14.0625</v>
      </c>
    </row>
    <row r="475" spans="1:24" x14ac:dyDescent="0.25">
      <c r="A475" s="1" t="s">
        <v>730</v>
      </c>
      <c r="B475" t="str">
        <f>IFERROR(VLOOKUP(Master[[#This Row],[Cell_ID]],Registre_Maintenance[],2,FALSE),"")</f>
        <v>Kasai</v>
      </c>
      <c r="C475" s="1" t="s">
        <v>765</v>
      </c>
      <c r="D475" s="2">
        <v>45221.836111111108</v>
      </c>
      <c r="E475" s="3">
        <v>45221.836111111108</v>
      </c>
      <c r="F475">
        <v>6</v>
      </c>
      <c r="G475">
        <f>Master[[#This Row],[Duree_Panne_Min]]/60</f>
        <v>0.1</v>
      </c>
      <c r="H475" s="1" t="s">
        <v>737</v>
      </c>
      <c r="I475">
        <f>IFERROR(VLOOKUP(Master[[#This Row],[Cell_ID]],Registre_Maintenance[],3,FALSE),"")</f>
        <v>-4.9789079999999997</v>
      </c>
      <c r="J475">
        <f>IFERROR(VLOOKUP(Master[[#This Row],[Cell_ID]],Registre_Maintenance[],4,FALSE),"")</f>
        <v>28.506295000000001</v>
      </c>
      <c r="K475" t="str">
        <f>IFERROR(VLOOKUP(Master[[#This Row],[Cell_ID]],Registre_Maintenance[],5,FALSE),"")</f>
        <v>4G</v>
      </c>
      <c r="L475" t="str">
        <f>IFERROR(VLOOKUP(Master[[#This Row],[Cell_ID]],Registre_Maintenance[],6,FALSE),"")</f>
        <v>Huawei</v>
      </c>
      <c r="M475" s="1" t="str">
        <f>VLOOKUP(Master[[#This Row],[Province_RDC]],Client[],2,FALSE)</f>
        <v>CLI-00559</v>
      </c>
      <c r="N475" s="1">
        <f>VLOOKUP(Master[[#This Row],[Province_RDC]],Client[],3,FALSE)</f>
        <v>99</v>
      </c>
      <c r="O475" s="1" t="str">
        <f>VLOOKUP(Master[[#This Row],[Province_RDC]],Client[],4,FALSE)</f>
        <v>Bloqué 5Go</v>
      </c>
      <c r="P475" s="1">
        <f>VLOOKUP(Master[[#This Row],[Province_RDC]],Client[],5,FALSE)</f>
        <v>369</v>
      </c>
      <c r="Q475" s="1">
        <f>VLOOKUP(Master[[#This Row],[Province_RDC]],Client[],6,FALSE)</f>
        <v>67.209999999999994</v>
      </c>
      <c r="R475" s="1">
        <f>VLOOKUP(Master[[#This Row],[Province_RDC]],Client[],7,FALSE)</f>
        <v>3</v>
      </c>
      <c r="S475" s="1" t="str">
        <f>IF(Master[[#This Row],[Type_Forfait]]="Pro Monde","B2B","B2C")</f>
        <v>B2C</v>
      </c>
      <c r="T475" s="1">
        <f>Master[[#This Row],[Anciennete_Mois]]/12</f>
        <v>8.25</v>
      </c>
      <c r="U475" s="1">
        <f>Master[[#This Row],[Duree_Cumule_Panne_Min]]/60</f>
        <v>6.15</v>
      </c>
      <c r="V475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5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5" s="6">
        <f>Master[[#This Row],[Facture_Mensuelle]]*Master[[#This Row],[Remise]]</f>
        <v>30.244499999999999</v>
      </c>
    </row>
    <row r="476" spans="1:24" x14ac:dyDescent="0.25">
      <c r="A476" s="1" t="s">
        <v>1382</v>
      </c>
      <c r="B476" t="str">
        <f>IFERROR(VLOOKUP(Master[[#This Row],[Cell_ID]],Registre_Maintenance[],2,FALSE),"")</f>
        <v>Bas-Uele</v>
      </c>
      <c r="C476" s="1" t="s">
        <v>901</v>
      </c>
      <c r="D476" s="2">
        <v>45214.172222222223</v>
      </c>
      <c r="E476" s="3">
        <v>45214.172222222223</v>
      </c>
      <c r="F476">
        <v>6</v>
      </c>
      <c r="G476">
        <f>Master[[#This Row],[Duree_Panne_Min]]/60</f>
        <v>0.1</v>
      </c>
      <c r="H476" s="1" t="s">
        <v>732</v>
      </c>
      <c r="I476">
        <f>IFERROR(VLOOKUP(Master[[#This Row],[Cell_ID]],Registre_Maintenance[],3,FALSE),"")</f>
        <v>-3.6945459999999999</v>
      </c>
      <c r="J476">
        <f>IFERROR(VLOOKUP(Master[[#This Row],[Cell_ID]],Registre_Maintenance[],4,FALSE),"")</f>
        <v>16.809108999999999</v>
      </c>
      <c r="K476" t="str">
        <f>IFERROR(VLOOKUP(Master[[#This Row],[Cell_ID]],Registre_Maintenance[],5,FALSE),"")</f>
        <v>5G</v>
      </c>
      <c r="L476" t="str">
        <f>IFERROR(VLOOKUP(Master[[#This Row],[Cell_ID]],Registre_Maintenance[],6,FALSE),"")</f>
        <v>ZTE</v>
      </c>
      <c r="M476" s="1" t="str">
        <f>VLOOKUP(Master[[#This Row],[Province_RDC]],Client[],2,FALSE)</f>
        <v>CLI-01128</v>
      </c>
      <c r="N476" s="1">
        <f>VLOOKUP(Master[[#This Row],[Province_RDC]],Client[],3,FALSE)</f>
        <v>112</v>
      </c>
      <c r="O476" s="1" t="str">
        <f>VLOOKUP(Master[[#This Row],[Province_RDC]],Client[],4,FALSE)</f>
        <v>Premium 5G 150Go</v>
      </c>
      <c r="P476" s="1">
        <f>VLOOKUP(Master[[#This Row],[Province_RDC]],Client[],5,FALSE)</f>
        <v>460</v>
      </c>
      <c r="Q476" s="1">
        <f>VLOOKUP(Master[[#This Row],[Province_RDC]],Client[],6,FALSE)</f>
        <v>55.47</v>
      </c>
      <c r="R476" s="1">
        <f>VLOOKUP(Master[[#This Row],[Province_RDC]],Client[],7,FALSE)</f>
        <v>4</v>
      </c>
      <c r="S476" s="1" t="str">
        <f>IF(Master[[#This Row],[Type_Forfait]]="Pro Monde","B2B","B2C")</f>
        <v>B2C</v>
      </c>
      <c r="T476" s="1">
        <f>Master[[#This Row],[Anciennete_Mois]]/12</f>
        <v>9.3333333333333339</v>
      </c>
      <c r="U476" s="1">
        <f>Master[[#This Row],[Duree_Cumule_Panne_Min]]/60</f>
        <v>7.666666666666667</v>
      </c>
      <c r="V476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6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6" s="6">
        <f>Master[[#This Row],[Facture_Mensuelle]]*Master[[#This Row],[Remise]]</f>
        <v>24.961500000000001</v>
      </c>
    </row>
    <row r="477" spans="1:24" x14ac:dyDescent="0.25">
      <c r="A477" s="1" t="s">
        <v>1261</v>
      </c>
      <c r="B477" t="str">
        <f>IFERROR(VLOOKUP(Master[[#This Row],[Cell_ID]],Registre_Maintenance[],2,FALSE),"")</f>
        <v>Nord-Ubangi</v>
      </c>
      <c r="C477" s="1" t="s">
        <v>1201</v>
      </c>
      <c r="D477" s="2">
        <v>45229.972222222219</v>
      </c>
      <c r="E477" s="3">
        <v>45229.972222222219</v>
      </c>
      <c r="F477">
        <v>5</v>
      </c>
      <c r="G477">
        <f>Master[[#This Row],[Duree_Panne_Min]]/60</f>
        <v>8.3333333333333329E-2</v>
      </c>
      <c r="H477" s="1" t="s">
        <v>737</v>
      </c>
      <c r="I477">
        <f>IFERROR(VLOOKUP(Master[[#This Row],[Cell_ID]],Registre_Maintenance[],3,FALSE),"")</f>
        <v>-8.4985189999999999</v>
      </c>
      <c r="J477">
        <f>IFERROR(VLOOKUP(Master[[#This Row],[Cell_ID]],Registre_Maintenance[],4,FALSE),"")</f>
        <v>12.929456999999999</v>
      </c>
      <c r="K477" t="str">
        <f>IFERROR(VLOOKUP(Master[[#This Row],[Cell_ID]],Registre_Maintenance[],5,FALSE),"")</f>
        <v>4G</v>
      </c>
      <c r="L477" t="str">
        <f>IFERROR(VLOOKUP(Master[[#This Row],[Cell_ID]],Registre_Maintenance[],6,FALSE),"")</f>
        <v>Ericsson</v>
      </c>
      <c r="M477" s="1" t="str">
        <f>VLOOKUP(Master[[#This Row],[Province_RDC]],Client[],2,FALSE)</f>
        <v>CLI-01170</v>
      </c>
      <c r="N477" s="1">
        <f>VLOOKUP(Master[[#This Row],[Province_RDC]],Client[],3,FALSE)</f>
        <v>98</v>
      </c>
      <c r="O477" s="1" t="str">
        <f>VLOOKUP(Master[[#This Row],[Province_RDC]],Client[],4,FALSE)</f>
        <v>Pro Monde</v>
      </c>
      <c r="P477" s="1">
        <f>VLOOKUP(Master[[#This Row],[Province_RDC]],Client[],5,FALSE)</f>
        <v>482</v>
      </c>
      <c r="Q477" s="1">
        <f>VLOOKUP(Master[[#This Row],[Province_RDC]],Client[],6,FALSE)</f>
        <v>55.04</v>
      </c>
      <c r="R477" s="1">
        <f>VLOOKUP(Master[[#This Row],[Province_RDC]],Client[],7,FALSE)</f>
        <v>5</v>
      </c>
      <c r="S477" s="1" t="str">
        <f>IF(Master[[#This Row],[Type_Forfait]]="Pro Monde","B2B","B2C")</f>
        <v>B2B</v>
      </c>
      <c r="T477" s="1">
        <f>Master[[#This Row],[Anciennete_Mois]]/12</f>
        <v>8.1666666666666661</v>
      </c>
      <c r="U477" s="1">
        <f>Master[[#This Row],[Duree_Cumule_Panne_Min]]/60</f>
        <v>8.0333333333333332</v>
      </c>
      <c r="V477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7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7" s="6">
        <f>Master[[#This Row],[Facture_Mensuelle]]*Master[[#This Row],[Remise]]</f>
        <v>24.768000000000001</v>
      </c>
    </row>
    <row r="478" spans="1:24" x14ac:dyDescent="0.25">
      <c r="A478" s="1" t="s">
        <v>1404</v>
      </c>
      <c r="B478" t="str">
        <f>IFERROR(VLOOKUP(Master[[#This Row],[Cell_ID]],Registre_Maintenance[],2,FALSE),"")</f>
        <v>Kasai-Oriental</v>
      </c>
      <c r="C478" s="1" t="s">
        <v>1055</v>
      </c>
      <c r="D478" s="2">
        <v>45226.115972222222</v>
      </c>
      <c r="E478" s="3">
        <v>45226.115972222222</v>
      </c>
      <c r="F478">
        <v>5</v>
      </c>
      <c r="G478">
        <f>Master[[#This Row],[Duree_Panne_Min]]/60</f>
        <v>8.3333333333333329E-2</v>
      </c>
      <c r="H478" s="1" t="s">
        <v>737</v>
      </c>
      <c r="I478">
        <f>IFERROR(VLOOKUP(Master[[#This Row],[Cell_ID]],Registre_Maintenance[],3,FALSE),"")</f>
        <v>2.486888</v>
      </c>
      <c r="J478">
        <f>IFERROR(VLOOKUP(Master[[#This Row],[Cell_ID]],Registre_Maintenance[],4,FALSE),"")</f>
        <v>23.798074</v>
      </c>
      <c r="K478" t="str">
        <f>IFERROR(VLOOKUP(Master[[#This Row],[Cell_ID]],Registre_Maintenance[],5,FALSE),"")</f>
        <v>5G</v>
      </c>
      <c r="L478" t="str">
        <f>IFERROR(VLOOKUP(Master[[#This Row],[Cell_ID]],Registre_Maintenance[],6,FALSE),"")</f>
        <v>ZTE</v>
      </c>
      <c r="M478" s="1" t="str">
        <f>VLOOKUP(Master[[#This Row],[Province_RDC]],Client[],2,FALSE)</f>
        <v>CLI-01837</v>
      </c>
      <c r="N478" s="1">
        <f>VLOOKUP(Master[[#This Row],[Province_RDC]],Client[],3,FALSE)</f>
        <v>97</v>
      </c>
      <c r="O478" s="1" t="str">
        <f>VLOOKUP(Master[[#This Row],[Province_RDC]],Client[],4,FALSE)</f>
        <v>Pro Monde</v>
      </c>
      <c r="P478" s="1">
        <f>VLOOKUP(Master[[#This Row],[Province_RDC]],Client[],5,FALSE)</f>
        <v>319</v>
      </c>
      <c r="Q478" s="1">
        <f>VLOOKUP(Master[[#This Row],[Province_RDC]],Client[],6,FALSE)</f>
        <v>31.25</v>
      </c>
      <c r="R478" s="1">
        <f>VLOOKUP(Master[[#This Row],[Province_RDC]],Client[],7,FALSE)</f>
        <v>1</v>
      </c>
      <c r="S478" s="1" t="str">
        <f>IF(Master[[#This Row],[Type_Forfait]]="Pro Monde","B2B","B2C")</f>
        <v>B2B</v>
      </c>
      <c r="T478" s="1">
        <f>Master[[#This Row],[Anciennete_Mois]]/12</f>
        <v>8.0833333333333339</v>
      </c>
      <c r="U478" s="1">
        <f>Master[[#This Row],[Duree_Cumule_Panne_Min]]/60</f>
        <v>5.3166666666666664</v>
      </c>
      <c r="V478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0.45</v>
      </c>
      <c r="W478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0.45</v>
      </c>
      <c r="X478" s="6">
        <f>Master[[#This Row],[Facture_Mensuelle]]*Master[[#This Row],[Remise]]</f>
        <v>14.0625</v>
      </c>
    </row>
    <row r="479" spans="1:24" x14ac:dyDescent="0.25">
      <c r="A479" s="1" t="s">
        <v>823</v>
      </c>
      <c r="B479" t="str">
        <f>IFERROR(VLOOKUP(Master[[#This Row],[Cell_ID]],Registre_Maintenance[],2,FALSE),"")</f>
        <v>Kasai-Central</v>
      </c>
      <c r="C479" s="1" t="s">
        <v>837</v>
      </c>
      <c r="D479" s="2">
        <v>45229.443749999999</v>
      </c>
      <c r="E479" s="3">
        <v>45229.443749999999</v>
      </c>
      <c r="F479">
        <v>5</v>
      </c>
      <c r="G479">
        <f>Master[[#This Row],[Duree_Panne_Min]]/60</f>
        <v>8.3333333333333329E-2</v>
      </c>
      <c r="H479" s="1" t="s">
        <v>732</v>
      </c>
      <c r="I479">
        <f>IFERROR(VLOOKUP(Master[[#This Row],[Cell_ID]],Registre_Maintenance[],3,FALSE),"")</f>
        <v>-6.6803710000000001</v>
      </c>
      <c r="J479">
        <f>IFERROR(VLOOKUP(Master[[#This Row],[Cell_ID]],Registre_Maintenance[],4,FALSE),"")</f>
        <v>21.955673000000001</v>
      </c>
      <c r="K479" t="str">
        <f>IFERROR(VLOOKUP(Master[[#This Row],[Cell_ID]],Registre_Maintenance[],5,FALSE),"")</f>
        <v>4G</v>
      </c>
      <c r="L479" t="str">
        <f>IFERROR(VLOOKUP(Master[[#This Row],[Cell_ID]],Registre_Maintenance[],6,FALSE),"")</f>
        <v>Nokia</v>
      </c>
      <c r="M479" s="1" t="str">
        <f>VLOOKUP(Master[[#This Row],[Province_RDC]],Client[],2,FALSE)</f>
        <v>CLI-00060</v>
      </c>
      <c r="N479" s="1">
        <f>VLOOKUP(Master[[#This Row],[Province_RDC]],Client[],3,FALSE)</f>
        <v>72</v>
      </c>
      <c r="O479" s="1" t="str">
        <f>VLOOKUP(Master[[#This Row],[Province_RDC]],Client[],4,FALSE)</f>
        <v>Pro Monde</v>
      </c>
      <c r="P479" s="1">
        <f>VLOOKUP(Master[[#This Row],[Province_RDC]],Client[],5,FALSE)</f>
        <v>160</v>
      </c>
      <c r="Q479" s="1">
        <f>VLOOKUP(Master[[#This Row],[Province_RDC]],Client[],6,FALSE)</f>
        <v>90.13</v>
      </c>
      <c r="R479" s="1">
        <f>VLOOKUP(Master[[#This Row],[Province_RDC]],Client[],7,FALSE)</f>
        <v>2</v>
      </c>
      <c r="S479" s="1" t="str">
        <f>IF(Master[[#This Row],[Type_Forfait]]="Pro Monde","B2B","B2C")</f>
        <v>B2B</v>
      </c>
      <c r="T479" s="1">
        <f>Master[[#This Row],[Anciennete_Mois]]/12</f>
        <v>6</v>
      </c>
      <c r="U479" s="1">
        <f>Master[[#This Row],[Duree_Cumule_Panne_Min]]/60</f>
        <v>2.6666666666666665</v>
      </c>
      <c r="V479" s="7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Row],[Type_Forfait]]="Premium 5G 150Go")),45%,IF(Master[[#This Row],[Type_Client]]="B2B",10%,0)))</f>
        <v>0.1</v>
      </c>
      <c r="W479" s="1">
        <f>IF(AND(Master[[#This Row],[Duree_Cumule_Panne_Heure]]&gt;12,Master[[#This Row],[Anciennete_Annee]]&gt;5),70%,IF(OR(AND(Master[[#This Row],[Duree_Cumule_Panne_Heure]]&gt;=4,Master[[#This Row],[Duree_Cumule_Panne_Heure]]&lt;=12),AND(Master[[#This Row],[Duree_Cumule_Panne_Heure]]&lt;5,Master[[#This Row],[Type_Forfait]]="Premieum")),45%,IF(Master[[#This Row],[Type_Client]]="B2B",10%,0)))</f>
        <v>0.1</v>
      </c>
      <c r="X479" s="6">
        <f>Master[[#This Row],[Facture_Mensuelle]]*Master[[#This Row],[Remise]]</f>
        <v>9.0129999999999999</v>
      </c>
    </row>
    <row r="480" spans="1:24" x14ac:dyDescent="0.25">
      <c r="A480" s="1"/>
      <c r="B480" s="1"/>
      <c r="C480" s="1"/>
      <c r="D480" s="2"/>
      <c r="E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8"/>
      <c r="W480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1D44-2C1A-4543-ABD5-1229607A6DE9}">
  <dimension ref="A1:F11"/>
  <sheetViews>
    <sheetView tabSelected="1" workbookViewId="0">
      <selection activeCell="D6" sqref="D6"/>
    </sheetView>
  </sheetViews>
  <sheetFormatPr baseColWidth="10" defaultRowHeight="15" x14ac:dyDescent="0.25"/>
  <cols>
    <col min="1" max="1" width="21" bestFit="1" customWidth="1"/>
    <col min="2" max="2" width="29.7109375" bestFit="1" customWidth="1"/>
    <col min="4" max="4" width="21" bestFit="1" customWidth="1"/>
    <col min="5" max="5" width="27.7109375" bestFit="1" customWidth="1"/>
    <col min="6" max="6" width="9.5703125" bestFit="1" customWidth="1"/>
    <col min="7" max="7" width="27.7109375" bestFit="1" customWidth="1"/>
    <col min="8" max="8" width="32.7109375" bestFit="1" customWidth="1"/>
    <col min="9" max="10" width="14.42578125" bestFit="1" customWidth="1"/>
  </cols>
  <sheetData>
    <row r="1" spans="1:6" ht="35.25" customHeight="1" x14ac:dyDescent="0.25"/>
    <row r="6" spans="1:6" x14ac:dyDescent="0.25">
      <c r="D6" s="4" t="s">
        <v>1578</v>
      </c>
      <c r="E6" t="s">
        <v>1581</v>
      </c>
      <c r="F6" t="s">
        <v>1582</v>
      </c>
    </row>
    <row r="7" spans="1:6" x14ac:dyDescent="0.25">
      <c r="A7" s="4" t="s">
        <v>1578</v>
      </c>
      <c r="B7" t="s">
        <v>1580</v>
      </c>
      <c r="D7" s="5" t="s">
        <v>737</v>
      </c>
      <c r="E7" s="1">
        <v>161</v>
      </c>
      <c r="F7" s="6">
        <v>6.1923076923076925</v>
      </c>
    </row>
    <row r="8" spans="1:6" x14ac:dyDescent="0.25">
      <c r="A8" s="5" t="s">
        <v>1423</v>
      </c>
      <c r="B8" s="6">
        <v>188.41666666666666</v>
      </c>
      <c r="D8" s="5" t="s">
        <v>735</v>
      </c>
      <c r="E8" s="1">
        <v>157</v>
      </c>
      <c r="F8" s="6">
        <v>6.0384615384615383</v>
      </c>
    </row>
    <row r="9" spans="1:6" x14ac:dyDescent="0.25">
      <c r="A9" s="5" t="s">
        <v>1426</v>
      </c>
      <c r="B9" s="6">
        <v>167.30000000000007</v>
      </c>
      <c r="D9" s="5" t="s">
        <v>1579</v>
      </c>
      <c r="E9" s="1">
        <v>318</v>
      </c>
      <c r="F9" s="6">
        <v>12.23076923076923</v>
      </c>
    </row>
    <row r="10" spans="1:6" x14ac:dyDescent="0.25">
      <c r="A10" s="5" t="s">
        <v>1428</v>
      </c>
      <c r="B10" s="6">
        <v>156.21666666666664</v>
      </c>
    </row>
    <row r="11" spans="1:6" x14ac:dyDescent="0.25">
      <c r="A11" s="5" t="s">
        <v>1579</v>
      </c>
      <c r="B11" s="6">
        <v>511.93333333333305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F149D-B32F-4CC3-BA14-7169DD63F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Master (2)</vt:lpstr>
      <vt:lpstr>Client</vt:lpstr>
      <vt:lpstr>Logs_Reseau </vt:lpstr>
      <vt:lpstr>Registre_Maintenance</vt:lpstr>
      <vt:lpstr>Logs_Registre</vt:lpstr>
      <vt:lpstr>Master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Prisca Muteba</dc:creator>
  <cp:lastModifiedBy>Prisca Muteba</cp:lastModifiedBy>
  <dcterms:created xsi:type="dcterms:W3CDTF">2015-06-05T18:19:34Z</dcterms:created>
  <dcterms:modified xsi:type="dcterms:W3CDTF">2026-04-05T21:00:34Z</dcterms:modified>
</cp:coreProperties>
</file>